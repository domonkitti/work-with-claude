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10529\Downloads\"/>
    </mc:Choice>
  </mc:AlternateContent>
  <xr:revisionPtr revIDLastSave="3" documentId="13_ncr:1_{709AB199-DD38-4B12-99D1-8D0A66683C93}" xr6:coauthVersionLast="47" xr6:coauthVersionMax="47" xr10:uidLastSave="{984BEBFA-CFC1-4FC2-9A47-F347CCE972EA}"/>
  <bookViews>
    <workbookView xWindow="0" yWindow="0" windowWidth="28800" windowHeight="9825" tabRatio="897" firstSheet="11" activeTab="11" xr2:uid="{00000000-000D-0000-FFFF-FFFF00000000}"/>
    <workbookView xWindow="-120" yWindow="-120" windowWidth="29040" windowHeight="15960" firstSheet="11" activeTab="17" xr2:uid="{41EB05AB-2996-4393-9620-D902CA50DF9E}"/>
  </bookViews>
  <sheets>
    <sheet name="ปก" sheetId="18" r:id="rId1"/>
    <sheet name="รายชื่อฟอร์ม" sheetId="27" r:id="rId2"/>
    <sheet name="003" sheetId="1" r:id="rId3"/>
    <sheet name="004-1" sheetId="4" r:id="rId4"/>
    <sheet name="004-2" sheetId="31" r:id="rId5"/>
    <sheet name="S" sheetId="39" state="hidden" r:id="rId6"/>
    <sheet name="004-3" sheetId="43" r:id="rId7"/>
    <sheet name="004-4" sheetId="34" r:id="rId8"/>
    <sheet name="004-5" sheetId="40" r:id="rId9"/>
    <sheet name="คำอธิบายแบบ งป.004-1-5" sheetId="44" r:id="rId10"/>
    <sheet name="007 (69)" sheetId="54" r:id="rId11"/>
    <sheet name="007 (70)" sheetId="46" r:id="rId12"/>
    <sheet name="007(71)" sheetId="48" r:id="rId13"/>
    <sheet name="009 (69)" sheetId="53" r:id="rId14"/>
    <sheet name="009 (70)" sheetId="49" r:id="rId15"/>
    <sheet name="009 (71)" sheetId="47" r:id="rId16"/>
    <sheet name="010-1 (2)" sheetId="45" r:id="rId17"/>
    <sheet name="010-2 (ori)" sheetId="50" r:id="rId18"/>
    <sheet name="010-2(Print)" sheetId="51" r:id="rId19"/>
    <sheet name="010-3" sheetId="41" r:id="rId20"/>
    <sheet name="011" sheetId="10" r:id="rId21"/>
    <sheet name="Sheet1" sheetId="52" r:id="rId22"/>
  </sheets>
  <externalReferences>
    <externalReference r:id="rId23"/>
    <externalReference r:id="rId24"/>
  </externalReferences>
  <definedNames>
    <definedName name="_xlnm.Print_Area" localSheetId="2">'003'!$A$1:$D$33</definedName>
    <definedName name="_xlnm.Print_Area" localSheetId="4">'004-2'!$A$1:$I$45</definedName>
    <definedName name="_xlnm.Print_Area" localSheetId="7">'004-4'!$A$1:$J$26</definedName>
    <definedName name="_xlnm.Print_Area" localSheetId="8">'004-5'!$A$1:$L$57</definedName>
    <definedName name="_xlnm.Print_Area" localSheetId="10">'007 (69)'!$A$1:$K$79</definedName>
    <definedName name="_xlnm.Print_Area" localSheetId="11">'007 (70)'!$A$1:$L$79</definedName>
    <definedName name="_xlnm.Print_Area" localSheetId="12">'007(71)'!$A$1:$L$79</definedName>
    <definedName name="_xlnm.Print_Area" localSheetId="16">'010-1 (2)'!$A$1:$L$36</definedName>
    <definedName name="_xlnm.Print_Area" localSheetId="19">'010-3'!$A$1:$P$15</definedName>
    <definedName name="_xlnm.Print_Area" localSheetId="20">'011'!$A$1:$R$34</definedName>
    <definedName name="_xlnm.Print_Area" localSheetId="9">'คำอธิบายแบบ งป.004-1-5'!$A$1:$L$89</definedName>
    <definedName name="_xlnm.Print_Area" localSheetId="1">รายชื่อฟอร์ม!$A$1:$H$25</definedName>
    <definedName name="_xlnm.Print_Titles" localSheetId="10">'007 (69)'!$1:$11</definedName>
    <definedName name="_xlnm.Print_Titles" localSheetId="11">'007 (70)'!$1:$11</definedName>
    <definedName name="_xlnm.Print_Titles" localSheetId="12">'007(71)'!$1:$11</definedName>
    <definedName name="_xlnm.Print_Titles" localSheetId="9">'คำอธิบายแบบ งป.004-1-5'!$1:$3</definedName>
    <definedName name="S1_สร้าง_กฟภ._ให้เติบโตอย่างยั่งยืน">S!$C$3:$C$12</definedName>
    <definedName name="SO1_ยกระดับการบริหาร_จัดการระดับสากล_เพื่อสร้าง_ความยั่งยืน">S!$B$3:$B$12</definedName>
    <definedName name="ยุทธศาสตร์">S!$C$2:$C$12</definedName>
    <definedName name="วัตถุประสงค์เชิงยุทธศาสตร์">S!$B$2:$B$12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" i="50" l="1"/>
  <c r="K77" i="46"/>
  <c r="D75" i="54"/>
  <c r="C75" i="54"/>
  <c r="H75" i="54" s="1"/>
  <c r="J75" i="54" s="1"/>
  <c r="D73" i="54"/>
  <c r="C73" i="54"/>
  <c r="H73" i="54" s="1"/>
  <c r="J73" i="54" s="1"/>
  <c r="D71" i="54"/>
  <c r="C71" i="54"/>
  <c r="H71" i="54" s="1"/>
  <c r="D69" i="54"/>
  <c r="C69" i="54"/>
  <c r="H69" i="54" s="1"/>
  <c r="J69" i="54" s="1"/>
  <c r="D67" i="54"/>
  <c r="C67" i="54"/>
  <c r="H67" i="54" s="1"/>
  <c r="J67" i="54" s="1"/>
  <c r="D65" i="54"/>
  <c r="C65" i="54"/>
  <c r="H65" i="54" s="1"/>
  <c r="J65" i="54" s="1"/>
  <c r="D63" i="54"/>
  <c r="C63" i="54"/>
  <c r="H63" i="54" s="1"/>
  <c r="J63" i="54" s="1"/>
  <c r="D61" i="54"/>
  <c r="C61" i="54"/>
  <c r="H61" i="54" s="1"/>
  <c r="J61" i="54" s="1"/>
  <c r="D58" i="54"/>
  <c r="C58" i="54"/>
  <c r="H58" i="54" s="1"/>
  <c r="J58" i="54" s="1"/>
  <c r="D56" i="54"/>
  <c r="C56" i="54"/>
  <c r="H56" i="54" s="1"/>
  <c r="J56" i="54" s="1"/>
  <c r="D54" i="54"/>
  <c r="C54" i="54"/>
  <c r="H54" i="54" s="1"/>
  <c r="I54" i="54" s="1"/>
  <c r="D52" i="54"/>
  <c r="C52" i="54"/>
  <c r="H52" i="54" s="1"/>
  <c r="I52" i="54" s="1"/>
  <c r="L12" i="54" s="1"/>
  <c r="D50" i="54"/>
  <c r="C50" i="54"/>
  <c r="H50" i="54" s="1"/>
  <c r="D48" i="54"/>
  <c r="C48" i="54"/>
  <c r="H48" i="54" s="1"/>
  <c r="D45" i="54"/>
  <c r="C45" i="54"/>
  <c r="H45" i="54" s="1"/>
  <c r="I45" i="54" s="1"/>
  <c r="D42" i="54"/>
  <c r="C42" i="54"/>
  <c r="H42" i="54" s="1"/>
  <c r="I42" i="54" s="1"/>
  <c r="D36" i="54"/>
  <c r="C36" i="54"/>
  <c r="H36" i="54" s="1"/>
  <c r="J36" i="54" s="1"/>
  <c r="D30" i="54"/>
  <c r="C30" i="54"/>
  <c r="H30" i="54" s="1"/>
  <c r="J30" i="54" s="1"/>
  <c r="O12" i="54" s="1"/>
  <c r="D28" i="54"/>
  <c r="C28" i="54"/>
  <c r="D26" i="54"/>
  <c r="C26" i="54"/>
  <c r="H26" i="54" s="1"/>
  <c r="D19" i="54"/>
  <c r="C19" i="54"/>
  <c r="H19" i="54" s="1"/>
  <c r="J19" i="54" s="1"/>
  <c r="D12" i="54"/>
  <c r="C12" i="54"/>
  <c r="AA20" i="53"/>
  <c r="U20" i="53"/>
  <c r="P21" i="53" s="1"/>
  <c r="O20" i="53"/>
  <c r="L20" i="53"/>
  <c r="D21" i="53" s="1"/>
  <c r="C21" i="53" s="1"/>
  <c r="H12" i="54" l="1"/>
  <c r="J12" i="54" s="1"/>
  <c r="H28" i="54"/>
  <c r="I48" i="54"/>
  <c r="I50" i="54"/>
  <c r="I77" i="54"/>
  <c r="J77" i="54"/>
  <c r="N12" i="54"/>
  <c r="M12" i="54"/>
  <c r="P12" i="54" s="1"/>
  <c r="I79" i="54" l="1"/>
  <c r="AE7" i="50"/>
  <c r="R24" i="50"/>
  <c r="L24" i="50"/>
  <c r="AG7" i="50"/>
  <c r="U14" i="50" s="1"/>
  <c r="I14" i="50"/>
  <c r="J14" i="50" s="1"/>
  <c r="O11" i="41"/>
  <c r="O12" i="41" s="1"/>
  <c r="J78" i="48"/>
  <c r="E75" i="48"/>
  <c r="C75" i="48"/>
  <c r="E73" i="48"/>
  <c r="C73" i="48"/>
  <c r="E71" i="48"/>
  <c r="C71" i="48"/>
  <c r="E69" i="48"/>
  <c r="C69" i="48"/>
  <c r="E67" i="48"/>
  <c r="C67" i="48"/>
  <c r="E65" i="48"/>
  <c r="C65" i="48"/>
  <c r="E63" i="48"/>
  <c r="C63" i="48"/>
  <c r="I63" i="48" s="1"/>
  <c r="K63" i="48" s="1"/>
  <c r="E61" i="48"/>
  <c r="C61" i="48"/>
  <c r="E58" i="48"/>
  <c r="C58" i="48"/>
  <c r="E56" i="48"/>
  <c r="C56" i="48"/>
  <c r="E54" i="48"/>
  <c r="C54" i="48"/>
  <c r="I54" i="48" s="1"/>
  <c r="J54" i="48" s="1"/>
  <c r="E52" i="48"/>
  <c r="C52" i="48"/>
  <c r="E50" i="48"/>
  <c r="C50" i="48"/>
  <c r="E48" i="48"/>
  <c r="C48" i="48"/>
  <c r="E45" i="48"/>
  <c r="C45" i="48"/>
  <c r="I45" i="48" s="1"/>
  <c r="J45" i="48" s="1"/>
  <c r="E42" i="48"/>
  <c r="C42" i="48"/>
  <c r="E36" i="48"/>
  <c r="C36" i="48"/>
  <c r="E30" i="48"/>
  <c r="C30" i="48"/>
  <c r="E28" i="48"/>
  <c r="C28" i="48"/>
  <c r="I28" i="48" s="1"/>
  <c r="J28" i="48" s="1"/>
  <c r="E26" i="48"/>
  <c r="C26" i="48"/>
  <c r="E19" i="48"/>
  <c r="C19" i="48"/>
  <c r="E12" i="48"/>
  <c r="C12" i="48"/>
  <c r="I12" i="48" l="1"/>
  <c r="K12" i="48" s="1"/>
  <c r="I71" i="48"/>
  <c r="K71" i="48" s="1"/>
  <c r="I19" i="48"/>
  <c r="K19" i="48" s="1"/>
  <c r="I36" i="48"/>
  <c r="K36" i="48" s="1"/>
  <c r="I50" i="48"/>
  <c r="I58" i="48"/>
  <c r="K58" i="48" s="1"/>
  <c r="I67" i="48"/>
  <c r="K67" i="48" s="1"/>
  <c r="I75" i="48"/>
  <c r="K75" i="48" s="1"/>
  <c r="J48" i="48"/>
  <c r="J26" i="48"/>
  <c r="I42" i="48"/>
  <c r="J42" i="48" s="1"/>
  <c r="I52" i="48"/>
  <c r="J52" i="48" s="1"/>
  <c r="M12" i="48" s="1"/>
  <c r="I61" i="48"/>
  <c r="K61" i="48" s="1"/>
  <c r="I69" i="48"/>
  <c r="K69" i="48" s="1"/>
  <c r="L11" i="41"/>
  <c r="I30" i="48"/>
  <c r="K30" i="48" s="1"/>
  <c r="I48" i="48"/>
  <c r="I56" i="48"/>
  <c r="K56" i="48" s="1"/>
  <c r="I65" i="48"/>
  <c r="K65" i="48" s="1"/>
  <c r="I73" i="48"/>
  <c r="K73" i="48" s="1"/>
  <c r="J50" i="48"/>
  <c r="B24" i="50"/>
  <c r="J17" i="50"/>
  <c r="J23" i="50"/>
  <c r="AE12" i="50"/>
  <c r="I26" i="48"/>
  <c r="O12" i="48" l="1"/>
  <c r="J77" i="48"/>
  <c r="N12" i="48"/>
  <c r="K77" i="48"/>
  <c r="J79" i="48" s="1"/>
  <c r="P11" i="41"/>
  <c r="L12" i="41"/>
  <c r="P12" i="41" s="1"/>
  <c r="P12" i="48"/>
  <c r="Q12" i="48" s="1"/>
  <c r="L20" i="47" l="1"/>
  <c r="O20" i="47"/>
  <c r="U20" i="47"/>
  <c r="AA20" i="47"/>
  <c r="C12" i="46"/>
  <c r="E12" i="46"/>
  <c r="C19" i="46"/>
  <c r="E19" i="46"/>
  <c r="C26" i="46"/>
  <c r="E26" i="46"/>
  <c r="C28" i="46"/>
  <c r="E28" i="46"/>
  <c r="C30" i="46"/>
  <c r="E30" i="46"/>
  <c r="C36" i="46"/>
  <c r="E36" i="46"/>
  <c r="C42" i="46"/>
  <c r="E42" i="46"/>
  <c r="I42" i="46"/>
  <c r="K42" i="46" s="1"/>
  <c r="C45" i="46"/>
  <c r="E45" i="46"/>
  <c r="C48" i="46"/>
  <c r="E48" i="46"/>
  <c r="I48" i="46"/>
  <c r="K48" i="46" s="1"/>
  <c r="C50" i="46"/>
  <c r="E50" i="46"/>
  <c r="C52" i="46"/>
  <c r="E52" i="46"/>
  <c r="E54" i="46"/>
  <c r="C56" i="46"/>
  <c r="E56" i="46"/>
  <c r="C58" i="46"/>
  <c r="E58" i="46"/>
  <c r="C61" i="46"/>
  <c r="E61" i="46"/>
  <c r="I61" i="46"/>
  <c r="K61" i="46" s="1"/>
  <c r="C63" i="46"/>
  <c r="E63" i="46"/>
  <c r="C65" i="46"/>
  <c r="E65" i="46"/>
  <c r="C67" i="46"/>
  <c r="E67" i="46"/>
  <c r="C69" i="46"/>
  <c r="E69" i="46"/>
  <c r="I69" i="46"/>
  <c r="K69" i="46"/>
  <c r="C71" i="46"/>
  <c r="E71" i="46"/>
  <c r="C73" i="46"/>
  <c r="E73" i="46"/>
  <c r="C75" i="46"/>
  <c r="E75" i="46"/>
  <c r="I73" i="46" l="1"/>
  <c r="K73" i="46" s="1"/>
  <c r="I67" i="46"/>
  <c r="K67" i="46" s="1"/>
  <c r="I65" i="46"/>
  <c r="K65" i="46" s="1"/>
  <c r="I56" i="46"/>
  <c r="K56" i="46" s="1"/>
  <c r="I54" i="46"/>
  <c r="J54" i="46" s="1"/>
  <c r="I52" i="46"/>
  <c r="K52" i="46" s="1"/>
  <c r="I30" i="46"/>
  <c r="K30" i="46" s="1"/>
  <c r="I26" i="46"/>
  <c r="K26" i="46" s="1"/>
  <c r="I19" i="46"/>
  <c r="K19" i="46" s="1"/>
  <c r="P21" i="47"/>
  <c r="I36" i="46"/>
  <c r="K36" i="46" s="1"/>
  <c r="O19" i="10" s="1"/>
  <c r="P19" i="10" s="1"/>
  <c r="I71" i="46"/>
  <c r="I75" i="46"/>
  <c r="K75" i="46" s="1"/>
  <c r="I63" i="46"/>
  <c r="K63" i="46" s="1"/>
  <c r="I28" i="46"/>
  <c r="I58" i="46"/>
  <c r="K58" i="46" s="1"/>
  <c r="I45" i="46"/>
  <c r="K45" i="46" s="1"/>
  <c r="I12" i="46"/>
  <c r="K12" i="46" s="1"/>
  <c r="I50" i="46"/>
  <c r="K50" i="46" s="1"/>
  <c r="D21" i="47"/>
  <c r="M12" i="46" l="1"/>
  <c r="K28" i="46"/>
  <c r="P12" i="46"/>
  <c r="AA20" i="49" s="1"/>
  <c r="C21" i="47"/>
  <c r="J77" i="46"/>
  <c r="G27" i="4" l="1"/>
  <c r="AF7" i="50"/>
  <c r="O12" i="46"/>
  <c r="U20" i="49" s="1"/>
  <c r="P21" i="49" s="1"/>
  <c r="C21" i="49" s="1"/>
  <c r="H13" i="34"/>
  <c r="H17" i="34" s="1"/>
  <c r="Q12" i="46"/>
  <c r="F9" i="45"/>
  <c r="H9" i="45"/>
  <c r="J9" i="45"/>
  <c r="K9" i="45"/>
  <c r="L9" i="45"/>
  <c r="F10" i="45"/>
  <c r="H10" i="45"/>
  <c r="J10" i="45"/>
  <c r="K10" i="45"/>
  <c r="N9" i="45" s="1"/>
  <c r="L10" i="45"/>
  <c r="H11" i="45"/>
  <c r="J11" i="45"/>
  <c r="K11" i="45"/>
  <c r="L11" i="45"/>
  <c r="H12" i="45"/>
  <c r="J12" i="45"/>
  <c r="K12" i="45"/>
  <c r="L12" i="45"/>
  <c r="F13" i="45"/>
  <c r="H13" i="45"/>
  <c r="J13" i="45"/>
  <c r="K13" i="45"/>
  <c r="L13" i="45"/>
  <c r="F14" i="45"/>
  <c r="H14" i="45"/>
  <c r="J14" i="45"/>
  <c r="K14" i="45"/>
  <c r="N13" i="45" s="1"/>
  <c r="L14" i="45"/>
  <c r="F15" i="45"/>
  <c r="H15" i="45"/>
  <c r="J15" i="45"/>
  <c r="K15" i="45"/>
  <c r="L15" i="45"/>
  <c r="F16" i="45"/>
  <c r="H16" i="45"/>
  <c r="J16" i="45"/>
  <c r="K16" i="45"/>
  <c r="L16" i="45"/>
  <c r="F17" i="45"/>
  <c r="H17" i="45"/>
  <c r="J17" i="45"/>
  <c r="K17" i="45"/>
  <c r="L17" i="45" s="1"/>
  <c r="F18" i="45"/>
  <c r="H18" i="45"/>
  <c r="J18" i="45"/>
  <c r="K18" i="45"/>
  <c r="L18" i="45" s="1"/>
  <c r="F19" i="45"/>
  <c r="H19" i="45"/>
  <c r="J19" i="45"/>
  <c r="K19" i="45"/>
  <c r="L19" i="45"/>
  <c r="F20" i="45"/>
  <c r="H20" i="45"/>
  <c r="J20" i="45"/>
  <c r="K20" i="45"/>
  <c r="L20" i="45"/>
  <c r="F21" i="45"/>
  <c r="H21" i="45"/>
  <c r="J21" i="45"/>
  <c r="K21" i="45"/>
  <c r="L21" i="45"/>
  <c r="N21" i="45"/>
  <c r="F22" i="45"/>
  <c r="H22" i="45"/>
  <c r="J22" i="45"/>
  <c r="K22" i="45"/>
  <c r="L22" i="45"/>
  <c r="F23" i="45"/>
  <c r="H23" i="45"/>
  <c r="J23" i="45"/>
  <c r="K23" i="45"/>
  <c r="L23" i="45"/>
  <c r="F24" i="45"/>
  <c r="H24" i="45"/>
  <c r="J24" i="45"/>
  <c r="K24" i="45"/>
  <c r="L24" i="45"/>
  <c r="F25" i="45"/>
  <c r="H25" i="45"/>
  <c r="J25" i="45"/>
  <c r="K25" i="45"/>
  <c r="L25" i="45" s="1"/>
  <c r="F26" i="45"/>
  <c r="H26" i="45"/>
  <c r="J26" i="45"/>
  <c r="K26" i="45"/>
  <c r="L26" i="45" s="1"/>
  <c r="F27" i="45"/>
  <c r="H27" i="45"/>
  <c r="J27" i="45"/>
  <c r="K27" i="45"/>
  <c r="L27" i="45"/>
  <c r="J28" i="45"/>
  <c r="K28" i="45"/>
  <c r="L28" i="45"/>
  <c r="F29" i="45"/>
  <c r="H29" i="45"/>
  <c r="J29" i="45"/>
  <c r="K29" i="45"/>
  <c r="L29" i="45"/>
  <c r="F30" i="45"/>
  <c r="H30" i="45"/>
  <c r="J30" i="45"/>
  <c r="K30" i="45"/>
  <c r="L30" i="45" s="1"/>
  <c r="I13" i="34" l="1"/>
  <c r="I17" i="34" s="1"/>
  <c r="AF6" i="50"/>
  <c r="O14" i="50"/>
  <c r="J13" i="34"/>
  <c r="J17" i="34" s="1"/>
  <c r="J31" i="45"/>
  <c r="H31" i="45"/>
  <c r="H33" i="45" s="1"/>
  <c r="F31" i="45"/>
  <c r="F18" i="43" l="1"/>
  <c r="AE6" i="50"/>
  <c r="AG6" i="50"/>
  <c r="J33" i="45"/>
  <c r="L14" i="50"/>
  <c r="L23" i="50" s="1"/>
  <c r="L25" i="50" s="1"/>
  <c r="AF8" i="50"/>
  <c r="L31" i="45"/>
  <c r="F33" i="45"/>
  <c r="L33" i="45" s="1"/>
  <c r="G26" i="4"/>
  <c r="F13" i="34"/>
  <c r="F17" i="34" s="1"/>
  <c r="I18" i="43"/>
  <c r="D8" i="1"/>
  <c r="D31" i="1" s="1"/>
  <c r="L18" i="43"/>
  <c r="M31" i="45" l="1"/>
  <c r="B14" i="50"/>
  <c r="B17" i="50" s="1"/>
  <c r="B23" i="50" s="1"/>
  <c r="Q14" i="50"/>
  <c r="AG10" i="50"/>
  <c r="AG8" i="50"/>
  <c r="R14" i="50"/>
  <c r="R23" i="50" s="1"/>
  <c r="R25" i="50" s="1"/>
  <c r="F14" i="50"/>
  <c r="AE8" i="50"/>
  <c r="O18" i="43"/>
  <c r="J78" i="46"/>
  <c r="J79" i="46" s="1"/>
  <c r="AF9" i="50" l="1"/>
  <c r="K14" i="50"/>
  <c r="M14" i="50" s="1"/>
  <c r="M23" i="50" s="1"/>
  <c r="F23" i="50"/>
  <c r="G14" i="50"/>
  <c r="G23" i="50" s="1"/>
  <c r="G25" i="50" s="1"/>
  <c r="B25" i="50" s="1"/>
  <c r="AH11" i="50"/>
  <c r="W14" i="50"/>
  <c r="Y14" i="50" s="1"/>
  <c r="T14" i="50"/>
  <c r="V14" i="50" s="1"/>
  <c r="AG12" i="50"/>
  <c r="Q23" i="50"/>
  <c r="S14" i="50"/>
  <c r="S23" i="50" s="1"/>
  <c r="O22" i="43"/>
  <c r="F22" i="43"/>
  <c r="L22" i="43"/>
  <c r="I22" i="43"/>
  <c r="M33" i="45"/>
  <c r="L32" i="45"/>
  <c r="V23" i="50" l="1"/>
  <c r="V17" i="50"/>
  <c r="Z14" i="50"/>
  <c r="AB14" i="50" s="1"/>
  <c r="AH12" i="50"/>
  <c r="N14" i="50"/>
  <c r="P14" i="50" s="1"/>
  <c r="P17" i="50" s="1"/>
  <c r="P23" i="50" s="1"/>
  <c r="AF12" i="50"/>
  <c r="AI12" i="50" s="1"/>
  <c r="G25" i="4"/>
  <c r="AB17" i="50" l="1"/>
  <c r="AC14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sasiphen paetpong</author>
  </authors>
  <commentList>
    <comment ref="K30" authorId="0" shapeId="0" xr:uid="{C9217D9A-E432-4715-B285-7BB1D140657C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K36" authorId="0" shapeId="0" xr:uid="{46201EF4-70CD-4227-8482-446439B47EAE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K56" authorId="0" shapeId="0" xr:uid="{B89149F9-DCD5-4949-AD21-42DC5295B9E0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sasiphen paetpong</author>
  </authors>
  <commentList>
    <comment ref="L30" authorId="0" shapeId="0" xr:uid="{A8BA9F6C-7B6C-49C3-8E5A-5C1FCAD4A67E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L36" authorId="0" shapeId="0" xr:uid="{282D8A89-0352-437D-A414-09AD5DB65E12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M42" authorId="0" shapeId="0" xr:uid="{7B6470B7-935B-46C3-98AB-22FCA057F1F2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M45" authorId="0" shapeId="0" xr:uid="{47EB657F-B83F-4720-990B-334AB56D3E78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M48" authorId="0" shapeId="0" xr:uid="{8D4874A1-D36B-4EEE-BC72-B122D7F42DF0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M50" authorId="0" shapeId="0" xr:uid="{D62CB032-3D86-4270-8429-DA2104AD1F73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L56" authorId="0" shapeId="0" xr:uid="{0839B458-4E85-41D4-9641-70ADD5616694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sasiphen paetpong</author>
  </authors>
  <commentList>
    <comment ref="L30" authorId="0" shapeId="0" xr:uid="{CB31D731-FEE2-456F-AAC9-D670E6AF5CD4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L36" authorId="0" shapeId="0" xr:uid="{C53D2F52-44B3-4EDA-B0C0-1C88C1F1E33D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  <comment ref="L56" authorId="0" shapeId="0" xr:uid="{54C517A0-98B0-4919-9CAF-2F41764EE156}">
      <text>
        <r>
          <rPr>
            <b/>
            <sz val="9"/>
            <color indexed="81"/>
            <rFont val="Tahoma"/>
            <family val="2"/>
          </rPr>
          <t>sasiphen paetpong:</t>
        </r>
        <r>
          <rPr>
            <sz val="9"/>
            <color indexed="81"/>
            <rFont val="Tahoma"/>
            <family val="2"/>
          </rPr>
          <t xml:space="preserve">
สีม่วง ของซื้อจาก ตปท.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Sasiphen</author>
  </authors>
  <commentList>
    <comment ref="D9" authorId="0" shapeId="0" xr:uid="{56BABE7E-D260-4F51-9B33-A9BD524CCCE8}">
      <text>
        <r>
          <rPr>
            <b/>
            <sz val="9"/>
            <color indexed="81"/>
            <rFont val="Tahoma"/>
            <family val="2"/>
          </rPr>
          <t>Sasiphen:</t>
        </r>
        <r>
          <rPr>
            <sz val="9"/>
            <color indexed="81"/>
            <rFont val="Tahoma"/>
            <family val="2"/>
          </rPr>
          <t xml:space="preserve">
ราคาจากการสืบราคา บ.precise ที่ขาย กฟน.
</t>
        </r>
      </text>
    </comment>
    <comment ref="D15" authorId="0" shapeId="0" xr:uid="{FD6AE58A-324E-4F9E-AD33-E66654923D6E}">
      <text>
        <r>
          <rPr>
            <b/>
            <sz val="9"/>
            <color indexed="81"/>
            <rFont val="Tahoma"/>
            <family val="2"/>
          </rPr>
          <t>Sasiphen:</t>
        </r>
        <r>
          <rPr>
            <sz val="9"/>
            <color indexed="81"/>
            <rFont val="Tahoma"/>
            <family val="2"/>
          </rPr>
          <t xml:space="preserve">
ราคามาตรฐานปี 67 ครั้งที่3
</t>
        </r>
      </text>
    </comment>
    <comment ref="H32" authorId="0" shapeId="0" xr:uid="{55DBEE0B-8C13-4B19-95F8-942CD6CD2D00}">
      <text>
        <r>
          <rPr>
            <b/>
            <sz val="9"/>
            <color indexed="81"/>
            <rFont val="Tahoma"/>
            <charset val="222"/>
          </rPr>
          <t>Sasiphen:</t>
        </r>
        <r>
          <rPr>
            <sz val="9"/>
            <color indexed="81"/>
            <rFont val="Tahoma"/>
            <charset val="222"/>
          </rPr>
          <t xml:space="preserve">
fix สำรองราคาเท่ากับที่ตั้งแผน เพื่อไม่ใช้ตัวเลขไม่ตรงกับมติที่ประชุมปี 68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Sasiphen</author>
  </authors>
  <commentList>
    <comment ref="O19" authorId="0" shapeId="0" xr:uid="{BE1EC4E9-3642-40FE-8A3A-1BEFF4C0EB10}">
      <text>
        <r>
          <rPr>
            <b/>
            <sz val="9"/>
            <color indexed="81"/>
            <rFont val="Tahoma"/>
            <family val="2"/>
          </rPr>
          <t>Sasiphen:</t>
        </r>
        <r>
          <rPr>
            <sz val="9"/>
            <color indexed="81"/>
            <rFont val="Tahoma"/>
            <family val="2"/>
          </rPr>
          <t xml:space="preserve">
ยอดจากปี 69
รายการที่ 5-6
</t>
        </r>
      </text>
    </comment>
    <comment ref="P19" authorId="0" shapeId="0" xr:uid="{C84D2627-7C20-4FD8-AEE7-DA6C9DA30B53}">
      <text>
        <r>
          <rPr>
            <b/>
            <sz val="9"/>
            <color indexed="81"/>
            <rFont val="Tahoma"/>
            <family val="2"/>
          </rPr>
          <t>Sasiphen:</t>
        </r>
        <r>
          <rPr>
            <sz val="9"/>
            <color indexed="81"/>
            <rFont val="Tahoma"/>
            <family val="2"/>
          </rPr>
          <t xml:space="preserve">
ยอดจากปี 69
รายการที่ 5-6
</t>
        </r>
      </text>
    </comment>
  </commentList>
</comments>
</file>

<file path=xl/sharedStrings.xml><?xml version="1.0" encoding="utf-8"?>
<sst xmlns="http://schemas.openxmlformats.org/spreadsheetml/2006/main" count="1479" uniqueCount="700">
  <si>
    <t>แบบฟอร์มเสนอขอตั้งงบประมาณลงทุน</t>
  </si>
  <si>
    <t>เพื่อการดำเนินงานปกติ ประจำปี 2570</t>
  </si>
  <si>
    <t>1.</t>
  </si>
  <si>
    <t>แบบ งป.003</t>
  </si>
  <si>
    <t>สรุปวงเงินงบประมาณลงทุนเพื่อการดำเนินงานปกติ ที่ขอตั้งประจำปี 2570</t>
  </si>
  <si>
    <t xml:space="preserve">2. </t>
  </si>
  <si>
    <t>แบบ งป.004/1 - งป.004/5</t>
  </si>
  <si>
    <t>แบบข้อมูลพื้นฐานของงาน</t>
  </si>
  <si>
    <t xml:space="preserve">3. </t>
  </si>
  <si>
    <t>แบบ งป.007</t>
  </si>
  <si>
    <t>รายละเอียดงานในหมวดสิ่งก่อสร้าง ค่าวัสดุอุปกรณ์ของงานระบบไฟฟ้า</t>
  </si>
  <si>
    <t xml:space="preserve">4. </t>
  </si>
  <si>
    <t>แบบ งป.009</t>
  </si>
  <si>
    <t>รายงานความก้าวหน้าของแผนจัดซื้อ/จัดจ้างตามงบลงทุนเพื่อการดำเนินงานปกติ</t>
  </si>
  <si>
    <t xml:space="preserve">5. </t>
  </si>
  <si>
    <t>แบบ งป.010/1</t>
  </si>
  <si>
    <t>แผนการลงทุนรายปี</t>
  </si>
  <si>
    <t xml:space="preserve">6. </t>
  </si>
  <si>
    <t>แบบ งป.010/2</t>
  </si>
  <si>
    <t>แผนการจ่ายเงินตามงบผูกพันปี 2570 (กรณีแผนระยะยาว/งานต่อเนื่อง)</t>
  </si>
  <si>
    <t xml:space="preserve">7. </t>
  </si>
  <si>
    <t>แบบ งป.010/3</t>
  </si>
  <si>
    <t>เป้าหมายการเบิกจ่ายรายเดือน ปี 2570 แยกรายภาคและสำนักงานใหญ่</t>
  </si>
  <si>
    <t>8.</t>
  </si>
  <si>
    <t>แบบ งป.011</t>
  </si>
  <si>
    <t>ประมาณการวัสดุอุปกรณ์นำเข้าจากต่างประเทศ (Import Content) ปี 2570</t>
  </si>
  <si>
    <t>สรุปวงเงินงบประมาณลงทุนเพื่อการดำเนินงานปกติ</t>
  </si>
  <si>
    <t>ที่ขอตั้งประจำปี 2570</t>
  </si>
  <si>
    <r>
      <t xml:space="preserve">หน่วยงาน </t>
    </r>
    <r>
      <rPr>
        <sz val="16"/>
        <rFont val="TH SarabunPSK"/>
        <family val="2"/>
      </rPr>
      <t>กองบริหารจัดการระบบไฟฟ้า (กบร.)</t>
    </r>
  </si>
  <si>
    <t>หน่วย : บาท</t>
  </si>
  <si>
    <t>ที่</t>
  </si>
  <si>
    <t>ชื่องาน</t>
  </si>
  <si>
    <t>วงเงินเสนอ</t>
  </si>
  <si>
    <r>
      <t xml:space="preserve">ขอตั้งปี 2570 </t>
    </r>
    <r>
      <rPr>
        <b/>
        <vertAlign val="superscript"/>
        <sz val="16"/>
        <rFont val="TH SarabunPSK"/>
        <family val="2"/>
      </rPr>
      <t>[1]</t>
    </r>
  </si>
  <si>
    <t>แผนงานจัดหาอุปกรณ์ป้องกัน/ตัดตอน/อุปกรณ์ประกอบและอุปกรณ์สำรองสำหรับสายเคเบิลใต้ดิน/ใต้น้ำ ในระบบจำหน่ายและสายส่งไฟฟ้า (ปี 2569-2571)</t>
  </si>
  <si>
    <t>สำรองราคา</t>
  </si>
  <si>
    <t>รวม</t>
  </si>
  <si>
    <t>หมายเหตุ</t>
  </si>
  <si>
    <r>
      <t>[1] 1.แผนงานระยะยาว กรอกวงเงินที่ขอตั้งดำเนินการในปีงบประมาณ 2570 และวงเงิน</t>
    </r>
    <r>
      <rPr>
        <b/>
        <u/>
        <sz val="14"/>
        <rFont val="TH SarabunPSK"/>
        <family val="2"/>
      </rPr>
      <t>ไม่รวม</t>
    </r>
    <r>
      <rPr>
        <sz val="14"/>
        <rFont val="TH SarabunPSK"/>
        <family val="2"/>
      </rPr>
      <t>ภาษีมูลค่าเพิ่ม</t>
    </r>
  </si>
  <si>
    <t>2.ให้กรอกวงเงินโดยปัดเศษสตางค์เป็นหลักหน่วย</t>
  </si>
  <si>
    <t>แบบ งป.004/1</t>
  </si>
  <si>
    <t>(งบลงทุนเพื่อการดำเนินงานปกติ)</t>
  </si>
  <si>
    <t>ชื่องาน/แผนงาน</t>
  </si>
  <si>
    <t>2. รายละเอียดของงาน/แผนงาน</t>
  </si>
  <si>
    <t>2.1 ผู้รับผิดชอบ</t>
  </si>
  <si>
    <t>แผนก :</t>
  </si>
  <si>
    <t>แผนกจัดการงานบำรุงรักษาอุปกรณ์ป้องกันและตัดตอน</t>
  </si>
  <si>
    <r>
      <rPr>
        <b/>
        <sz val="16"/>
        <rFont val="TH SarabunPSK"/>
        <family val="2"/>
      </rPr>
      <t>กอง :</t>
    </r>
    <r>
      <rPr>
        <sz val="16"/>
        <rFont val="TH SarabunPSK"/>
        <family val="2"/>
      </rPr>
      <t xml:space="preserve">  </t>
    </r>
  </si>
  <si>
    <t xml:space="preserve">กองบริหารจัดการระบบไฟฟ้า </t>
  </si>
  <si>
    <r>
      <rPr>
        <b/>
        <sz val="16"/>
        <rFont val="TH SarabunPSK"/>
        <family val="2"/>
      </rPr>
      <t>ฝ่าย :</t>
    </r>
    <r>
      <rPr>
        <sz val="16"/>
        <rFont val="TH SarabunPSK"/>
        <family val="2"/>
      </rPr>
      <t xml:space="preserve"> </t>
    </r>
  </si>
  <si>
    <t>ฝ่ายบริหารจัดการสินทรัพย์ระบบไฟฟ้า</t>
  </si>
  <si>
    <t>สายงาน :</t>
  </si>
  <si>
    <t>ปฏิบัติการระบบไฟฟ้า</t>
  </si>
  <si>
    <t>เบอร์โทร :</t>
  </si>
  <si>
    <r>
      <t xml:space="preserve">2.2 ความจำเป็นในการดำเนินงาน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</si>
  <si>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 xml:space="preserve">(    ) </t>
  </si>
  <si>
    <t>มีสัญญา ข้อผูกพัน หรือมีเงื่อนไขที่ต้องดำเนินการ</t>
  </si>
  <si>
    <r>
      <t xml:space="preserve">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 </t>
    </r>
  </si>
  <si>
    <t>นโยบายสำคัญของรัฐบาล</t>
  </si>
  <si>
    <t>นโยบายสำคัญของ กฟภ.</t>
  </si>
  <si>
    <t>อื่นๆ</t>
  </si>
  <si>
    <r>
      <t xml:space="preserve">2.3 ประเภทการลงทุน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</si>
  <si>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(    ) งานก่อสร้าง ขยายเขตและปรับปรุงระบบจำหน่าย</t>
  </si>
  <si>
    <t>งานบำรุงรักษาด้านระบบไฟฟ้า</t>
  </si>
  <si>
    <t>(    ) งานติดตั้งระบบศูนย์สั่งการจ่ายไฟ</t>
  </si>
  <si>
    <t>งาน IT</t>
  </si>
  <si>
    <t>(    ) งานจัดหาที่ดิน อาคาร ยานพาหนะ และ</t>
  </si>
  <si>
    <t>งานพัฒนาระบบสื่อสาร</t>
  </si>
  <si>
    <t xml:space="preserve">เครื่องมือเครื่องใช้ต่างๆ </t>
  </si>
  <si>
    <t>2.4 สถานะของงาน</t>
  </si>
  <si>
    <t>งาน/แผนงาน ต่อเนื่อง</t>
  </si>
  <si>
    <t>(    )</t>
  </si>
  <si>
    <t xml:space="preserve"> งาน/แผนงาน ใหม่</t>
  </si>
  <si>
    <t>2.5 ได้รับอนุมัติจาก</t>
  </si>
  <si>
    <t>(       )</t>
  </si>
  <si>
    <t xml:space="preserve">ผวก. ลงนาม วันที่ </t>
  </si>
  <si>
    <t>คณะกรรมการ กฟภ. วันที่</t>
  </si>
  <si>
    <t>ยังไม่ได้รับการอนุมัติ
(โปรดระบุสถานะปัจจุบัน)</t>
  </si>
  <si>
    <t xml:space="preserve">2.6 พื้นที่ดำเนินการ </t>
  </si>
  <si>
    <t xml:space="preserve"> กฟข. 12 เขต</t>
  </si>
  <si>
    <t xml:space="preserve">2.7 ระยะเวลาดำเนินการ                  </t>
  </si>
  <si>
    <t>ปี</t>
  </si>
  <si>
    <r>
      <t>(ปี 2569  - 2571   )</t>
    </r>
    <r>
      <rPr>
        <b/>
        <vertAlign val="superscript"/>
        <sz val="16"/>
        <rFont val="TH SarabunPSK"/>
        <family val="2"/>
      </rPr>
      <t>[1]</t>
    </r>
  </si>
  <si>
    <r>
      <t>2.8 วงเงินลงทุนทั้งสิ้น ของงาน/แผนงาน</t>
    </r>
    <r>
      <rPr>
        <b/>
        <vertAlign val="superscript"/>
        <sz val="16"/>
        <rFont val="TH SarabunPSK"/>
        <family val="2"/>
      </rPr>
      <t>[2]</t>
    </r>
  </si>
  <si>
    <t>บาท</t>
  </si>
  <si>
    <r>
      <t>2.9 วงเงินลงทุนปี 2570 ของงาน/แผนงาน</t>
    </r>
    <r>
      <rPr>
        <b/>
        <vertAlign val="superscript"/>
        <sz val="16"/>
        <rFont val="TH SarabunPSK"/>
        <family val="2"/>
      </rPr>
      <t>[3]</t>
    </r>
  </si>
  <si>
    <t>2.10 เป้าหมายการเบิกจ่ายงบลงทุนปี 2570</t>
  </si>
  <si>
    <r>
      <t xml:space="preserve">2.11 วงเงิน </t>
    </r>
    <r>
      <rPr>
        <b/>
        <u/>
        <sz val="16"/>
        <rFont val="TH SarabunPSK"/>
        <family val="2"/>
      </rPr>
      <t>งบทำการ</t>
    </r>
    <r>
      <rPr>
        <b/>
        <sz val="16"/>
        <rFont val="TH SarabunPSK"/>
        <family val="2"/>
      </rPr>
      <t xml:space="preserve"> ที่ขอตั้งในปี 2570 (ถ้ามี) </t>
    </r>
  </si>
  <si>
    <t>-</t>
  </si>
  <si>
    <t>3.  วัตถุประสงค์ของงาน/แผนงาน</t>
  </si>
  <si>
    <t>เพื่อเปลี่ยนอุปกรณ์ในระบบจำหน่าย และระบบสายส่งไฟฟ้าทดแทนการชำรุด</t>
  </si>
  <si>
    <t>เพื่อเปลี่ยนอุปกรณ์ในระบบจำหน่าย และระบบสายส่งไฟฟ้าทดแทนการเสื่อมสภาพการใช้งาน</t>
  </si>
  <si>
    <t>เพื่อเป็นอุปกรณ์สำรองไว้ใช้งานกรณีซ่อมแซมฉุกเฉิน สำหรับระบบจำหน่าย และระบบสายส่งไฟฟ้าใต้ดิน/ใต้น้ำ</t>
  </si>
  <si>
    <t>[1] ปีแรกที่ตั้งวงเงินดำเนินการ - จ่ายจนสิ้นสุดงาน/แผนงาน</t>
  </si>
  <si>
    <t>[2] วงเงินไม่รวมภาษีมูลค่าเพิ่ม</t>
  </si>
  <si>
    <t>[3] วงเงินไม่รวมภาษีมูลค่าเพิ่ม , หากมีสำรองราคาให้รวมสำรองราคาด้วย</t>
  </si>
  <si>
    <t>แบบ งป.004/2</t>
  </si>
  <si>
    <t>4. ผลประโยชน์ที่คาดว่าจะได้รับ</t>
  </si>
  <si>
    <t>4.1 ผลประโยชน์ที่คาดว่าจะได้รับหลังเสร็จสิ้นงาน/แผนงาน</t>
  </si>
  <si>
    <r>
      <t xml:space="preserve"> - ผลผลิต(Output) </t>
    </r>
    <r>
      <rPr>
        <b/>
        <vertAlign val="superscript"/>
        <sz val="16"/>
        <rFont val="TH SarabunPSK"/>
        <family val="2"/>
      </rPr>
      <t>[1]</t>
    </r>
  </si>
  <si>
    <t>ดำเนินงานปรับปรุงเพิ่มความมั่นคงระบบจำหน่าย และสายส่งไฟฟ้า</t>
  </si>
  <si>
    <t xml:space="preserve">ได้อย่างมีประสิทธิภาพ ครบ 100 % </t>
  </si>
  <si>
    <r>
      <t xml:space="preserve"> - ผลลัพธ์(Outcome) </t>
    </r>
    <r>
      <rPr>
        <b/>
        <vertAlign val="superscript"/>
        <sz val="16"/>
        <rFont val="TH SarabunPSK"/>
        <family val="2"/>
      </rPr>
      <t>[2]</t>
    </r>
  </si>
  <si>
    <t xml:space="preserve">เพิ่มความมั่นคง และรักษาระดับความเชื่อถือได้ของระบบจำหน่าย </t>
  </si>
  <si>
    <t>และระบบสายส่งไฟฟ้าของ กฟภ.</t>
  </si>
  <si>
    <t>4.2 ผลประโยชน์ที่คาดว่าจะได้รับในปี 2570 (กรณีเป็นแผนงานระยะยาว)</t>
  </si>
  <si>
    <r>
      <t xml:space="preserve"> - ผลผลิต(Output)</t>
    </r>
    <r>
      <rPr>
        <b/>
        <vertAlign val="superscript"/>
        <sz val="16"/>
        <rFont val="TH SarabunPSK"/>
        <family val="2"/>
      </rPr>
      <t xml:space="preserve"> [1]</t>
    </r>
  </si>
  <si>
    <r>
      <t xml:space="preserve"> - ผลลัพธ์(Outcome)</t>
    </r>
    <r>
      <rPr>
        <b/>
        <vertAlign val="superscript"/>
        <sz val="16"/>
        <rFont val="TH SarabunPSK"/>
        <family val="2"/>
      </rPr>
      <t xml:space="preserve"> [2]</t>
    </r>
  </si>
  <si>
    <r>
      <t xml:space="preserve">4.3 ก่อให้เกิดประโยชน์กับ กฟภ.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 xml:space="preserve"> พร้อมระบุวงเงิน)</t>
    </r>
  </si>
  <si>
    <t>เพิ่มรายได้</t>
  </si>
  <si>
    <t>ลดค่าใช้จ่าย</t>
  </si>
  <si>
    <t>อื่นๆ ระบุ</t>
  </si>
  <si>
    <t>5. การวิเคราะห์ผลกระทบทางธุรกิจ</t>
  </si>
  <si>
    <t>5.1 ผลกระทบต่อองค์กร</t>
  </si>
  <si>
    <t xml:space="preserve">มีการบริหารจัดการอุปกรณ์ไฟฟ้าในระบบจำหน่าย และสายส่งไฟฟ้าเป็นไปอย่างมีประสิทธิภาพ </t>
  </si>
  <si>
    <t>และมีแผนงานดำเนินการที่ชัดเจน</t>
  </si>
  <si>
    <t>5.2 ผลกระทบต่อชุมชน สังคม และสิ่งแวดล้อม</t>
  </si>
  <si>
    <t>เพื่อสร้างความมั่นคงและเพิ่มเสถียรภาพของระบบจำหน่ายและสายส่งไฟฟ้า</t>
  </si>
  <si>
    <t>6. ผลกระทบจากการไม่ได้รับพิจารณาให้ตั้งงบประมาณ</t>
  </si>
  <si>
    <t>เนื่องจากเป็นแผนระยะยาวที่ได้ประมาณการจากสถิติการชำรุดไว้แล้ว หากไม่ได้รับการจัดสรรอุปกรณ์ตาม</t>
  </si>
  <si>
    <t>ที่กำหนดไว้ อาจทำให้กระทบต่อการเปลี่ยนทดแทนการชำรุดของอุปกรณ์หลัก ซึ่งจะส่งผลต่อความมั่นคง</t>
  </si>
  <si>
    <t xml:space="preserve">และความเชื่อถือได้ของระบบ จำหน่าย 22/33 kV และระบบสายส่ง 115 kV </t>
  </si>
  <si>
    <t>7. ปัญหา อุปสรรค และแนวทางในการแก้ไขปัญหา อุปสรรค</t>
  </si>
  <si>
    <t>กระบวนการจัดหาล่าช้า แก้ไขโดยการวางแผนงานและติดตามผลการดำเนินงาน</t>
  </si>
  <si>
    <t>8. รายงานความก้าวหน้าของแผนจัดซื้อ/จัดจ้างตามแผนงานปกติ แบบ งป.009</t>
  </si>
  <si>
    <t>9. แผนการลงทุนรายปี ในกรณีที่ทำมากกว่า 1 ปี ตาม งป.010/1</t>
  </si>
  <si>
    <t>และแผนการจ่ายเงินตามงบผูกพัน(กรณีแผนระยะยาว/งานต่อเนื่อง) ตาม งป.010/2</t>
  </si>
  <si>
    <t>10. เป้าหมายการเบิกจ่ายรายเดือน แยกรายภาคและสำนักงานใหญ่ ตาม งป.010/3</t>
  </si>
  <si>
    <t>11. ประมาณการวัสดุอุปกรณ์นำเข้าจากต่างประเทศ ตาม แบบ งป.011</t>
  </si>
  <si>
    <t>12. การวิเคราะห์ประโยชน์และความคุ้มค่างาน/แผนงาน</t>
  </si>
  <si>
    <t xml:space="preserve"> -</t>
  </si>
  <si>
    <t>ประมาณการผลตอบแทนงาน/แผนงาน</t>
  </si>
  <si>
    <t xml:space="preserve">    ระยะเวลาคืนทุน (Payback Period)</t>
  </si>
  <si>
    <t xml:space="preserve">   ปี</t>
  </si>
  <si>
    <t xml:space="preserve">    อัตราผลตอบแทนเฉลี่ยรายปี (IRR) </t>
  </si>
  <si>
    <t xml:space="preserve">   %</t>
  </si>
  <si>
    <t xml:space="preserve">    มูลค่าปัจจุบันสุทธิ (NPV) </t>
  </si>
  <si>
    <t xml:space="preserve">   ล้านบาท</t>
  </si>
  <si>
    <t xml:space="preserve">    อัตราผลตอบแทนเฉลี่ยด้านการเงิน (FIRR) </t>
  </si>
  <si>
    <t xml:space="preserve">    อัตราผลตอบแทนเฉลี่ยด้านเศรษฐศาสตร์ (EIRR) </t>
  </si>
  <si>
    <t>[1] ผลผลิต (Output) ต่อหน่วยนับ สำหรับจำนวนหน่วยของผลผลิตระบุตามหน่วยที่สามารถวัดเป็น</t>
  </si>
  <si>
    <t xml:space="preserve">    เชิงปริมาณได้ หากไม่สามารถวัดเป็นหน่วยนับได้ให้กำหนดเป็นเปอร์เซ็นต์</t>
  </si>
  <si>
    <t>[2] ผลลัพธ์ (Outcome) หรือผลที่คาดว่าจะได้รับ ที่เกิดขึ้นตามมาจากการเกิดผลผลิต</t>
  </si>
  <si>
    <t>วัตถุประสงค์เชิงยุทธศาสตร์</t>
  </si>
  <si>
    <t>ยุทธศาสตร์</t>
  </si>
  <si>
    <t>กลยุทธ์</t>
  </si>
  <si>
    <t>BSC</t>
  </si>
  <si>
    <t>SO1 ยกระดับการบริหารจัดการระดับสากลเพื่อสร้างความยั่งยืน</t>
  </si>
  <si>
    <t>S1 สร้าง กฟภ. ให้เติบโตอย่างยั่งยืน</t>
  </si>
  <si>
    <t>เป้าหมายองค์กร (Financial Goal)</t>
  </si>
  <si>
    <t>SO2 ระบบจําหน่ายที่มีประสิทธิภาพและสร้างความน่าเชื่อถือ
ต่อลูกค้า และทุกกลุ่มผู้มีส่วนได้ส่วนเสีย</t>
  </si>
  <si>
    <t>S2 ยกระดับการบริหารทุนมนุษย์</t>
  </si>
  <si>
    <t>ลูกค้า (Customer Goal)</t>
  </si>
  <si>
    <t>SO3 เสริมสร้างศักยภาพด้าน Digital Utility และ มุ่งสู่การเป็นผู้นํา
ระบบไฟฟ้าในอนาคตระดับภูมิภาค</t>
  </si>
  <si>
    <t>S3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 อย่างมีประสิทธิภาพ (Digital Transformation)</t>
  </si>
  <si>
    <t>กระบวนการภายใน (Internal Process Goal)</t>
  </si>
  <si>
    <t>SO4 ยกระดับผลประกอบการและทิศทางของ PEA Portfolio</t>
  </si>
  <si>
    <t>S4 การพัฒนาระบบจัดการนวัตกรรมองค์กร (Corporate Innovation System :CIS)</t>
  </si>
  <si>
    <t>การเรียนรู้และพัฒนา (Learning &amp; Growth)</t>
  </si>
  <si>
    <t>S5 พัฒนาระบบจําหน่ายที่ได้คุณภาพในระดับชั้นนําของภูมิภาค</t>
  </si>
  <si>
    <t>S6 ยกระดับความพึงพอใจและความผูกพันของลูกค้าและกลุ่มผู้มี ส่วนได้ส่วนเสีย</t>
  </si>
  <si>
    <t>S7 ยกระดับ Grid Modernization Roadmap &amp; Implementation</t>
  </si>
  <si>
    <t>S8 ส่งเสริมบทบาท กฟภ. ในการผลักดันบทบาทเพื่อรองรับนโยบาย การเปิดไฟฟ้าเสรี</t>
  </si>
  <si>
    <t>S9 การกําหนดทิศทางเชิงยุทธศาสตร์ระหว่าง กฟภ. และบริษัทในเครือ</t>
  </si>
  <si>
    <t>S10 การดําเนินงานตามแผนสําหรับธุรกิจเกี่ยวเนื่อง และการบริหาร Product Portfolio</t>
  </si>
  <si>
    <t>S11 การปรับปรุงกฎระเบียบที่เกี่ยวข้องให้มีความคล่องตัว และ สามารถแข่งขันได้</t>
  </si>
  <si>
    <t>OC1 วิเคราะห GAP และแนวทางการผลักดันองคกรสูความยั่งยืน</t>
  </si>
  <si>
    <t>OC2 สนับสนุนการใชพลังงานอยางมีประสิทธิภาพ</t>
  </si>
  <si>
    <t>HCM1 สงเสริมการบริหารทุนมนุษยโดยใชเทคโนโลยีดิจิทัลในการพัฒนาระบบงานดาน HCM</t>
  </si>
  <si>
    <t>HCM2 พัฒนาระบบการเรียนรูและพัฒนาในการเสริมสรางและยกระดับสมรรถนะของบุคลากร</t>
  </si>
  <si>
    <t>DT1 พัฒนาขีดความสามารถดานเทคโนโลยีดิจิทัล เพื่อสะทอนถึงประสิทธิภาพของการบริหารคาใชจายและประสิทธิภาพของกระบวนการดําเนินงาน</t>
  </si>
  <si>
    <t>DT2 พัฒนาขีดความสามารถดาน Cyber Security และการบริหารจัดการเทคโนโลยีดิจิทัลสูมาตรฐานสากล</t>
  </si>
  <si>
    <t>CIS1 พัฒนาโครงสรางและกระบวนการดานนวัตกรรม</t>
  </si>
  <si>
    <t>OM1 การเพิ่มประสิทธิภาพและความนาเชื่อถือของระบบจําหนายอยางตอเนื่อง</t>
  </si>
  <si>
    <t>OM2 ยกระดับคุณภาพระบบจําหนายไฟฟาแรงต่ำรองรับการเปลี่ยนแปลงของอุตสาหกรรมไฟฟา</t>
  </si>
  <si>
    <t>SCM1 มุงตอบสนองความตองการความคาดหวังและความกังวลผูมีสวนไดสวนเสีย</t>
  </si>
  <si>
    <t>SCM2 การสรางประสบการณที่ดีของการ ใหบริการแบบ New Normal (Digital Customer Experience)</t>
  </si>
  <si>
    <t>SCM3 การรักษาฐานลูกคารายสําคัญ (Key Account)</t>
  </si>
  <si>
    <t>GM1 การเสริมสรางศักยภาพของระบบจําหนายโดย Smart Grid และระบบที่รองรับธุรกิจในอนาคต</t>
  </si>
  <si>
    <t>GM2 การผลักดันความสําเร็จของการรองรับการเปดไฟฟาเสรี</t>
  </si>
  <si>
    <t>NM1 การกําหนดนโยบายและกําหนดทิศทางการดําเนินงานของบริษัทในเครือรวมถึงการวิเคราะหถึง Business Alignment</t>
  </si>
  <si>
    <t>NM2 การดําเนินงานตามแผน PEA Portfolio Management</t>
  </si>
  <si>
    <t>NM3 ยกระดับผลประกอบการขององคกร และการจัดทําบัญชีตนทุนระหวาง Regulated Business และ Nonregulated Business รวมถึงการทำบัญชีต้นทุนรายกิจกรรม (ABC Costing)</t>
  </si>
  <si>
    <t>NM4 มุงเนนการสรางมูลคาเพิ่มจากฐานขอมูลผูใช้ไฟ</t>
  </si>
  <si>
    <t>RS1 ทบทวนกฎหมายระเบียบ ขอบังคับ เพื่อรองรับการดําเนินงานในธุรกิจเกี่ยวเนื่อง รวมถึงกํากับการดําเนินงานของบริษัทในเครือ เพื่อใหเกิด Synergy</t>
  </si>
  <si>
    <t>S1 ยกระดับการบริหารองค์กรและทุนมนุษย์</t>
  </si>
  <si>
    <t>S2 ส่งเสริมและพัฒนาขีดความสามารถด้วย
เทคโนโลยีดิจิทัล (Digital Technology)
ที่มีความมั่นคงปลอดภัย เพื่อการขับเคลื่อน
องค์กรอย่างมีประสิทธิภาพ
(Digital Transformation)</t>
  </si>
  <si>
    <t>S3 พัฒนาระบบจัดการนวัตกรรมองค์กร
(Corporate Innovation System :CIS)</t>
  </si>
  <si>
    <t>S4 พัฒนาระบบจำหน่ายที่ได้คุณภาพใน
ระดับชั้นนำของภูมิภาค ตาม Grid
Modernization Roadmap</t>
  </si>
  <si>
    <t>S5 ยกระดับความพึงพอใจและความผูกพัน
ของลูกค้าและกลุ่มผู้มีส่วนได้ส่วนเสีย</t>
  </si>
  <si>
    <t>S6 กำหนดทิศทางเชิงยุทธศาสตร์ ระหว่าง กฟภ.
และบริษัทในเครือ</t>
  </si>
  <si>
    <t>S7 ดำเนินงานตามแผนสำหรับธุรกิจเกี่ยวเนื่อง และ
การบริหารกลุ่มผลิตภัณฑ์(Product Portfolio)</t>
  </si>
  <si>
    <t>S8 ปรับปรุงกฎระเบียบที่เกี่ยวข้องให้มี
ความคล่องตัว และสามารถแข่งขันได้</t>
  </si>
  <si>
    <t>S9 ส่งเสริมบทบาท กฟภ. ในการขับเคลื่อนนโยบาย
การเปิดเสรีกิจการไฟฟ้า</t>
  </si>
  <si>
    <t>S10 เติบโตอย่างยั่งยืน เพิ่ม Eco-efficiency</t>
  </si>
  <si>
    <t xml:space="preserve">S11 เพิ่มสัดส่วนไฟฟ้าจาก Renewable
Energy </t>
  </si>
  <si>
    <t>แบบ งป.004/3</t>
  </si>
  <si>
    <t>13.  เหตุผลและความจำเป็นของงาน/แผนงาน</t>
  </si>
  <si>
    <r>
      <t xml:space="preserve">13.1 การสนับสนุนต่อยุทธศาสตร์  และวัตถุประสงค์เชิงยุทธศาสตร์ (เลือกได้มากกว่า 1 ยุทธศาสตร์)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</si>
  <si>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SO1</t>
  </si>
  <si>
    <t>SO2</t>
  </si>
  <si>
    <t>SO3</t>
  </si>
  <si>
    <t>เป็นผู้นำการให้บริการจำหน่ายไฟฟ้าด้วยเทคโนโลยีดิจิทัล นวัตกรรม และทุนมนุษย์</t>
  </si>
  <si>
    <t>ยกระดับผลประกอบการของธุรกิจเกี่ยวเนื่องต่อยอดธุรกิจใหม่</t>
  </si>
  <si>
    <t>เป็นองค์กรที่มีความพร้อมสำหรับการเปลี่ยนแปลงความท้าทายของประเทศเพื่อความยั่งยืน</t>
  </si>
  <si>
    <t>(   )</t>
  </si>
  <si>
    <r>
      <rPr>
        <b/>
        <sz val="16"/>
        <rFont val="TH SarabunPSK"/>
        <family val="2"/>
      </rPr>
      <t>S1</t>
    </r>
    <r>
      <rPr>
        <sz val="16"/>
        <rFont val="TH SarabunPSK"/>
        <family val="2"/>
      </rPr>
      <t xml:space="preserve"> พัฒนาประสิทธิภาพการทำงานและการให้บริการด้วยเทคโนโลยีเพื่อลดต้นทุน ค่าใช้จ่าย ควบคู่ไปกับการพัฒนาความสามารถด้านดิจิทัลและเทคโนโลยี AI ขององคกรและทุนมนษุยเพื่อรองรับ Industry 5.0, Electricity 5.0 และ Building 5.0</t>
    </r>
  </si>
  <si>
    <t>.......%</t>
  </si>
  <si>
    <r>
      <t xml:space="preserve">S3 </t>
    </r>
    <r>
      <rPr>
        <sz val="16"/>
        <rFont val="TH SarabunPSK"/>
        <family val="2"/>
      </rPr>
      <t>ขยายรายได้จากธุรกิจเกี่ยวเนื่อง</t>
    </r>
  </si>
  <si>
    <r>
      <t xml:space="preserve">S4 </t>
    </r>
    <r>
      <rPr>
        <sz val="16"/>
        <rFont val="TH SarabunPSK"/>
        <family val="2"/>
      </rPr>
      <t>เตรียมความพร้อมของระบบเพื่อรองรับการเปลี่ยนแปลงพลังงานในอนาคต</t>
    </r>
  </si>
  <si>
    <r>
      <rPr>
        <b/>
        <sz val="16"/>
        <rFont val="TH SarabunPSK"/>
        <family val="2"/>
      </rPr>
      <t>S2</t>
    </r>
    <r>
      <rPr>
        <sz val="16"/>
        <rFont val="TH SarabunPSK"/>
        <family val="2"/>
      </rPr>
      <t xml:space="preserve"> ยกระดับความพึงพอใจและความผูกพันของบุคลากร ลูกค้าและผู้มีส่วนไดสวนเสีย</t>
    </r>
  </si>
  <si>
    <r>
      <rPr>
        <b/>
        <sz val="16"/>
        <rFont val="TH SarabunPSK"/>
        <family val="2"/>
      </rPr>
      <t xml:space="preserve">S5 </t>
    </r>
    <r>
      <rPr>
        <sz val="16"/>
        <rFont val="TH SarabunPSK"/>
        <family val="2"/>
      </rPr>
      <t>การพัฒนาเติบโตอย่างยั่งยืนเพื่อพัฒนาองค์กร มุ่งสู่ Cabon Neutrality</t>
    </r>
  </si>
  <si>
    <r>
      <rPr>
        <b/>
        <sz val="16"/>
        <rFont val="TH SarabunPSK"/>
        <family val="2"/>
      </rPr>
      <t>หมายเหตุ</t>
    </r>
    <r>
      <rPr>
        <sz val="16"/>
        <rFont val="TH SarabunPSK"/>
        <family val="2"/>
      </rPr>
      <t xml:space="preserve"> : ทุกยุทธศาสตร์รวมกัน = 100%</t>
    </r>
  </si>
  <si>
    <t xml:space="preserve">13.2 การสนับสนุนต่อมุมมองตาม Balanced Scorecard </t>
  </si>
  <si>
    <t>มุมมอง :</t>
  </si>
  <si>
    <t>ตัวชี้วัดและเป้าหมาย :</t>
  </si>
  <si>
    <t>เพื่อปรับปรุงระบบไฟฟ้า ให้ความเชื่อถือได้ และสร้างความเชื่อมั่นแก่ผู้ใช้ไฟ</t>
  </si>
  <si>
    <t>14. แนวทางในการดำเนินงานของงาน/แผนงาน</t>
  </si>
  <si>
    <t>14.1 แผนการดำเนินงาน</t>
  </si>
  <si>
    <t>กิจกรรมหลัก</t>
  </si>
  <si>
    <t>หน่วยนับ</t>
  </si>
  <si>
    <t>ระยะเวลาดำเนินการ</t>
  </si>
  <si>
    <t>ปีงบประมาณ</t>
  </si>
  <si>
    <t>ปี 70</t>
  </si>
  <si>
    <t>ปี 71  
 - สิ้นสุดแผนงาน</t>
  </si>
  <si>
    <t>เริ่มต้น - ปี 69</t>
  </si>
  <si>
    <t>แผนงานจัดหาอุปกรณ์ป้องกัน/ตัดตอน/อุปกรณ์ประกอบและอุปกรณ์สำรองสำหรับสายเคเบิลใต้ดิน/ใต้น้ำ ในระบบจำหน่ายและสายส่งไฟฟ้า (ปี 2569-2571) (22 รายการ)
(ไม่รวมสำรองราคา)</t>
  </si>
  <si>
    <t>ร้อยละของงาน 100 %</t>
  </si>
  <si>
    <r>
      <t xml:space="preserve">(  </t>
    </r>
    <r>
      <rPr>
        <sz val="16"/>
        <rFont val="Symbol"/>
        <family val="1"/>
        <charset val="2"/>
      </rPr>
      <t>Ö</t>
    </r>
    <r>
      <rPr>
        <sz val="16"/>
        <rFont val="TH SarabunPSK"/>
        <family val="2"/>
      </rPr>
      <t xml:space="preserve">   )</t>
    </r>
  </si>
  <si>
    <t xml:space="preserve"> ดำเนินการเอง …………… %</t>
  </si>
  <si>
    <t xml:space="preserve"> จ้างเหมา ….……….……… %</t>
  </si>
  <si>
    <t xml:space="preserve"> จ้างเหมาแบบ Turnkey …........... %</t>
  </si>
  <si>
    <t>แบบ งป.004/4</t>
  </si>
  <si>
    <t>14.2 งบประมาณลงทุนเพื่อการดำเนินงานปกติ ที่ขอตั้งประจำปี 2570</t>
  </si>
  <si>
    <t xml:space="preserve"> </t>
  </si>
  <si>
    <t>รายการ</t>
  </si>
  <si>
    <t>วงเงินดำเนินการ</t>
  </si>
  <si>
    <t>เป้าหมายการเบิกจ่าย(รายปี)</t>
  </si>
  <si>
    <t>ปี 2570</t>
  </si>
  <si>
    <t>เป้าหมายการเบิกจ่าย</t>
  </si>
  <si>
    <t>1. หมวดที่ดิน (งป.005)</t>
  </si>
  <si>
    <t>2. หมวดสิ่งก่อสร้าง</t>
  </si>
  <si>
    <t xml:space="preserve">   งานโยธา (งป.006)</t>
  </si>
  <si>
    <t xml:space="preserve">   งานระบบไฟฟ้า</t>
  </si>
  <si>
    <t xml:space="preserve"> - ค่าวัสดุอุปกรณ์ (งป.007)</t>
  </si>
  <si>
    <t>แผนงานจัดหาอุปกรณ์ป้องกัน/ตัดตอน/อุปกรณ์ประกอบและอุปกรณ์สำรองสำหรับสายเคเบิลใต้ดิน/ใต้น้ำ ในระบบจำหน่ายและสายส่งไฟฟ้า 
(ปี 2569-2571)(รายการที่ 1 -22) 
ไม่รวมสำรองราคา</t>
  </si>
  <si>
    <t>รวมงานระบบไฟฟ้า</t>
  </si>
  <si>
    <t>3. หมวดเครื่องจักรอุปกรณ์ (งป.008)</t>
  </si>
  <si>
    <t>4. หมวดยานพาหนะ (งป.008)</t>
  </si>
  <si>
    <t>5. หมวดเครื่องมือ เครื่องใช้ขนาดเล็ก (งป.008)</t>
  </si>
  <si>
    <t>6. หมวดวิจัยและพัฒนา (งป.008)</t>
  </si>
  <si>
    <t>7. หมวดอื่น ๆ (งป.008)</t>
  </si>
  <si>
    <r>
      <t xml:space="preserve">8. สำรองค่าปรับราคา(กรณีแผนระยะยาว) </t>
    </r>
    <r>
      <rPr>
        <b/>
        <vertAlign val="superscript"/>
        <sz val="16"/>
        <rFont val="TH SarabunPSK"/>
        <family val="2"/>
      </rPr>
      <t>[1]</t>
    </r>
  </si>
  <si>
    <t>รวมทั้งสิ้น</t>
  </si>
  <si>
    <t xml:space="preserve">[1] สำรองค่าปรับราคา เป็นการตั้งวงเงินสำหรับสมทบการจัดซื้อ จัดจ้าง/จ้างเหมา กรณีเป็นแผนงานใหม่ </t>
  </si>
  <si>
    <t>จะเริ่มตั้งสำรองราคาปี 2571 จนสิ้นสุดแผน</t>
  </si>
  <si>
    <t>15. การประเมินประสิทธิผลการควบคุมที่มีอยู่ และประเมินระดับความเสี่ยงของงาน/แผนงาน</t>
  </si>
  <si>
    <t xml:space="preserve">     15.1 การประเมินประสิทธิผลการควบคุมที่มีอยู่ของงาน/แผนงาน</t>
  </si>
  <si>
    <t>งาน/แผนงาน
(ปัจจัยเสี่ยง)</t>
  </si>
  <si>
    <t>ประเภทของปัจจัยเสี่ยง
S / O / F / C</t>
  </si>
  <si>
    <t>ประสิทธิผลการควบคุมที่มีอยู่</t>
  </si>
  <si>
    <r>
      <t>ผลสรุป 
(เพียงพอ(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)/ไม่เพียงพอ(</t>
    </r>
    <r>
      <rPr>
        <b/>
        <sz val="16"/>
        <rFont val="Wingdings"/>
        <charset val="2"/>
      </rPr>
      <t>û</t>
    </r>
    <r>
      <rPr>
        <b/>
        <sz val="16"/>
        <rFont val="TH SarabunPSK"/>
        <family val="2"/>
      </rPr>
      <t>))</t>
    </r>
  </si>
  <si>
    <t xml:space="preserve">ผลการดำเนินงานเมื่อเทียบกับเป้าหมาย </t>
  </si>
  <si>
    <t xml:space="preserve">กระบวนการควบคุม </t>
  </si>
  <si>
    <t xml:space="preserve">การติดตาม </t>
  </si>
  <si>
    <t>1.แผนงานจัดหาอุปกรณ์ป้องกัน/ตัดตอน/อุปกรณ์ประกอบและอุปกรณ์สำรองสำหรับสายเคเบิลใต้ดิน/ใต้น้ำ ในระบบจำหน่ายและสายส่งไฟฟ้า (ปี 2569-2571)</t>
  </si>
  <si>
    <t>O : Operational Risk ความเสี่ยงด้านการปฏิบัติการ</t>
  </si>
  <si>
    <t>ผลการดำเนินงานเป็นไปตามเป้าหมาย
(เทียบเท่าระดับ 3)</t>
  </si>
  <si>
    <t>มีการควบคุมเป็นมาตรฐานของ
แต่ละหน่วยงาน</t>
  </si>
  <si>
    <t xml:space="preserve">มีการติดตาม แต่ไม่มีการรายงานให้ผู้บริหารทราบ </t>
  </si>
  <si>
    <t>เพียงพอ</t>
  </si>
  <si>
    <t>ระดับการควบคุม</t>
  </si>
  <si>
    <t>ผลการดำเนินงานเมื่อเทียบกับเป้าหมาย</t>
  </si>
  <si>
    <t>กระบวนการควบคุม</t>
  </si>
  <si>
    <t>การติดตาม</t>
  </si>
  <si>
    <t>เบื่องต้น</t>
  </si>
  <si>
    <t>ผลการดำเนินงานต่ำกว่าเป้าหมายมาก 
(เทียบเท่าระดับ 1)</t>
  </si>
  <si>
    <t>ไม่มีมาตรฐานที่ชัดเจน</t>
  </si>
  <si>
    <t xml:space="preserve">ไม่มีการติดตาม </t>
  </si>
  <si>
    <t>ไม่เป็นทางการ</t>
  </si>
  <si>
    <t>ผลการดำเนินงานต่ำกว่าเป้าหมาย
(เทียบเท่าระดับ 2)</t>
  </si>
  <si>
    <t>มีการควบคุมเป็นมาตรฐาน แต่ยังไม่นำออกมาใช้</t>
  </si>
  <si>
    <t>มีการควบคุม แต่ไม่มีการติดตาม</t>
  </si>
  <si>
    <t>เป็นระบบ</t>
  </si>
  <si>
    <t>มีการควบคุมเป็นมาตรฐาน ของแต่ละหน่วยงาน</t>
  </si>
  <si>
    <t>บูรณาการ</t>
  </si>
  <si>
    <t>ผลการดำเนินงานดีกว่าเป้าหมาย
(เทียบเท่าระดับ 4)</t>
  </si>
  <si>
    <t>มีการกำหนดเป็นมาตรฐาน ขององค์กร</t>
  </si>
  <si>
    <t>มีการติดตาม และมีการรายงานให้ผู้บริหารทราบเป็นระยะ</t>
  </si>
  <si>
    <t>เกิดประโยชน์สูงสุด</t>
  </si>
  <si>
    <t>ผลการดำเนินงานดีกว่าเป้าหมายมาก
(เทียบเท่าระดับ 5)</t>
  </si>
  <si>
    <t>มีการกำหนดเป็นมาตรฐานขององค์กร และเทียบเคียงกับ Best Practice</t>
  </si>
  <si>
    <t>มีการระบุระยะเวลาการติดตามและรายงานผลที่ชัดเจน</t>
  </si>
  <si>
    <t xml:space="preserve">หมายเหตุ : </t>
  </si>
  <si>
    <t>การให้คะแนน 1 - 5 คะแนน ตามตารางที่ 15.1 ใน 3 ประเด็น ดังนี้</t>
  </si>
  <si>
    <t>1) ผลการดำเนินงานเมื่อเทียบกับเป้าหมาย</t>
  </si>
  <si>
    <r>
      <t>2)</t>
    </r>
    <r>
      <rPr>
        <sz val="7"/>
        <rFont val="Times New Roman"/>
        <family val="1"/>
      </rPr>
      <t xml:space="preserve">    </t>
    </r>
    <r>
      <rPr>
        <sz val="16"/>
        <rFont val="TH SarabunPSK"/>
        <family val="2"/>
      </rPr>
      <t>กระบวนการควบคุม</t>
    </r>
  </si>
  <si>
    <t>แบบ งป.004/5</t>
  </si>
  <si>
    <r>
      <t>3)</t>
    </r>
    <r>
      <rPr>
        <sz val="7"/>
        <rFont val="Times New Roman"/>
        <family val="1"/>
      </rPr>
      <t xml:space="preserve">    </t>
    </r>
    <r>
      <rPr>
        <sz val="16"/>
        <rFont val="TH SarabunPSK"/>
        <family val="2"/>
      </rPr>
      <t>การติดตามประเมินผล</t>
    </r>
  </si>
  <si>
    <t>โดยพิจารณาความเพียงพอจากการประเมินประสิทธิผลการควบคุมที่มีอยู่ หากปัจจัยเสี่ยงใดมีผลการประเมินในมิติใดมติหนึ่ง ต่ำกว่า 3 คะแนน ปัจจัยเสี่ยงนั้นจะถูกนำมาพิจารณาว่ามีประสิทธิผล</t>
  </si>
  <si>
    <t>ของการควบคุมไม่เพียงพอ ให้นำปัจจัยเสี่ยงดังกล่าวไปประเมินระดับความรุนแรงปัจจัยเสี่ยงของโครงการต่อไป หากปัจจัยเสี่ยงที่ระบุได้ เป็นเรื่องใหม่และยังไม่เคยดำเนินการมาก่อน ให้คาดการณ์ผลการประเมินฯ ทั้ง 3 ประเด็น</t>
  </si>
  <si>
    <t xml:space="preserve">     15.2 การประเมินระดับความรุนแรงปัจจัยเสี่ยงของงาน/แผนงาน</t>
  </si>
  <si>
    <t>ปัจจัยเสี่ยง</t>
  </si>
  <si>
    <r>
      <t xml:space="preserve">ระดับความรุนแรง
</t>
    </r>
    <r>
      <rPr>
        <b/>
        <u/>
        <sz val="16"/>
        <rFont val="TH SarabunPSK"/>
        <family val="2"/>
      </rPr>
      <t>ก่อน</t>
    </r>
    <r>
      <rPr>
        <b/>
        <sz val="16"/>
        <rFont val="TH SarabunPSK"/>
        <family val="2"/>
      </rPr>
      <t>การบริหารความเสี่ยง (ต้นปี 2568)</t>
    </r>
  </si>
  <si>
    <t>แนวทางในการจัดการความเสี่ยง</t>
  </si>
  <si>
    <r>
      <t xml:space="preserve">คาดการณ์ระดับความรุนแรง
</t>
    </r>
    <r>
      <rPr>
        <b/>
        <u/>
        <sz val="16"/>
        <rFont val="TH SarabunPSK"/>
        <family val="2"/>
      </rPr>
      <t>หลัง</t>
    </r>
    <r>
      <rPr>
        <b/>
        <sz val="16"/>
        <rFont val="TH SarabunPSK"/>
        <family val="2"/>
      </rPr>
      <t>การบริหารความเสี่ยง (ณ สิ้นปี 2568)</t>
    </r>
  </si>
  <si>
    <t>โอกาส</t>
  </si>
  <si>
    <t>ผลกระทบ</t>
  </si>
  <si>
    <t>ระดับความเสี่ยง</t>
  </si>
  <si>
    <t>(Likelihood : L)</t>
  </si>
  <si>
    <t xml:space="preserve"> (Impact : I)</t>
  </si>
  <si>
    <t>(Risk Severity : LxI)</t>
  </si>
  <si>
    <t>1) กระบวนการจัดซื้ออุปกรณ์ได้ล่าช้ากว่าแผนความต้องการใช้งานที่กำหนดไว้</t>
  </si>
  <si>
    <t>มีการประชุมติดตามและสนับสนุนข้อมูลในการจัดหา</t>
  </si>
  <si>
    <t>ตารางโอกาสเกิด/ผลกระทบ</t>
  </si>
  <si>
    <t>ระดับ</t>
  </si>
  <si>
    <t>โอกาสเกิด (Likelihood : L)</t>
  </si>
  <si>
    <t>ผลกระทบ (Impact : I)</t>
  </si>
  <si>
    <t>ความหมาย</t>
  </si>
  <si>
    <t>มีโอกาสเกิดขึ้นต่ำมาก</t>
  </si>
  <si>
    <t>มีผลกระทบต่ำมาก</t>
  </si>
  <si>
    <t>มีโอกาสเกิดขึ้นต่ำ</t>
  </si>
  <si>
    <t>มีผลกระทบต่ำ</t>
  </si>
  <si>
    <t>มีโอกาสเกิดขึ้นปานกลาง</t>
  </si>
  <si>
    <t>มีผลกระทบปานกลาง</t>
  </si>
  <si>
    <t>มีโอกาสเกิดขึ้นสูง</t>
  </si>
  <si>
    <t>มีผลกระทบสูง</t>
  </si>
  <si>
    <t>มีโอกาสเกิดขึ้นสูงมาก</t>
  </si>
  <si>
    <t>มีผลกระทบสูงมาก</t>
  </si>
  <si>
    <t>แผนภาพความเสี่ยง (Risk Profile)</t>
  </si>
  <si>
    <t xml:space="preserve">จัดทำโดย </t>
  </si>
  <si>
    <t>ตรวจสอบโดย</t>
  </si>
  <si>
    <t>.......................................................................</t>
  </si>
  <si>
    <t>..........................................................................</t>
  </si>
  <si>
    <t xml:space="preserve">  (                                      )</t>
  </si>
  <si>
    <t xml:space="preserve">   (                                 )</t>
  </si>
  <si>
    <t>ตำแหน่ง  (หผ.)</t>
  </si>
  <si>
    <t>ตำแหน่ง  (อก.)</t>
  </si>
  <si>
    <t>เบอร์โทรศัพท์</t>
  </si>
  <si>
    <t>วันที่</t>
  </si>
  <si>
    <t>คำอธิบายแบบ งป.004/1 - งป.004/5</t>
  </si>
  <si>
    <t>(แบบข้อมูลพื้นฐานของงาน)</t>
  </si>
  <si>
    <r>
      <t xml:space="preserve">ชื่องาน/แผนงาน หมายถึง </t>
    </r>
    <r>
      <rPr>
        <sz val="16"/>
        <rFont val="TH SarabunPSK"/>
        <family val="2"/>
      </rPr>
      <t>ชื่อของงานที่หน่วยงานจะดำเนินการ เพื่อให้บรรลุตามวัตถุประสงค์ที่ตั้งไว้</t>
    </r>
  </si>
  <si>
    <t>2.</t>
  </si>
  <si>
    <t>รายละเอียดของงาน/แผนงาน</t>
  </si>
  <si>
    <t>ผู้รับผิดชอบ</t>
  </si>
  <si>
    <t>ให้ระบุหน่วยงานเป็นระดับแผนก, กอง, ฝ่าย, สายงาน, เบอร์โทร</t>
  </si>
  <si>
    <t>ความจำเป็นในการดำเนินงาน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</si>
  <si>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ในหัวข้อที่เลือกว่าเป็นงาน/แผนงาน </t>
    </r>
  </si>
  <si>
    <t xml:space="preserve">ที่มีความจำเป็นจะต้องดำเนินการ เช่น มีสัญญา ข้อผูกพัน </t>
  </si>
  <si>
    <t xml:space="preserve">หรือมีเงื่อนไขที่ต้องดำเนินการ หรือเป็นนโยบายที่สำคัญของ กฟภ. </t>
  </si>
  <si>
    <t>ถ้าไม่ดำเนินการจะก่อให้เกิดความเสียหาย หรือสอดคล้องกับ</t>
  </si>
  <si>
    <t>นโยบายของรัฐบาล เช่น งานขยายเขตต่างๆ ให้บ้านเรือนราษฎร</t>
  </si>
  <si>
    <t>ที่ไม่มีไฟฟ้าใช้  เป็นต้น</t>
  </si>
  <si>
    <t>ประเภทการลงทุน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</si>
  <si>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ในหัวข้อที่เลือกว่างาน/แผนงาน เป็นประเภทการลงทุนใด</t>
    </r>
  </si>
  <si>
    <t>สถานะของงาน</t>
  </si>
  <si>
    <r>
      <rPr>
        <b/>
        <sz val="16"/>
        <rFont val="TH SarabunPSK"/>
        <family val="2"/>
      </rPr>
      <t xml:space="preserve">หมายถึง </t>
    </r>
    <r>
      <rPr>
        <sz val="16"/>
        <rFont val="TH SarabunPSK"/>
        <family val="2"/>
      </rPr>
      <t>สถานภาพของงานในปีที่ขอตั้งงบประมาณว่าเป็น</t>
    </r>
  </si>
  <si>
    <t xml:space="preserve">งาน/แผนงานต่อเนื่องหรืองาน/แผนงานใหม่ </t>
  </si>
  <si>
    <t>ได้รับอนุมัติจาก</t>
  </si>
  <si>
    <r>
      <t xml:space="preserve">ให้ทำเครื่องหมาย </t>
    </r>
    <r>
      <rPr>
        <sz val="16"/>
        <rFont val="Wingdings"/>
        <charset val="2"/>
      </rPr>
      <t xml:space="preserve">ü </t>
    </r>
    <r>
      <rPr>
        <sz val="16"/>
        <rFont val="TH SarabunIT๙"/>
        <family val="2"/>
      </rPr>
      <t>ในหัวข้อที่ได้รับการอนุมัติ และระบุวันที่ที่ได้รับอนุมัติ</t>
    </r>
  </si>
  <si>
    <t>พื้นที่ดำเนินการ</t>
  </si>
  <si>
    <t>ให้ระบุสถานที่และจังหวัดที่ดำเนินการของงาน/แผนงาน</t>
  </si>
  <si>
    <t>ให้ระบุระยะเวลาเริ่มต้นที่ได้รับอนุมัติงาน/แผนงาน และระยะ</t>
  </si>
  <si>
    <t>เวลาสิ้นสุด คือระยะเวลาที่คาดว่าจะได้รับมอบงานงวดสุดท้าย</t>
  </si>
  <si>
    <t xml:space="preserve">วงเงินลงทุนทั้งสิ้นของงาน/แผนงาน 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</si>
  <si>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วงเงินงบประมาณรวมทั้งสิ้นที่จะใช้ในการดำเนินการ</t>
    </r>
  </si>
  <si>
    <t>วงเงินลงทุนปี 2570 ของงาน/แผนงาน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</si>
  <si>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วงเงินที่ขอตั้งงบประมาณปี 2570</t>
    </r>
  </si>
  <si>
    <t>2.10</t>
  </si>
  <si>
    <t>เป้าหมายการเบิกจ่ายงบลงทุนปี 2570</t>
  </si>
  <si>
    <t>ให้ประมาณการค่าใช้จ่ายที่จะใช้ในปีที่ขอตั้งงบประมาณ</t>
  </si>
  <si>
    <t>โดยวงเงินรวมเป้าหมายการเบิกจ่ายต้องเท่ากับวงเงินดำเนินการปี 2570</t>
  </si>
  <si>
    <t>วงเงินงบทำการที่ขอตั้งในปี 2570</t>
  </si>
  <si>
    <t>ให้ใส่วงเงินที่ขอใช้จากงบทำการ (ถ้ามี)</t>
  </si>
  <si>
    <t>3.</t>
  </si>
  <si>
    <t>วัตถุประสงค์ของงาน/แผนงาน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</si>
  <si>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 จุดมุ่งหมายในการดำเนินการเพื่อให้บรรลุผลเมื่อสิ้นสุดงาน/แผนงาน</t>
    </r>
  </si>
  <si>
    <t>4.</t>
  </si>
  <si>
    <t>ผลประโยชน์ที่คาดว่าจะได้รับ</t>
  </si>
  <si>
    <t>ผลประโยชน์ที่คาดว่าจะได้รับหลังเสร็จสิ้น</t>
  </si>
  <si>
    <r>
      <rPr>
        <b/>
        <sz val="16"/>
        <rFont val="TH SarabunPSK"/>
        <family val="2"/>
      </rPr>
      <t xml:space="preserve">ผลผลิต (Output)  หมายถึง </t>
    </r>
    <r>
      <rPr>
        <sz val="16"/>
        <rFont val="TH SarabunPSK"/>
        <family val="2"/>
      </rPr>
      <t>ผลผลิตต่อหน่วยนับ สำหรับหน่วยของผลผลิต</t>
    </r>
  </si>
  <si>
    <t>งาน/แผนงาน</t>
  </si>
  <si>
    <t>ระบุตามหน่วยที่สามารถวัดเป็นเชิงปริมาณได้ หากไม่สามารถวัดเป็นหน่วยนับได้</t>
  </si>
  <si>
    <t>กำหนดเป็นเปอร์เซนต์</t>
  </si>
  <si>
    <r>
      <t>ผลลัพธ์ (Outcome) หมายถึง</t>
    </r>
    <r>
      <rPr>
        <sz val="16"/>
        <rFont val="TH SarabunPSK"/>
        <family val="2"/>
      </rPr>
      <t xml:space="preserve"> ผลที่คาดว่าจะได้รับ ที่เกิดขึ้นตามมาจากการเกิด</t>
    </r>
  </si>
  <si>
    <t>ผลผลิต</t>
  </si>
  <si>
    <t>ผลประโยชน์ที่คาดว่าจะได้รับในปี 2570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</si>
  <si>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ผลผลิต(Output) และ ผลลัพธ์ (Outcome) ในปี 2570</t>
    </r>
  </si>
  <si>
    <t>(กรณีเป็นแผนงานระยะยาว)</t>
  </si>
  <si>
    <t>ของแผนงานระยะยาว</t>
  </si>
  <si>
    <t>ก่อให้เกิดประโยชน์กับ กฟภ.</t>
  </si>
  <si>
    <r>
      <t xml:space="preserve">ระบุการลงทุนของงาน/แผนงาน ก่อให้เกิด ประโยชน์กับ กฟภ.ในด้านใด
ให้ทำเครื่องหมาย </t>
    </r>
    <r>
      <rPr>
        <sz val="16"/>
        <rFont val="Wingdings"/>
        <charset val="2"/>
      </rPr>
      <t>ü</t>
    </r>
  </si>
  <si>
    <t>5.</t>
  </si>
  <si>
    <t>การวิเคราะห์ผลกระทบทางธุรกิจ</t>
  </si>
  <si>
    <t>ผลกระทบต่อองค์กร</t>
  </si>
  <si>
    <t>ให้ระบุถึง</t>
  </si>
  <si>
    <t xml:space="preserve"> - สนับสนุนวิสัยทัศน์ พันธกิจขององค์กร </t>
  </si>
  <si>
    <t xml:space="preserve"> - สนับสนุนยุทธศาสตร์หลักขององค์กร  </t>
  </si>
  <si>
    <t xml:space="preserve"> - หน่วยงานกำกับกำหนด (องค์กรจำเป็นต้องดำเนินการ)</t>
  </si>
  <si>
    <t>ผลกระทบต่อชุมชน สังคม</t>
  </si>
  <si>
    <t xml:space="preserve">ให้ระบุถึงบทวิเคราะห์ผลกระทบทางลบต่อสังคม / </t>
  </si>
  <si>
    <t>และสิ่งแวดล้อม</t>
  </si>
  <si>
    <t>ความกังวลของสาธารณะชน / สิ่งแวดล้อมที่เกิดจากการดำเนินงาน</t>
  </si>
  <si>
    <t>ของงาน/แผนงาน</t>
  </si>
  <si>
    <t>6.</t>
  </si>
  <si>
    <t>ผลกระทบจากการไม่ได้รับพิจารณา</t>
  </si>
  <si>
    <t>ระบุผลกระทบที่ได้รับหากไม่ได้รับการพิจารณาตั้งงบประมาณ</t>
  </si>
  <si>
    <t>ให้ตั้งงบประมาณ</t>
  </si>
  <si>
    <t>7.</t>
  </si>
  <si>
    <t>ปัญหา อุปสรรค และแนวทางในการแก้ไข</t>
  </si>
  <si>
    <t>ให้ระบุ (ถ้ามี)</t>
  </si>
  <si>
    <t>ปัญหา อุปสรรค</t>
  </si>
  <si>
    <t>รายงานความก้าวหน้าของแผนจัดซื้อ/จัดจ้างตาม</t>
  </si>
  <si>
    <t>ให้กำหนดขั้นตอนการปฎิบัติงาน การดำเนินการจัดซื้อจัดจ้าง การส่งของ</t>
  </si>
  <si>
    <t>แผนงานปกติ Workflow</t>
  </si>
  <si>
    <t>/ก่อสร้าง การตรวจรับและทดสอบพร้อมทั้งประมาณการเบิกจ่ายของแต่ละงาน</t>
  </si>
  <si>
    <t>ลงในเดือนที่คาดว่าจะจ่ายจริงจนสิ้นสุดวงเงินที่ขอตั้งงบประมาณ</t>
  </si>
  <si>
    <t>ในแบบ งป.009</t>
  </si>
  <si>
    <t>9.</t>
  </si>
  <si>
    <t>การจัดทำแผนการลงทุนให้จัดทำเป็นรายปี ในกรณีที่ทำมากกว่า 1 ปี</t>
  </si>
  <si>
    <t>และแผนการจ่ายเงินตามงบผูกพัน</t>
  </si>
  <si>
    <t>ให้จัดทำตั้งแต่เริ่มต้นแผนงานจนสิ้นสุดแผนงาน ตามแบบ งป.010/1</t>
  </si>
  <si>
    <t xml:space="preserve">(กรณีแผนระยะยาว/งานต่อเนื่อง) </t>
  </si>
  <si>
    <t>สำหรับแผนงานเก่าให้แสดงสถานะการใช้เงินด้วย ตามแบบ งป.010/2</t>
  </si>
  <si>
    <t>10.</t>
  </si>
  <si>
    <t>เป้าหมายการเบิกจ่ายรายเดือน แยกรายภาค</t>
  </si>
  <si>
    <r>
      <rPr>
        <b/>
        <sz val="16"/>
        <rFont val="TH SarabunPSK"/>
        <family val="2"/>
      </rPr>
      <t xml:space="preserve">หมายถึง </t>
    </r>
    <r>
      <rPr>
        <sz val="16"/>
        <rFont val="TH SarabunPSK"/>
        <family val="2"/>
      </rPr>
      <t>ให้จัดทำเป้าหมายการเบิกจ่ายรายเดือน โดยพิจารณาให้สอดคล้องกับ</t>
    </r>
  </si>
  <si>
    <t>และสำนักงานใหญ่ ตาม งป.010/3</t>
  </si>
  <si>
    <t>การจัดสรรทรัพย์สินลงในแต่ละภาคและสำนักงานใหญ่ ตามแบบ งป.010/3</t>
  </si>
  <si>
    <t>11.</t>
  </si>
  <si>
    <t>ประมาณการวัสดุอุปกรณ์นำเข้าจากต่างประเทศ</t>
  </si>
  <si>
    <t>ให้แสดงรายการประมาณการวัสดุอุปกรณ์นำเข้าจากต่างประเทศของแต่ละ</t>
  </si>
  <si>
    <t>แผนงานตั้งแต่ปีเริ่มต้นจนถึงปีสิ้นสุดแผนงาน และปีที่ขอตั้งงบประมาณ</t>
  </si>
  <si>
    <t>แยกประมาณการเบิกจ่ายเป็นรายเดือน ตามแบบ งป.011</t>
  </si>
  <si>
    <t>12.</t>
  </si>
  <si>
    <t>การวิเคราะห์ประโยชน์และความคุ้มค่างาน/แผนงาน</t>
  </si>
  <si>
    <t>ให้ระบุผลการวิเคราะห์ผลตอบแทนการลงทุนของงาน/แผนงานทุก</t>
  </si>
  <si>
    <t>รายการเพื่อใช้เป็นข้อมูลประกอบการพิจารณางบประมาณและการกู้เงิน</t>
  </si>
  <si>
    <t>เสนอ สศช., สคร. และ สบน.</t>
  </si>
  <si>
    <t>13.</t>
  </si>
  <si>
    <t>เหตุผลและความจำเป็นของงานและแผนงาน</t>
  </si>
  <si>
    <t xml:space="preserve">การสนับสนุนต่อยุทธศาสตร์  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</si>
  <si>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ระบุว่าสอดคล้องกับยุทธศาสตร์และวัตถุประสงค์</t>
    </r>
  </si>
  <si>
    <t xml:space="preserve">และวัตถุประสงค์เชิงยุทธศาสตร์ </t>
  </si>
  <si>
    <t xml:space="preserve">เชิงยุทธศาสตร์ใดขององค์กร โดยสามารถระบุได้มากกว่า 1 ยุทธศาสตร์ </t>
  </si>
  <si>
    <t>การสนับสนุนต่อมุมมอง</t>
  </si>
  <si>
    <r>
      <rPr>
        <b/>
        <sz val="16"/>
        <rFont val="TH SarabunPSK"/>
        <family val="2"/>
      </rPr>
      <t xml:space="preserve"> - มุมมอง</t>
    </r>
    <r>
      <rPr>
        <sz val="16"/>
        <rFont val="TH SarabunPSK"/>
        <family val="2"/>
      </rPr>
      <t xml:space="preserve"> ให้ระบุว่าสอดรับกับยุทธศาสตร์ด้านใดใน BSC</t>
    </r>
  </si>
  <si>
    <t xml:space="preserve">ตาม Balanced Scorecard </t>
  </si>
  <si>
    <r>
      <rPr>
        <b/>
        <sz val="16"/>
        <rFont val="TH SarabunPSK"/>
        <family val="2"/>
      </rPr>
      <t xml:space="preserve"> - ตัวชี้วัดและเป้าหมาย</t>
    </r>
    <r>
      <rPr>
        <sz val="16"/>
        <rFont val="TH SarabunPSK"/>
        <family val="2"/>
      </rPr>
      <t xml:space="preserve"> ให้ระบุเกณฑ์วัดในการดำเนินงาน และค่าเป้าหมาย</t>
    </r>
  </si>
  <si>
    <t xml:space="preserve">  ตามที่กำหนดไว้ใน BSC</t>
  </si>
  <si>
    <t xml:space="preserve">14. </t>
  </si>
  <si>
    <t>แนวทางในการดำเนินงานของงาน/แผนงาน</t>
  </si>
  <si>
    <t>แผนการดำเนินงาน</t>
  </si>
  <si>
    <t>ให้ระบุลักษณะกิจกรรมหลักของงาน โดยแสดงปริมาณงานที่คาดว่าจะดำเนินการ</t>
  </si>
  <si>
    <t>ในปีงบประมาณจนจบแผนงาน (ถ้าทำมากกว่า 1 ปี)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</si>
  <si>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ระบุว่าจะดำเนินการเองหรือจ้างเหมาดำเนินการ</t>
    </r>
  </si>
  <si>
    <t>เป็นร้อยละเท่าไร (จ้างเหมาเฉพาะค่าแรง หรือ จ้างเหมาแบบ Turnkey)</t>
  </si>
  <si>
    <t>งบประมาณลงทุนเพื่อการดำเนินงานปกติ ที่ขอตั้งประจำปี 2570</t>
  </si>
  <si>
    <t xml:space="preserve">   1. หมวดที่ดิน</t>
  </si>
  <si>
    <t>รายละเอียดงานจัดหาที่ดิน/ปรับปรุงที่ดินตามแผนสนับสนุน</t>
  </si>
  <si>
    <t>การดำเนินงาน ลงในแบบ งป.005</t>
  </si>
  <si>
    <t xml:space="preserve">   2. หมวดสิ่งก่อสร้าง</t>
  </si>
  <si>
    <t xml:space="preserve">รายละเอียดงานโยธา ตามแผนสนับสนุนการดำเนินงาน </t>
  </si>
  <si>
    <t>ลงในแบบ งป.006</t>
  </si>
  <si>
    <t xml:space="preserve">รายละเอียดค่าวัสดุอุปกรณ์ของงานระบบไฟฟ้าลงใน </t>
  </si>
  <si>
    <t xml:space="preserve">   3. หมวดเครื่องจักรอุปกรณ์</t>
  </si>
  <si>
    <t>งานจัดหามิเตอร์และหม้อแปลงสำรองจ่ายแสดง</t>
  </si>
  <si>
    <t>รายละเอียดของอุปกรณ์ในแบบ งป.008</t>
  </si>
  <si>
    <t xml:space="preserve">   4. หมวดยานพาหนะ</t>
  </si>
  <si>
    <t>กรอกรายละเอียด ในแบบฟอร์ม งป.008</t>
  </si>
  <si>
    <t xml:space="preserve">   5. หมวดเครื่องมือเครื่องใช้ขนาดเล็ก</t>
  </si>
  <si>
    <t xml:space="preserve">   6. หมวดวิจัยและพัฒนา</t>
  </si>
  <si>
    <t>กรอกรายละเอียดครุภัณฑ์ตามแบบ งป.008</t>
  </si>
  <si>
    <t xml:space="preserve">   7. หมวดอื่น ๆ</t>
  </si>
  <si>
    <t xml:space="preserve"> 15.</t>
  </si>
  <si>
    <t>การประเมินระดับความเสี่ยงโดยระบุ</t>
  </si>
  <si>
    <t>ให้ระบุถึงปัจจัยหรือสาเหตุของความเสี่ยง เพื่อประเมินโอกาสที่จะเกิดความเสี่ยง</t>
  </si>
  <si>
    <t>ประเด็นความเสี่ยงและมิติความเสี่ยง</t>
  </si>
  <si>
    <t>(Likelihood:L) ระดับความรุนแรงของผลกระทบจากความเสี่ยง (Impact:I)</t>
  </si>
  <si>
    <t>(ที่มีความสอดคล้อง) และประเมินระดับ</t>
  </si>
  <si>
    <t>และจัดระดับความเสี่ยง (Risk Severity:LxI)</t>
  </si>
  <si>
    <t>ความเสี่ยงของแผนงาน</t>
  </si>
  <si>
    <t>แบบฟอร์ม</t>
  </si>
  <si>
    <t>หมวดสิ่งก่อสร้าง</t>
  </si>
  <si>
    <t>รายละเอียดค่าวัสดุอุปกรณ์ของงานระบบไฟฟ้า</t>
  </si>
  <si>
    <t>ปีงบประมาณ..........2569...................</t>
  </si>
  <si>
    <t>กลุ่มโครงสร้าง   กลุ่มเครือข่ายและบริการ</t>
  </si>
  <si>
    <t>ชื่องาน  แผนงานจัดหาอุปกรณ์ป้องกัน/ตัดตอน/อุปกรณ์ประกอบและอุปกรณ์สำรองสำหรับสายเคเบิลใต้ดิน/ใต้น้ำ ในระบบจำหน่ายและสายส่งไฟฟ้า (ปี 2569-2571)</t>
  </si>
  <si>
    <t xml:space="preserve">หน่วยงาน        กองบริหารจัดการระบบไฟฟ้า           </t>
  </si>
  <si>
    <t>ประเภท / รายการ</t>
  </si>
  <si>
    <t>จำนวน</t>
  </si>
  <si>
    <t>ราคาต่อ</t>
  </si>
  <si>
    <t>แหล่งที่มาของราคาที่ขอตั้งงบประมาณ</t>
  </si>
  <si>
    <t>วงเงินรวม
(บาท)</t>
  </si>
  <si>
    <t>ประมาณจ่าย</t>
  </si>
  <si>
    <t>คำชี้แจง</t>
  </si>
  <si>
    <t>หน่วย</t>
  </si>
  <si>
    <t>ครั้งสุดท้ายเมื่อ.....</t>
  </si>
  <si>
    <t>ท้องตลาด
เฉลี่ย 3 บริษัท</t>
  </si>
  <si>
    <t>ปี 2569</t>
  </si>
  <si>
    <t>ก.ย.69</t>
  </si>
  <si>
    <t>ธ.ค.69</t>
  </si>
  <si>
    <t>มิ.ย. 70</t>
  </si>
  <si>
    <t>ธ.ค. 70</t>
  </si>
  <si>
    <t>สวิตช์เปิดได้เมื่อมีโหลดสามารถใช้การ</t>
  </si>
  <si>
    <t>สืบราคาจากบริษัท</t>
  </si>
  <si>
    <t>คาดจ่าย มิ.ย 70</t>
  </si>
  <si>
    <t xml:space="preserve">ควบคุมระยะไกล 3 เฟส 22 เควี 600 แอมป์ </t>
  </si>
  <si>
    <t xml:space="preserve">ประกอบด้วย  </t>
  </si>
  <si>
    <t xml:space="preserve">- ชุดควบคุมสวิตช์ชนิด ภายนอกอาคาร CT, VT, </t>
  </si>
  <si>
    <t>ชุดจ่ายไฟชุดควบคุม LOCAL และชุดควบคุม</t>
  </si>
  <si>
    <t>INTERFACE และ CONTROL CABINET</t>
  </si>
  <si>
    <r>
      <t xml:space="preserve">(Mat No. 1040070009, 1040070305, 1040073011, </t>
    </r>
    <r>
      <rPr>
        <sz val="12"/>
        <rFont val="TH SarabunPSK"/>
        <family val="2"/>
      </rPr>
      <t>1000120005)</t>
    </r>
  </si>
  <si>
    <t xml:space="preserve">ควบคุมระยะไกล 3 เฟส 33 เควี 600 แอมป์ </t>
  </si>
  <si>
    <t>ประกอบด้วย</t>
  </si>
  <si>
    <r>
      <t xml:space="preserve">(Mat No. 1040070107, 1040070305,1040073012, </t>
    </r>
    <r>
      <rPr>
        <sz val="12"/>
        <rFont val="TH SarabunPSK"/>
        <family val="2"/>
      </rPr>
      <t>1000120007)</t>
    </r>
  </si>
  <si>
    <t>Capacitor แรงสูง ระบบ 12.7 kV.1 เฟส 100 kVAR.</t>
  </si>
  <si>
    <t>ราคากลางปี 2567 ครั้งที่ 4</t>
  </si>
  <si>
    <t>คาดจ่าย ก.ย. 69</t>
  </si>
  <si>
    <t>(Mat No. 1050050000)</t>
  </si>
  <si>
    <t>(ยกเลิก)</t>
  </si>
  <si>
    <t>Capacitor แรงสูง 1 บุชชิ่ง 33 GRDY/19 kV.100 kVAR</t>
  </si>
  <si>
    <t>(Mat No. 1050050100)</t>
  </si>
  <si>
    <t>Three phase automatic circuit recloser,solid</t>
  </si>
  <si>
    <t>คาดจ่าย ธ.ค. 70</t>
  </si>
  <si>
    <t>dielectric insulation type, Rated voltage : 24 kV</t>
  </si>
  <si>
    <t>Complete with mounting frame, single-pole type :</t>
  </si>
  <si>
    <t>1.ชุดควบคุมอัตโนมัติ สำหรับรีโคลสเซอร์แบบอิเล็คทรอนิคส์</t>
  </si>
  <si>
    <t>2.VT.1P.O/D 22,000/230 V.REC.500 VA.</t>
  </si>
  <si>
    <t>(Mat No. 1040080004, 1040080302, 1040073015)</t>
  </si>
  <si>
    <t>dielectric insulation type, Rated voltage : 36 kV</t>
  </si>
  <si>
    <t>2.VT.1P.O/D 33,000/230 V.REC.500 VA.</t>
  </si>
  <si>
    <t>(Mat No. 1040080103, 1040080302, 1040073016)</t>
  </si>
  <si>
    <t>VT.3P.O/D 22,000/110-220 V.RCS 500 VA.</t>
  </si>
  <si>
    <t>ราคามาตรฐานพัสดุปี 2567 ครั้งที่ 3</t>
  </si>
  <si>
    <t>คาดจ่าย ธ.ค. 69</t>
  </si>
  <si>
    <t>สำหรับจ่ายไฟให้ชุดควบคุมโหลดเบรคสวิตช์ SF6</t>
  </si>
  <si>
    <t>(Mat No.1040073011)</t>
  </si>
  <si>
    <t>VT.3P.O/D 33,000/110-220 V.RCS 500 VA.</t>
  </si>
  <si>
    <t>(Mat No. 1040073012)</t>
  </si>
  <si>
    <t>VT.1P.O/D 22,000/230 V.REC.500 VA.</t>
  </si>
  <si>
    <t>สำหรับชุด Control unit ของ recloser (Mat No. 1040073015)</t>
  </si>
  <si>
    <t>VT.1P.O/D 33,000/230 V.REC.500 VA.</t>
  </si>
  <si>
    <t>สำหรับชุด Control unit ของ recloser (Mat No. 1040073016)</t>
  </si>
  <si>
    <t>Disconnecting Switch 22 kv</t>
  </si>
  <si>
    <t xml:space="preserve"> (Mat No. 1040050000)</t>
  </si>
  <si>
    <t>Disconnecting Switch 33 kv</t>
  </si>
  <si>
    <t>(Mat No. 1040050100)</t>
  </si>
  <si>
    <t>115  kV Pole-mounted  Load break switches with SF6 Gas Interrupters: rated current 2,000 Amp</t>
  </si>
  <si>
    <t>(Mat. No. 1040070202)</t>
  </si>
  <si>
    <t>115 kV Air break switches, three-pole horizontal openning : rated current 2,000 Amp</t>
  </si>
  <si>
    <t xml:space="preserve">manually group operated type </t>
  </si>
  <si>
    <t>(Mat. No. 104060207)</t>
  </si>
  <si>
    <t>22kV 50 sq.mm. Underground Cable (เมตร)</t>
  </si>
  <si>
    <t>(Mat. No. 1020040001)</t>
  </si>
  <si>
    <t>22kV 95 sq.mm. Underground Cable (เมตร)</t>
  </si>
  <si>
    <t>(Mat. No.1020040003)</t>
  </si>
  <si>
    <t>33kV 50 sq.mm. Underground Cable (เมตร)</t>
  </si>
  <si>
    <t>(Mat. No. 1020040101)</t>
  </si>
  <si>
    <t>33kV 95 sq.mm.Underground Cable (เมตร)</t>
  </si>
  <si>
    <t>(Mat. No. 1020040103)</t>
  </si>
  <si>
    <t>22kV 3x120 sq.mm. Twist Cable (เมตร)</t>
  </si>
  <si>
    <t>(Mat. No.1020050202 -)</t>
  </si>
  <si>
    <t>22kV 3x240 sq.mm. Twist Cable (เมตร)</t>
  </si>
  <si>
    <t>(Mat. No.1020050204 -)</t>
  </si>
  <si>
    <t>33kV 3x120 sq.mm. Twist Cable (เมตร)</t>
  </si>
  <si>
    <t>(Mat. No.1020050302 -)</t>
  </si>
  <si>
    <t>33kV 3x240 sq.mm. Twist Cable (เมตร)</t>
  </si>
  <si>
    <t>(Mat. No.1020050304 -)</t>
  </si>
  <si>
    <t>รวมค่าอุปกรณ์</t>
  </si>
  <si>
    <t>รวมเป็นเงินทั้งสิ้น</t>
  </si>
  <si>
    <t>ปีงบประมาณ..........2570...................</t>
  </si>
  <si>
    <t>ปี 2571</t>
  </si>
  <si>
    <t>ชุด</t>
  </si>
  <si>
    <t>คาดจ่าย มิ.ย 71</t>
  </si>
  <si>
    <t>ชิ้น</t>
  </si>
  <si>
    <t>คาดจ่าย ก.ย. 70</t>
  </si>
  <si>
    <t>คาดจ่าย ธ.ค. 71</t>
  </si>
  <si>
    <t>เครื่อง</t>
  </si>
  <si>
    <t>เมตร</t>
  </si>
  <si>
    <t>ปีงบประมาณ..........2571...................</t>
  </si>
  <si>
    <t>ปี 2572</t>
  </si>
  <si>
    <t>ที่ขอตั้งงบประมาณประจำปี 2569</t>
  </si>
  <si>
    <t>หน่วย : ล้านบาท(ทศนิยม 3 ตำแหน่ง)</t>
  </si>
  <si>
    <t>ลำดับ</t>
  </si>
  <si>
    <t>ขั้นตอนการดำเนินงาน</t>
  </si>
  <si>
    <t>วงเงิน</t>
  </si>
  <si>
    <t>กำหนดเวลาดำเนินการใช้เงิน</t>
  </si>
  <si>
    <t>ดำเนินการ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</si>
  <si>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</si>
  <si>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</si>
  <si>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</si>
  <si>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</si>
  <si>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</si>
  <si>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</si>
  <si>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</si>
  <si>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</si>
  <si>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</si>
  <si>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</si>
  <si>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</si>
  <si>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</si>
  <si>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อนุมัติหลักการ / อนุมัติสเปค</t>
  </si>
  <si>
    <t>การดำเนินการจัดซื้อจัดจ้าง</t>
  </si>
  <si>
    <t xml:space="preserve"> - จัดทำเอกสารประกวดราคา/สอบราคา</t>
  </si>
  <si>
    <t xml:space="preserve"> - ประกวดราคา /สอบราคา</t>
  </si>
  <si>
    <t xml:space="preserve"> - อนุมัติจัดซื้อ / จัดจ้าง</t>
  </si>
  <si>
    <t xml:space="preserve"> - ทำสัญญา</t>
  </si>
  <si>
    <t>ส่งของ / ดำเนินการก่อสร้าง</t>
  </si>
  <si>
    <t>ตรวจรับและทดสอบ</t>
  </si>
  <si>
    <t>เบิกจ่ายเงิน(ล้านบาท)</t>
  </si>
  <si>
    <t>(ระบุวงเงินแต่ละเดือนให้ชัดเจน)</t>
  </si>
  <si>
    <t xml:space="preserve">  รวมค่าวัสดุอุปกรณ์</t>
  </si>
  <si>
    <t>1. ให้แสดง Workflow สถานะการดำเนินงานตามขั้นตอนต่าง ๆ เป็นรายเดือนตั้งแต่ปีที่ตั้งงบประมาณจนสิ้นสุดแผนงาน</t>
  </si>
  <si>
    <t>2. การประมาณเบิกจ่ายรายเดือน แยกรายละเอียด การจัดซื้ออุปกรณ์, ค่าใช้จ่ายหน้างาน, ค่าจ้างเหมาก่อสร้าง สำหรับสำรองค่าปรับราคา ไม่ต้องประมาณจ่าย</t>
  </si>
  <si>
    <t>3. สำหรับแผนงานที่ได้รับอนุมัติแล้ว ให้แสดง work flow ตั้งแต่เริ่มแผนจนสิ้นสุดแผนงงาน</t>
  </si>
  <si>
    <t>ที่ขอตั้งงบประมาณประจำปี 2570</t>
  </si>
  <si>
    <t xml:space="preserve">หน่วยงาน        กองบริหารจัดการระบบไฟฟ้า    </t>
  </si>
  <si>
    <t>ที่ขอตั้งงบประมาณประจำปี 2571</t>
  </si>
  <si>
    <t>แผนการลงทุนรายปี (การลงทุนเพื่อการดำเนินงานปกติ)</t>
  </si>
  <si>
    <t>ประเภท/รายการ</t>
  </si>
  <si>
    <t>ราคา
ต่อหน่วย</t>
  </si>
  <si>
    <t>วงเงินลงทุน</t>
  </si>
  <si>
    <t>รหัสพัสดุ</t>
  </si>
  <si>
    <t>จำนวนเงิน</t>
  </si>
  <si>
    <t>1040070009  or New</t>
  </si>
  <si>
    <t>Remote control switch (RCS) ระบบ 22 kV (ชุด)</t>
  </si>
  <si>
    <t>1040070107 or New</t>
  </si>
  <si>
    <t>Remote control switch (RCS) ระบบ 33 kV (ชุด)</t>
  </si>
  <si>
    <t>Capacitor แรงสูง ระบบ 12.7 kV.1 เฟส 100 kVAR. (ชิ้น)</t>
  </si>
  <si>
    <t>ยกเลิก</t>
  </si>
  <si>
    <t>Capacitor แรงสูง 1 บุชชิ่ง 33 GRDY/19 kV.100 kVAR (ชิ้น)</t>
  </si>
  <si>
    <t>Automatic circuit recloser (Solid dielectric) ระบบ 22 kV (ชุด)</t>
  </si>
  <si>
    <t>Automatic circuit recloser (Solid dielectric) ระบบ 33 kV (ชุด)</t>
  </si>
  <si>
    <t>VT.ขนาด 3 เฟส 22,000/110 V.10 VA.220 V.500 VA. (RCS) (เครื่อง)</t>
  </si>
  <si>
    <t>VT.ขนาด 3 เฟส 33,000/110 V.10 VA.220 V.500 VA. (RCS)  (เครื่อง)</t>
  </si>
  <si>
    <t>หม้อแปลง 1 เฟส 500 VA 22000/230 V (สำหรับชุด Control unit ของ recloser ) (เครื่อง)</t>
  </si>
  <si>
    <t>หม้อแปลง 1 เฟส 500 VA 33000/230 V (สำหรับชุด Control unit ของ recloser )  (เครื่อง)</t>
  </si>
  <si>
    <t>ดิสคอนเนคติ้งสวิตช์ 1 ขา 22 เควี 600 แอมป์ ชนิดติดตั้งในระบบจำหน่าย (ชิ้น)</t>
  </si>
  <si>
    <t>ดิสคอนเนคติ้งสวิตช์ 1 ขา 33 เควี 600 แอมป์ ชนิดติดตั้งในระบบจำหน่าย (ชิ้น)</t>
  </si>
  <si>
    <t xml:space="preserve">115  kV Pole-mounted  Load break switches </t>
  </si>
  <si>
    <t>115  kV  Air Break Switches (ชุด)</t>
  </si>
  <si>
    <t>สำรองราคา (กรณีแผนระยะยาว)</t>
  </si>
  <si>
    <t xml:space="preserve">หมายเหตุ* </t>
  </si>
  <si>
    <t>[1] สำรองค่าปรับราคา เป็นการตั้งวงเงินสำหรับสมทบการจัดซื้อ จัดจ้าง/จ้างเหมา กรณีเป็นแผนงานใหม่ จะเริ่มตั้งสำรองราคาปี 2571 จนสิ้นสุดแผน</t>
  </si>
  <si>
    <t xml:space="preserve">[2] วงเงินลงทุนรวมต้องเท่ากับวงเงินเต็มแผนงาน </t>
  </si>
  <si>
    <t>แผนการจ่ายเงินตามงบผูกพันปี 2569 (กรณีแผนระยะยาว/งานต่อเนื่อง)</t>
  </si>
  <si>
    <t>วงเงินเต็ม
แผนงาน</t>
  </si>
  <si>
    <t>อนุมัติถึง 
ปี 2568</t>
  </si>
  <si>
    <t>จ่ายจริงถึง 
ปี 2568</t>
  </si>
  <si>
    <t>งบประมาณ</t>
  </si>
  <si>
    <t>ผูกพัน</t>
  </si>
  <si>
    <t>ลงทุน</t>
  </si>
  <si>
    <t>ผูกพัน (69)</t>
  </si>
  <si>
    <t>ลงทุน (70)</t>
  </si>
  <si>
    <t>ผูกพัน (70)</t>
  </si>
  <si>
    <t>ลงทุน (71)</t>
  </si>
  <si>
    <t>ผูกพัน (71)</t>
  </si>
  <si>
    <t>1. หมวดที่ดิน</t>
  </si>
  <si>
    <t>จ่ายในปี</t>
  </si>
  <si>
    <t>ยกยอดไป</t>
  </si>
  <si>
    <t>งานโยธา</t>
  </si>
  <si>
    <t>ปี 69 ยกมา</t>
  </si>
  <si>
    <t>งานระบบไฟฟ้า</t>
  </si>
  <si>
    <t>ปี 70 ยกมา</t>
  </si>
  <si>
    <t xml:space="preserve"> - ค่าวัสดุอุปกรณ์</t>
  </si>
  <si>
    <t>ปี 71 ยกมา</t>
  </si>
  <si>
    <t>จัดหาอุปกรณ์ไฟฟ้า
ทดแทนสำหรับ
การจัดการทรัพย์สินระบบจำหน่าย 
และสายส่งไฟฟ้า     
รายการที่ 1-22</t>
  </si>
  <si>
    <t>สรุปจ่าย</t>
  </si>
  <si>
    <t>3. หมวดเครื่องอุปกรณ์ไฟฟ้า</t>
  </si>
  <si>
    <t>4. หมวดยานพาหนะ</t>
  </si>
  <si>
    <t>5. หมวดเครื่องมือเครื่องใช้ขนาดเล็ก</t>
  </si>
  <si>
    <t>6. หมวดวิจัยและพัฒนา</t>
  </si>
  <si>
    <t>7. หมวดอื่น ๆ</t>
  </si>
  <si>
    <t>สำรองค่าปรับราคา (อัตราเงินเฟ้อ 3%)</t>
  </si>
  <si>
    <t>ลงทุน (68)</t>
  </si>
  <si>
    <t>แผนงานจัดหาอุปกรณ์ป้องกัน/ตัดตอน/
อุปกรณ์ประกอบและอุปกรณ์สำรอง
สำหรับสายเคเบิลใต้ดิน/ใต้น้ำ 
ในระบบจำหน่ายและสายส่งไฟฟ้า 
(ปี 2569-2571)</t>
  </si>
  <si>
    <t>ชุด (ผูกพัน+ลงทุน)</t>
  </si>
  <si>
    <t>หน่วย: บาท</t>
  </si>
  <si>
    <t>ลำดับ
ที่</t>
  </si>
  <si>
    <t>ศูนย์การไฟฟ้า</t>
  </si>
  <si>
    <t>ประมาณจ่ายปี 2570</t>
  </si>
  <si>
    <t>ศูนย์ EVM ภาคเหนือและภาคตะวันออกเฉียงเหนือ</t>
  </si>
  <si>
    <t>ศูนย์ EVM ภาคกลางและภาคใต้</t>
  </si>
  <si>
    <t>ศูนย์ EVM สำนักงานใหญ่</t>
  </si>
  <si>
    <r>
      <rPr>
        <b/>
        <u/>
        <sz val="14"/>
        <rFont val="TH SarabunPSK"/>
        <family val="2"/>
      </rPr>
      <t>หมายเหตุ</t>
    </r>
    <r>
      <rPr>
        <sz val="14"/>
        <rFont val="TH SarabunPSK"/>
        <family val="2"/>
      </rPr>
      <t xml:space="preserve">      - ดำเนินการภายหลังจากได้รับอนุมัติงบประมาณประจำปีจากคณะกรรมการ กฟภ. แล้ว</t>
    </r>
  </si>
  <si>
    <t xml:space="preserve">                   - ประมาณจ่ายแบ่งตามพื้นที่ดำเนินการ (ภาคเหนือ และภาคตะวันออกเฉียงเหนือ(น,ฉ), ภาคกลาง และภาคใต้ (ก,ต), สำนักงานใหญ่)</t>
  </si>
  <si>
    <t>แบบ งป. 010/3</t>
  </si>
  <si>
    <t>ประมาณการวัสดุอุปกรณ์นำเข้าจากต่างประเทศ (Import Content)</t>
  </si>
  <si>
    <t>ประจำปี 2570</t>
  </si>
  <si>
    <t>ปีเริ่มต้น - 
ปี 2569</t>
  </si>
  <si>
    <t>ปี 2572 - 
ปีสิ้นสุด</t>
  </si>
  <si>
    <t>ประมาณการเบิกจ่ายรายเดือน</t>
  </si>
  <si>
    <t>ทางตรง</t>
  </si>
  <si>
    <t>ทางอ้อม</t>
  </si>
  <si>
    <t>หมายถึง การจัดซื้อจัดหาผ่านตัวแทนจำหน่าย</t>
  </si>
  <si>
    <t>หรือผ่านผู้รับเหมา</t>
  </si>
  <si>
    <r>
      <t>หมายเหตุ</t>
    </r>
    <r>
      <rPr>
        <u/>
        <sz val="14"/>
        <rFont val="TH SarabunPSK"/>
        <family val="2"/>
      </rPr>
      <t xml:space="preserve">  </t>
    </r>
  </si>
  <si>
    <t>วัสดุอุปกรณ์นำเข้าจากต่างประเทศ (Import Content) หมายถึง การใช้หรือการนำเข้าพัสดุที่ผลิตสำเร็จรูปแล้วจากต่างประเทศ</t>
  </si>
  <si>
    <t>ไม่ว่าจะนำเข้าโดยคู่สัญญาหรือบุคคลอื่นใด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</si>
</sst>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-* #,##0.000_-;\-* #,##0.000_-;_-* &quot;-&quot;??_-;_-@_-"/>
    <numFmt numFmtId="167" formatCode="_-* #,##0.00_-;\-* #,##0.00_-;_-* &quot;-&quot;??_-;_-@"/>
    <numFmt numFmtId="168" formatCode="_-* #,##0_-;\-* #,##0_-;_-* &quot;-&quot;??_-;_-@_-"/>
    <numFmt numFmtId="169" formatCode="#,##0.000_ ;\-#,##0.000\ "/>
    <numFmt numFmtId="170" formatCode="#,##0.000"/>
    <numFmt numFmtId="171" formatCode="0.000"/>
    <numFmt numFmtId="172" formatCode="_-* #,##0.000_-;\-* #,##0.000_-;_-* &quot;-&quot;???_-;_-@_-"/>
    <numFmt numFmtId="173" formatCode="_(* #,##0_);_(* \(#,##0\);_(* &quot;-&quot;??_);_(@_)"/>
  </numFmts>
  <fonts count="67">
    <font>
      <sz val="14"/>
      <name val="Cordia New"/>
      <charset val="222"/>
    </font>
    <font>
      <sz val="11"/>
      <color theme="1"/>
      <name val="Tahoma"/>
      <family val="2"/>
      <charset val="222"/>
      <scheme val="minor"/>
    </font>
    <font>
      <sz val="8"/>
      <name val="Cordia New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6"/>
      <name val="Wingdings"/>
      <charset val="2"/>
    </font>
    <font>
      <b/>
      <sz val="22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b/>
      <u/>
      <sz val="16"/>
      <name val="TH SarabunPSK"/>
      <family val="2"/>
    </font>
    <font>
      <b/>
      <sz val="50"/>
      <name val="TH SarabunPSK"/>
      <family val="2"/>
    </font>
    <font>
      <b/>
      <sz val="20"/>
      <name val="TH SarabunPSK"/>
      <family val="2"/>
    </font>
    <font>
      <b/>
      <vertAlign val="superscript"/>
      <sz val="16"/>
      <name val="TH SarabunPSK"/>
      <family val="2"/>
    </font>
    <font>
      <b/>
      <sz val="18"/>
      <name val="TH SarabunPSK"/>
      <family val="2"/>
    </font>
    <font>
      <u/>
      <sz val="14"/>
      <color indexed="8"/>
      <name val="TH SarabunPSK"/>
      <family val="2"/>
    </font>
    <font>
      <u/>
      <sz val="14"/>
      <name val="TH SarabunPSK"/>
      <family val="2"/>
    </font>
    <font>
      <b/>
      <sz val="42"/>
      <name val="TH SarabunPSK"/>
      <family val="2"/>
    </font>
    <font>
      <sz val="16"/>
      <name val="Wingdings"/>
      <charset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4"/>
      <name val="Cordia New"/>
      <family val="2"/>
    </font>
    <font>
      <sz val="10"/>
      <name val="Arial"/>
      <family val="2"/>
      <charset val="222"/>
    </font>
    <font>
      <sz val="16"/>
      <name val="TH SarabunIT๙"/>
      <family val="2"/>
    </font>
    <font>
      <b/>
      <sz val="18"/>
      <color rgb="FFFF0000"/>
      <name val="TH SarabunPSK"/>
      <family val="2"/>
    </font>
    <font>
      <sz val="7"/>
      <name val="Times New Roman"/>
      <family val="1"/>
    </font>
    <font>
      <sz val="14"/>
      <name val="Cordia New"/>
      <family val="2"/>
    </font>
    <font>
      <b/>
      <u val="singleAccounting"/>
      <sz val="14"/>
      <name val="TH SarabunPSK"/>
      <family val="2"/>
    </font>
    <font>
      <b/>
      <u val="singleAccounting"/>
      <sz val="14"/>
      <color indexed="10"/>
      <name val="TH SarabunPSK"/>
      <family val="2"/>
    </font>
    <font>
      <sz val="14"/>
      <color theme="1"/>
      <name val="TH SarabunPSK"/>
      <family val="2"/>
    </font>
    <font>
      <sz val="16"/>
      <color theme="0" tint="-0.34998626667073579"/>
      <name val="TH SarabunPSK"/>
      <family val="2"/>
    </font>
    <font>
      <b/>
      <sz val="14"/>
      <name val="TH SarabunPSK"/>
      <family val="2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H SarabunPSK"/>
      <family val="2"/>
    </font>
    <font>
      <sz val="16"/>
      <name val="Symbol"/>
      <family val="1"/>
      <charset val="2"/>
    </font>
    <font>
      <sz val="16"/>
      <name val="TH SarabunPSK"/>
      <family val="2"/>
      <charset val="222"/>
    </font>
    <font>
      <b/>
      <sz val="12"/>
      <name val="TH SarabunPSK"/>
      <family val="2"/>
      <charset val="222"/>
    </font>
    <font>
      <sz val="12"/>
      <name val="TH SarabunPSK"/>
      <family val="2"/>
      <charset val="222"/>
    </font>
    <font>
      <sz val="14"/>
      <name val="TH SarabunPSK"/>
      <family val="2"/>
      <charset val="222"/>
    </font>
    <font>
      <sz val="16"/>
      <color theme="0" tint="-0.34998626667073579"/>
      <name val="TH SarabunPSK"/>
      <family val="2"/>
      <charset val="222"/>
    </font>
    <font>
      <sz val="12"/>
      <color theme="0" tint="-0.34998626667073579"/>
      <name val="TH SarabunPSK"/>
      <family val="2"/>
      <charset val="222"/>
    </font>
    <font>
      <sz val="12"/>
      <color theme="0" tint="-0.34998626667073579"/>
      <name val="Wingdings"/>
      <charset val="2"/>
    </font>
    <font>
      <sz val="10"/>
      <name val="TH SarabunPSK"/>
      <family val="2"/>
      <charset val="222"/>
    </font>
    <font>
      <sz val="14"/>
      <color theme="0" tint="-0.34998626667073579"/>
      <name val="TH SarabunPSK"/>
      <family val="2"/>
      <charset val="222"/>
    </font>
    <font>
      <sz val="16"/>
      <color rgb="FFFF0000"/>
      <name val="TH SarabunPSK"/>
      <family val="2"/>
      <charset val="222"/>
    </font>
    <font>
      <sz val="11"/>
      <name val="TH SarabunPSK"/>
      <family val="2"/>
      <charset val="222"/>
    </font>
    <font>
      <b/>
      <sz val="20"/>
      <name val="TH SarabunPSK"/>
      <family val="2"/>
      <charset val="222"/>
    </font>
    <font>
      <b/>
      <sz val="11"/>
      <name val="TH SarabunPSK"/>
      <family val="2"/>
    </font>
    <font>
      <b/>
      <sz val="12"/>
      <name val="TH SarabunPSK"/>
      <family val="2"/>
    </font>
    <font>
      <sz val="12"/>
      <color rgb="FFC00000"/>
      <name val="TH SarabunPSK"/>
      <family val="2"/>
    </font>
    <font>
      <sz val="12"/>
      <color rgb="FFFF0000"/>
      <name val="TH SarabunPSK"/>
      <family val="2"/>
    </font>
    <font>
      <b/>
      <sz val="14"/>
      <color rgb="FF0000FF"/>
      <name val="TH SarabunPSK"/>
      <family val="2"/>
    </font>
    <font>
      <u val="singleAccounting"/>
      <sz val="14"/>
      <color rgb="FFC00000"/>
      <name val="TH SarabunPSK"/>
      <family val="2"/>
    </font>
    <font>
      <b/>
      <u val="singleAccounting"/>
      <sz val="14"/>
      <color rgb="FF7030A0"/>
      <name val="TH SarabunPSK"/>
      <family val="2"/>
    </font>
    <font>
      <b/>
      <sz val="14"/>
      <color theme="1"/>
      <name val="TH SarabunPSK"/>
      <family val="2"/>
    </font>
    <font>
      <sz val="14"/>
      <color rgb="FFFF0000"/>
      <name val="TH SarabunPSK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12"/>
      <color rgb="FFFF0000"/>
      <name val="TH SarabunPSK"/>
      <family val="2"/>
      <charset val="222"/>
    </font>
    <font>
      <b/>
      <sz val="8"/>
      <name val="TH SarabunPSK"/>
      <family val="2"/>
    </font>
    <font>
      <u/>
      <sz val="12"/>
      <color rgb="FFFF0000"/>
      <name val="TH SarabunPSK"/>
      <family val="2"/>
      <charset val="222"/>
    </font>
    <font>
      <sz val="1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64" fontId="25" fillId="0" borderId="0" applyFont="0" applyFill="0" applyBorder="0" applyAlignment="0" applyProtection="0"/>
    <xf numFmtId="0" fontId="25" fillId="0" borderId="0">
      <alignment vertical="top"/>
    </xf>
    <xf numFmtId="9" fontId="3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</cellStyleXfs>
  <cellXfs count="653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/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9" fillId="0" borderId="0" xfId="0" applyFont="1"/>
    <xf numFmtId="0" fontId="8" fillId="0" borderId="0" xfId="0" applyFont="1"/>
    <xf numFmtId="0" fontId="4" fillId="0" borderId="0" xfId="0" applyFont="1" applyAlignment="1">
      <alignment horizontal="left" vertical="center"/>
    </xf>
    <xf numFmtId="0" fontId="9" fillId="0" borderId="7" xfId="0" applyFont="1" applyBorder="1"/>
    <xf numFmtId="0" fontId="9" fillId="0" borderId="6" xfId="0" applyFont="1" applyBorder="1"/>
    <xf numFmtId="0" fontId="9" fillId="0" borderId="10" xfId="0" applyFont="1" applyBorder="1"/>
    <xf numFmtId="0" fontId="9" fillId="0" borderId="4" xfId="0" applyFont="1" applyBorder="1"/>
    <xf numFmtId="0" fontId="9" fillId="0" borderId="2" xfId="0" applyFont="1" applyBorder="1"/>
    <xf numFmtId="0" fontId="9" fillId="0" borderId="11" xfId="0" applyFont="1" applyBorder="1"/>
    <xf numFmtId="0" fontId="5" fillId="0" borderId="12" xfId="0" applyFont="1" applyBorder="1" applyAlignment="1">
      <alignment horizontal="center"/>
    </xf>
    <xf numFmtId="0" fontId="5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4" fillId="0" borderId="1" xfId="0" applyFont="1" applyBorder="1"/>
    <xf numFmtId="0" fontId="4" fillId="0" borderId="10" xfId="0" applyFont="1" applyBorder="1"/>
    <xf numFmtId="0" fontId="5" fillId="0" borderId="6" xfId="0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11" xfId="0" applyFont="1" applyBorder="1"/>
    <xf numFmtId="0" fontId="5" fillId="0" borderId="8" xfId="0" applyFont="1" applyBorder="1"/>
    <xf numFmtId="0" fontId="5" fillId="0" borderId="12" xfId="0" applyFont="1" applyBorder="1"/>
    <xf numFmtId="0" fontId="11" fillId="0" borderId="10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/>
    <xf numFmtId="0" fontId="5" fillId="0" borderId="2" xfId="0" applyFont="1" applyBorder="1"/>
    <xf numFmtId="0" fontId="4" fillId="0" borderId="11" xfId="0" applyFont="1" applyBorder="1" applyAlignment="1">
      <alignment horizontal="center"/>
    </xf>
    <xf numFmtId="0" fontId="4" fillId="0" borderId="3" xfId="0" applyFont="1" applyBorder="1"/>
    <xf numFmtId="0" fontId="5" fillId="0" borderId="9" xfId="0" applyFont="1" applyBorder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quotePrefix="1" applyFont="1"/>
    <xf numFmtId="0" fontId="4" fillId="0" borderId="13" xfId="0" applyFont="1" applyBorder="1" applyAlignment="1">
      <alignment horizontal="center" vertical="center"/>
    </xf>
    <xf numFmtId="0" fontId="4" fillId="0" borderId="6" xfId="0" quotePrefix="1" applyFont="1" applyBorder="1"/>
    <xf numFmtId="0" fontId="5" fillId="0" borderId="0" xfId="0" quotePrefix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15" xfId="0" applyFont="1" applyBorder="1"/>
    <xf numFmtId="0" fontId="9" fillId="0" borderId="13" xfId="0" applyFont="1" applyBorder="1"/>
    <xf numFmtId="0" fontId="4" fillId="0" borderId="0" xfId="0" quotePrefix="1" applyFont="1" applyAlignment="1">
      <alignment horizontal="left"/>
    </xf>
    <xf numFmtId="0" fontId="5" fillId="0" borderId="5" xfId="0" applyFont="1" applyBorder="1" applyAlignment="1">
      <alignment horizontal="center"/>
    </xf>
    <xf numFmtId="0" fontId="11" fillId="0" borderId="0" xfId="0" applyFont="1"/>
    <xf numFmtId="0" fontId="8" fillId="0" borderId="0" xfId="0" applyFont="1" applyAlignment="1">
      <alignment horizontal="left"/>
    </xf>
    <xf numFmtId="0" fontId="5" fillId="0" borderId="5" xfId="0" applyFont="1" applyBorder="1"/>
    <xf numFmtId="0" fontId="15" fillId="0" borderId="4" xfId="0" applyFont="1" applyBorder="1" applyAlignment="1">
      <alignment horizontal="center"/>
    </xf>
    <xf numFmtId="0" fontId="16" fillId="0" borderId="0" xfId="0" applyFont="1"/>
    <xf numFmtId="2" fontId="5" fillId="0" borderId="0" xfId="0" applyNumberFormat="1" applyFont="1"/>
    <xf numFmtId="164" fontId="4" fillId="0" borderId="0" xfId="1" applyFont="1" applyAlignment="1"/>
    <xf numFmtId="0" fontId="20" fillId="0" borderId="0" xfId="0" applyFont="1"/>
    <xf numFmtId="0" fontId="21" fillId="0" borderId="0" xfId="0" applyFont="1"/>
    <xf numFmtId="0" fontId="5" fillId="0" borderId="0" xfId="0" applyFont="1" applyAlignment="1">
      <alignment horizontal="left" vertical="top"/>
    </xf>
    <xf numFmtId="0" fontId="3" fillId="0" borderId="0" xfId="2"/>
    <xf numFmtId="0" fontId="22" fillId="0" borderId="0" xfId="2" applyFont="1" applyAlignment="1">
      <alignment horizontal="center" vertical="center"/>
    </xf>
    <xf numFmtId="0" fontId="22" fillId="0" borderId="0" xfId="2" applyFont="1" applyAlignment="1">
      <alignment horizontal="right" vertical="center"/>
    </xf>
    <xf numFmtId="0" fontId="22" fillId="0" borderId="8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23" fillId="0" borderId="15" xfId="2" applyFont="1" applyBorder="1" applyAlignment="1">
      <alignment horizontal="center" vertical="center"/>
    </xf>
    <xf numFmtId="0" fontId="23" fillId="0" borderId="5" xfId="2" applyFont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3" fillId="0" borderId="8" xfId="2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5" fillId="0" borderId="20" xfId="0" applyFont="1" applyBorder="1" applyAlignment="1">
      <alignment horizontal="center"/>
    </xf>
    <xf numFmtId="0" fontId="4" fillId="0" borderId="22" xfId="0" applyFont="1" applyBorder="1"/>
    <xf numFmtId="0" fontId="5" fillId="0" borderId="0" xfId="0" applyFont="1" applyAlignment="1">
      <alignment horizontal="center" vertical="center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quotePrefix="1" applyFont="1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right" textRotation="180"/>
    </xf>
    <xf numFmtId="0" fontId="5" fillId="0" borderId="0" xfId="0" applyFont="1" applyAlignment="1">
      <alignment textRotation="180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4"/>
    </xf>
    <xf numFmtId="0" fontId="4" fillId="0" borderId="0" xfId="0" applyFont="1" applyAlignment="1">
      <alignment horizontal="left" vertical="top" indent="4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8" fillId="0" borderId="0" xfId="5" applyFont="1">
      <alignment vertical="top"/>
    </xf>
    <xf numFmtId="0" fontId="9" fillId="0" borderId="0" xfId="5" applyFont="1">
      <alignment vertical="top"/>
    </xf>
    <xf numFmtId="0" fontId="8" fillId="0" borderId="0" xfId="5" applyFont="1" applyAlignment="1">
      <alignment horizontal="right"/>
    </xf>
    <xf numFmtId="0" fontId="9" fillId="0" borderId="0" xfId="5" applyFont="1" applyAlignment="1"/>
    <xf numFmtId="0" fontId="8" fillId="0" borderId="0" xfId="5" applyFont="1" applyAlignment="1">
      <alignment horizontal="left"/>
    </xf>
    <xf numFmtId="0" fontId="8" fillId="0" borderId="1" xfId="5" applyFont="1" applyBorder="1" applyAlignment="1">
      <alignment horizontal="center" vertical="center"/>
    </xf>
    <xf numFmtId="0" fontId="8" fillId="0" borderId="0" xfId="5" applyFont="1" applyAlignment="1"/>
    <xf numFmtId="0" fontId="8" fillId="0" borderId="6" xfId="5" applyFont="1" applyBorder="1">
      <alignment vertical="top"/>
    </xf>
    <xf numFmtId="0" fontId="8" fillId="0" borderId="5" xfId="5" applyFont="1" applyBorder="1">
      <alignment vertical="top"/>
    </xf>
    <xf numFmtId="0" fontId="8" fillId="0" borderId="6" xfId="5" applyFont="1" applyBorder="1" applyAlignment="1">
      <alignment horizontal="center" vertical="center"/>
    </xf>
    <xf numFmtId="0" fontId="8" fillId="0" borderId="6" xfId="5" applyFont="1" applyBorder="1" applyAlignment="1">
      <alignment horizontal="left" vertical="center" indent="1"/>
    </xf>
    <xf numFmtId="166" fontId="9" fillId="0" borderId="6" xfId="4" applyNumberFormat="1" applyFont="1" applyBorder="1" applyAlignment="1">
      <alignment vertical="top"/>
    </xf>
    <xf numFmtId="166" fontId="9" fillId="0" borderId="5" xfId="4" applyNumberFormat="1" applyFont="1" applyBorder="1" applyAlignment="1">
      <alignment vertical="top"/>
    </xf>
    <xf numFmtId="166" fontId="9" fillId="0" borderId="0" xfId="4" applyNumberFormat="1" applyFont="1" applyBorder="1" applyAlignment="1">
      <alignment vertical="top"/>
    </xf>
    <xf numFmtId="0" fontId="9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 applyProtection="1">
      <alignment horizontal="righ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2" fontId="5" fillId="0" borderId="0" xfId="0" applyNumberFormat="1" applyFont="1" applyAlignment="1">
      <alignment horizontal="left"/>
    </xf>
    <xf numFmtId="0" fontId="5" fillId="0" borderId="0" xfId="0" applyFont="1" applyAlignment="1" applyProtection="1">
      <alignment horizontal="right"/>
      <protection locked="0"/>
    </xf>
    <xf numFmtId="0" fontId="4" fillId="0" borderId="0" xfId="0" applyFont="1" applyAlignment="1">
      <alignment horizontal="left" vertical="top"/>
    </xf>
    <xf numFmtId="0" fontId="4" fillId="6" borderId="0" xfId="0" applyFont="1" applyFill="1"/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vertical="top"/>
      <protection locked="0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4" fillId="0" borderId="6" xfId="0" applyFont="1" applyBorder="1" applyAlignment="1" applyProtection="1">
      <alignment horizontal="center" vertical="top"/>
      <protection locked="0"/>
    </xf>
    <xf numFmtId="167" fontId="23" fillId="0" borderId="0" xfId="0" applyNumberFormat="1" applyFont="1" applyAlignment="1">
      <alignment horizontal="left" vertic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left" indent="2"/>
    </xf>
    <xf numFmtId="0" fontId="5" fillId="0" borderId="0" xfId="0" quotePrefix="1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4" fillId="0" borderId="11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2" fontId="5" fillId="0" borderId="0" xfId="0" quotePrefix="1" applyNumberFormat="1" applyFont="1" applyAlignment="1">
      <alignment horizontal="center" vertical="center"/>
    </xf>
    <xf numFmtId="2" fontId="5" fillId="0" borderId="0" xfId="0" applyNumberFormat="1" applyFont="1" applyAlignment="1">
      <alignment vertical="top"/>
    </xf>
    <xf numFmtId="0" fontId="22" fillId="0" borderId="1" xfId="2" applyFont="1" applyBorder="1" applyAlignment="1">
      <alignment horizontal="left" vertical="center"/>
    </xf>
    <xf numFmtId="0" fontId="22" fillId="0" borderId="5" xfId="2" applyFont="1" applyBorder="1" applyAlignment="1">
      <alignment horizontal="left" vertical="center"/>
    </xf>
    <xf numFmtId="0" fontId="22" fillId="0" borderId="5" xfId="2" applyFont="1" applyBorder="1" applyAlignment="1">
      <alignment horizontal="left" vertical="center" indent="2"/>
    </xf>
    <xf numFmtId="0" fontId="22" fillId="0" borderId="5" xfId="2" applyFont="1" applyBorder="1" applyAlignment="1">
      <alignment horizontal="left" vertical="center" indent="3"/>
    </xf>
    <xf numFmtId="0" fontId="22" fillId="0" borderId="5" xfId="2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4" fillId="0" borderId="28" xfId="0" applyFont="1" applyBorder="1" applyAlignment="1" applyProtection="1">
      <alignment horizontal="center"/>
      <protection locked="0"/>
    </xf>
    <xf numFmtId="0" fontId="4" fillId="0" borderId="28" xfId="0" applyFont="1" applyBorder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0" borderId="28" xfId="0" applyFont="1" applyBorder="1"/>
    <xf numFmtId="0" fontId="5" fillId="0" borderId="28" xfId="0" applyFont="1" applyBorder="1" applyAlignment="1">
      <alignment horizontal="right"/>
    </xf>
    <xf numFmtId="0" fontId="4" fillId="0" borderId="29" xfId="0" applyFont="1" applyBorder="1"/>
    <xf numFmtId="0" fontId="4" fillId="0" borderId="28" xfId="0" applyFont="1" applyBorder="1" applyAlignment="1" applyProtection="1">
      <alignment horizontal="left" vertical="center"/>
      <protection locked="0"/>
    </xf>
    <xf numFmtId="0" fontId="5" fillId="0" borderId="28" xfId="0" applyFont="1" applyBorder="1"/>
    <xf numFmtId="0" fontId="4" fillId="0" borderId="2" xfId="0" applyFont="1" applyBorder="1" applyAlignment="1" applyProtection="1">
      <alignment horizontal="center" vertical="top"/>
      <protection locked="0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indent="4"/>
    </xf>
    <xf numFmtId="0" fontId="9" fillId="0" borderId="0" xfId="0" applyFont="1" applyAlignment="1">
      <alignment vertical="top" wrapText="1"/>
    </xf>
    <xf numFmtId="0" fontId="9" fillId="0" borderId="15" xfId="0" applyFont="1" applyBorder="1" applyAlignment="1">
      <alignment vertical="center"/>
    </xf>
    <xf numFmtId="0" fontId="9" fillId="0" borderId="15" xfId="0" applyFont="1" applyBorder="1" applyAlignment="1">
      <alignment vertical="top" wrapText="1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4" fillId="0" borderId="0" xfId="0" applyFont="1" applyAlignment="1" applyProtection="1">
      <alignment horizontal="left" vertical="top"/>
      <protection locked="0"/>
    </xf>
    <xf numFmtId="0" fontId="4" fillId="0" borderId="15" xfId="0" applyFont="1" applyBorder="1" applyAlignment="1">
      <alignment horizontal="left" vertical="top" wrapText="1"/>
    </xf>
    <xf numFmtId="0" fontId="9" fillId="0" borderId="0" xfId="0" applyFont="1" applyAlignment="1">
      <alignment horizontal="left" indent="1"/>
    </xf>
    <xf numFmtId="166" fontId="26" fillId="0" borderId="27" xfId="4" applyNumberFormat="1" applyFont="1" applyFill="1" applyBorder="1" applyProtection="1">
      <protection hidden="1"/>
    </xf>
    <xf numFmtId="0" fontId="8" fillId="0" borderId="0" xfId="5" applyFont="1" applyAlignment="1">
      <alignment horizontal="right" vertical="center" textRotation="180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/>
    </xf>
    <xf numFmtId="0" fontId="9" fillId="0" borderId="0" xfId="0" applyFont="1" applyAlignment="1">
      <alignment horizontal="left" indent="3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 indent="1"/>
    </xf>
    <xf numFmtId="4" fontId="4" fillId="0" borderId="0" xfId="0" applyNumberFormat="1" applyFont="1"/>
    <xf numFmtId="4" fontId="32" fillId="7" borderId="8" xfId="0" applyNumberFormat="1" applyFont="1" applyFill="1" applyBorder="1" applyAlignment="1">
      <alignment horizontal="right"/>
    </xf>
    <xf numFmtId="4" fontId="31" fillId="7" borderId="8" xfId="0" applyNumberFormat="1" applyFont="1" applyFill="1" applyBorder="1" applyAlignment="1">
      <alignment horizontal="right"/>
    </xf>
    <xf numFmtId="3" fontId="8" fillId="7" borderId="8" xfId="0" applyNumberFormat="1" applyFont="1" applyFill="1" applyBorder="1" applyAlignment="1">
      <alignment horizontal="right"/>
    </xf>
    <xf numFmtId="3" fontId="8" fillId="0" borderId="8" xfId="0" applyNumberFormat="1" applyFont="1" applyBorder="1" applyAlignment="1">
      <alignment horizontal="right"/>
    </xf>
    <xf numFmtId="4" fontId="33" fillId="7" borderId="8" xfId="0" applyNumberFormat="1" applyFont="1" applyFill="1" applyBorder="1" applyAlignment="1">
      <alignment horizontal="right"/>
    </xf>
    <xf numFmtId="4" fontId="9" fillId="7" borderId="8" xfId="7" applyNumberFormat="1" applyFont="1" applyFill="1" applyBorder="1" applyAlignment="1">
      <alignment horizontal="right"/>
    </xf>
    <xf numFmtId="4" fontId="9" fillId="7" borderId="8" xfId="1" applyNumberFormat="1" applyFont="1" applyFill="1" applyBorder="1" applyAlignment="1">
      <alignment horizontal="right"/>
    </xf>
    <xf numFmtId="3" fontId="9" fillId="7" borderId="8" xfId="0" applyNumberFormat="1" applyFont="1" applyFill="1" applyBorder="1" applyAlignment="1">
      <alignment horizontal="right"/>
    </xf>
    <xf numFmtId="3" fontId="9" fillId="0" borderId="8" xfId="0" applyNumberFormat="1" applyFont="1" applyBorder="1" applyAlignment="1">
      <alignment horizontal="right"/>
    </xf>
    <xf numFmtId="0" fontId="34" fillId="0" borderId="0" xfId="0" applyFont="1"/>
    <xf numFmtId="168" fontId="9" fillId="7" borderId="8" xfId="1" applyNumberFormat="1" applyFont="1" applyFill="1" applyBorder="1" applyAlignment="1">
      <alignment horizontal="center"/>
    </xf>
    <xf numFmtId="168" fontId="9" fillId="7" borderId="8" xfId="0" applyNumberFormat="1" applyFont="1" applyFill="1" applyBorder="1" applyAlignment="1">
      <alignment horizontal="center"/>
    </xf>
    <xf numFmtId="168" fontId="9" fillId="0" borderId="8" xfId="1" applyNumberFormat="1" applyFont="1" applyFill="1" applyBorder="1"/>
    <xf numFmtId="168" fontId="9" fillId="0" borderId="8" xfId="1" applyNumberFormat="1" applyFont="1" applyFill="1" applyBorder="1" applyAlignment="1">
      <alignment horizontal="center"/>
    </xf>
    <xf numFmtId="0" fontId="9" fillId="7" borderId="8" xfId="8" applyFont="1" applyFill="1" applyBorder="1" applyAlignment="1">
      <alignment vertical="center" shrinkToFit="1"/>
    </xf>
    <xf numFmtId="0" fontId="9" fillId="0" borderId="8" xfId="0" applyFont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9" fillId="7" borderId="8" xfId="8" applyFont="1" applyFill="1" applyBorder="1" applyAlignment="1">
      <alignment horizontal="left" vertical="center" shrinkToFit="1"/>
    </xf>
    <xf numFmtId="9" fontId="4" fillId="0" borderId="0" xfId="6" applyFont="1"/>
    <xf numFmtId="3" fontId="9" fillId="0" borderId="8" xfId="0" applyNumberFormat="1" applyFont="1" applyBorder="1"/>
    <xf numFmtId="49" fontId="9" fillId="7" borderId="8" xfId="8" applyNumberFormat="1" applyFont="1" applyFill="1" applyBorder="1" applyAlignment="1">
      <alignment vertical="center" shrinkToFit="1"/>
    </xf>
    <xf numFmtId="0" fontId="8" fillId="7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9" applyFont="1"/>
    <xf numFmtId="0" fontId="9" fillId="0" borderId="0" xfId="9" applyFont="1" applyAlignment="1">
      <alignment horizontal="center"/>
    </xf>
    <xf numFmtId="168" fontId="9" fillId="0" borderId="0" xfId="1" applyNumberFormat="1" applyFont="1" applyFill="1"/>
    <xf numFmtId="0" fontId="9" fillId="0" borderId="0" xfId="9" applyFont="1" applyAlignment="1">
      <alignment wrapText="1"/>
    </xf>
    <xf numFmtId="0" fontId="8" fillId="0" borderId="0" xfId="9" applyFont="1"/>
    <xf numFmtId="0" fontId="8" fillId="0" borderId="0" xfId="9" applyFont="1" applyAlignment="1">
      <alignment horizontal="center"/>
    </xf>
    <xf numFmtId="168" fontId="8" fillId="0" borderId="0" xfId="1" applyNumberFormat="1" applyFont="1" applyFill="1" applyAlignment="1">
      <alignment horizontal="center"/>
    </xf>
    <xf numFmtId="0" fontId="35" fillId="0" borderId="0" xfId="9" applyFont="1"/>
    <xf numFmtId="4" fontId="4" fillId="0" borderId="5" xfId="0" applyNumberFormat="1" applyFont="1" applyBorder="1"/>
    <xf numFmtId="4" fontId="4" fillId="0" borderId="8" xfId="0" applyNumberFormat="1" applyFont="1" applyBorder="1"/>
    <xf numFmtId="0" fontId="4" fillId="0" borderId="28" xfId="0" quotePrefix="1" applyFont="1" applyBorder="1" applyProtection="1">
      <protection locked="0"/>
    </xf>
    <xf numFmtId="0" fontId="5" fillId="0" borderId="28" xfId="0" quotePrefix="1" applyFont="1" applyBorder="1" applyAlignment="1">
      <alignment horizontal="center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0" xfId="2" applyFont="1" applyAlignment="1">
      <alignment horizontal="right"/>
    </xf>
    <xf numFmtId="0" fontId="4" fillId="0" borderId="0" xfId="2" applyFont="1"/>
    <xf numFmtId="0" fontId="4" fillId="0" borderId="0" xfId="2" applyFont="1" applyAlignment="1">
      <alignment horizontal="left"/>
    </xf>
    <xf numFmtId="0" fontId="40" fillId="0" borderId="0" xfId="2" applyFont="1"/>
    <xf numFmtId="0" fontId="38" fillId="0" borderId="8" xfId="2" applyFont="1" applyBorder="1"/>
    <xf numFmtId="0" fontId="42" fillId="0" borderId="8" xfId="2" applyFont="1" applyBorder="1"/>
    <xf numFmtId="0" fontId="42" fillId="0" borderId="12" xfId="2" applyFont="1" applyBorder="1"/>
    <xf numFmtId="0" fontId="42" fillId="0" borderId="8" xfId="2" applyFont="1" applyBorder="1" applyAlignment="1">
      <alignment horizontal="center"/>
    </xf>
    <xf numFmtId="168" fontId="42" fillId="0" borderId="8" xfId="1" applyNumberFormat="1" applyFont="1" applyFill="1" applyBorder="1"/>
    <xf numFmtId="0" fontId="42" fillId="0" borderId="8" xfId="2" applyFont="1" applyBorder="1" applyAlignment="1">
      <alignment horizontal="center" wrapText="1"/>
    </xf>
    <xf numFmtId="0" fontId="43" fillId="0" borderId="8" xfId="2" applyFont="1" applyBorder="1"/>
    <xf numFmtId="0" fontId="42" fillId="0" borderId="8" xfId="2" applyFont="1" applyBorder="1" applyAlignment="1">
      <alignment horizontal="center" vertical="center" wrapText="1"/>
    </xf>
    <xf numFmtId="0" fontId="38" fillId="0" borderId="8" xfId="2" applyFont="1" applyBorder="1" applyAlignment="1">
      <alignment vertical="center" shrinkToFit="1"/>
    </xf>
    <xf numFmtId="3" fontId="41" fillId="0" borderId="8" xfId="1" applyNumberFormat="1" applyFont="1" applyFill="1" applyBorder="1" applyAlignment="1">
      <alignment horizontal="right"/>
    </xf>
    <xf numFmtId="3" fontId="41" fillId="0" borderId="8" xfId="2" applyNumberFormat="1" applyFont="1" applyBorder="1" applyAlignment="1">
      <alignment horizontal="right" shrinkToFit="1"/>
    </xf>
    <xf numFmtId="0" fontId="42" fillId="0" borderId="8" xfId="2" applyFont="1" applyBorder="1" applyAlignment="1">
      <alignment vertical="center" shrinkToFit="1"/>
    </xf>
    <xf numFmtId="0" fontId="42" fillId="0" borderId="8" xfId="2" applyFont="1" applyBorder="1" applyAlignment="1">
      <alignment horizontal="center" vertical="center" shrinkToFit="1"/>
    </xf>
    <xf numFmtId="168" fontId="42" fillId="0" borderId="8" xfId="1" applyNumberFormat="1" applyFont="1" applyFill="1" applyBorder="1" applyAlignment="1">
      <alignment vertical="center" shrinkToFit="1"/>
    </xf>
    <xf numFmtId="0" fontId="41" fillId="0" borderId="8" xfId="8" applyFont="1" applyBorder="1" applyAlignment="1">
      <alignment horizontal="center" vertical="center" wrapText="1" shrinkToFit="1"/>
    </xf>
    <xf numFmtId="0" fontId="43" fillId="0" borderId="8" xfId="2" applyFont="1" applyBorder="1" applyAlignment="1">
      <alignment horizontal="center" vertical="center" shrinkToFit="1"/>
    </xf>
    <xf numFmtId="0" fontId="44" fillId="0" borderId="0" xfId="2" applyFont="1"/>
    <xf numFmtId="0" fontId="38" fillId="0" borderId="5" xfId="2" applyFont="1" applyBorder="1" applyAlignment="1">
      <alignment horizontal="center" shrinkToFit="1"/>
    </xf>
    <xf numFmtId="168" fontId="45" fillId="0" borderId="5" xfId="1" applyNumberFormat="1" applyFont="1" applyFill="1" applyBorder="1" applyAlignment="1">
      <alignment horizontal="center" vertical="center" shrinkToFit="1"/>
    </xf>
    <xf numFmtId="3" fontId="45" fillId="0" borderId="5" xfId="2" applyNumberFormat="1" applyFont="1" applyBorder="1" applyAlignment="1">
      <alignment horizontal="center" vertical="center" shrinkToFit="1"/>
    </xf>
    <xf numFmtId="3" fontId="38" fillId="0" borderId="5" xfId="2" applyNumberFormat="1" applyFont="1" applyBorder="1" applyAlignment="1">
      <alignment horizontal="center" vertical="center" shrinkToFit="1"/>
    </xf>
    <xf numFmtId="168" fontId="38" fillId="0" borderId="5" xfId="1" applyNumberFormat="1" applyFont="1" applyFill="1" applyBorder="1" applyAlignment="1">
      <alignment horizontal="center" vertical="center" shrinkToFit="1"/>
    </xf>
    <xf numFmtId="0" fontId="38" fillId="0" borderId="5" xfId="2" applyFont="1" applyBorder="1" applyAlignment="1">
      <alignment vertical="center" wrapText="1" shrinkToFit="1"/>
    </xf>
    <xf numFmtId="0" fontId="9" fillId="0" borderId="5" xfId="2" applyFont="1" applyBorder="1" applyAlignment="1">
      <alignment horizontal="center" vertical="center" shrinkToFit="1"/>
    </xf>
    <xf numFmtId="0" fontId="38" fillId="0" borderId="5" xfId="2" applyFont="1" applyBorder="1" applyAlignment="1">
      <alignment horizontal="center" vertical="center" shrinkToFit="1"/>
    </xf>
    <xf numFmtId="3" fontId="42" fillId="0" borderId="5" xfId="2" applyNumberFormat="1" applyFont="1" applyBorder="1" applyAlignment="1">
      <alignment horizontal="center" vertical="center" shrinkToFit="1"/>
    </xf>
    <xf numFmtId="3" fontId="46" fillId="0" borderId="5" xfId="2" applyNumberFormat="1" applyFont="1" applyBorder="1" applyAlignment="1">
      <alignment horizontal="center" vertical="center" shrinkToFit="1"/>
    </xf>
    <xf numFmtId="168" fontId="42" fillId="0" borderId="5" xfId="1" applyNumberFormat="1" applyFont="1" applyFill="1" applyBorder="1" applyAlignment="1">
      <alignment horizontal="center" vertical="center" shrinkToFit="1"/>
    </xf>
    <xf numFmtId="0" fontId="48" fillId="0" borderId="5" xfId="2" applyFont="1" applyBorder="1" applyAlignment="1">
      <alignment horizontal="center" vertical="center" shrinkToFit="1"/>
    </xf>
    <xf numFmtId="0" fontId="38" fillId="0" borderId="5" xfId="2" applyFont="1" applyBorder="1" applyAlignment="1">
      <alignment vertical="top" wrapText="1" shrinkToFit="1"/>
    </xf>
    <xf numFmtId="164" fontId="42" fillId="0" borderId="5" xfId="1" applyFont="1" applyFill="1" applyBorder="1" applyAlignment="1">
      <alignment horizontal="center" vertical="center" shrinkToFit="1"/>
    </xf>
    <xf numFmtId="168" fontId="42" fillId="0" borderId="5" xfId="1" applyNumberFormat="1" applyFont="1" applyFill="1" applyBorder="1" applyAlignment="1">
      <alignment vertical="center" shrinkToFit="1"/>
    </xf>
    <xf numFmtId="0" fontId="42" fillId="0" borderId="5" xfId="8" applyFont="1" applyBorder="1" applyAlignment="1">
      <alignment vertical="center" wrapText="1" shrinkToFit="1"/>
    </xf>
    <xf numFmtId="0" fontId="43" fillId="0" borderId="5" xfId="2" applyFont="1" applyBorder="1" applyAlignment="1">
      <alignment horizontal="center" vertical="center" shrinkToFit="1"/>
    </xf>
    <xf numFmtId="0" fontId="49" fillId="0" borderId="0" xfId="2" applyFont="1"/>
    <xf numFmtId="164" fontId="42" fillId="0" borderId="5" xfId="1" applyFont="1" applyFill="1" applyBorder="1" applyAlignment="1">
      <alignment vertical="center" shrinkToFit="1"/>
    </xf>
    <xf numFmtId="3" fontId="42" fillId="0" borderId="5" xfId="2" applyNumberFormat="1" applyFont="1" applyBorder="1" applyAlignment="1">
      <alignment vertical="center" shrinkToFit="1"/>
    </xf>
    <xf numFmtId="0" fontId="42" fillId="0" borderId="5" xfId="2" applyFont="1" applyBorder="1" applyAlignment="1">
      <alignment vertical="center" wrapText="1" shrinkToFit="1"/>
    </xf>
    <xf numFmtId="0" fontId="42" fillId="0" borderId="5" xfId="2" applyFont="1" applyBorder="1" applyAlignment="1">
      <alignment vertical="center" wrapText="1"/>
    </xf>
    <xf numFmtId="49" fontId="42" fillId="0" borderId="5" xfId="2" applyNumberFormat="1" applyFont="1" applyBorder="1" applyAlignment="1">
      <alignment vertical="center" wrapText="1" shrinkToFit="1"/>
    </xf>
    <xf numFmtId="0" fontId="4" fillId="0" borderId="5" xfId="2" applyFont="1" applyBorder="1"/>
    <xf numFmtId="0" fontId="38" fillId="0" borderId="1" xfId="2" applyFont="1" applyBorder="1" applyAlignment="1">
      <alignment horizontal="center" vertical="center" shrinkToFit="1"/>
    </xf>
    <xf numFmtId="168" fontId="42" fillId="0" borderId="1" xfId="1" applyNumberFormat="1" applyFont="1" applyFill="1" applyBorder="1" applyAlignment="1">
      <alignment horizontal="center" vertical="center" shrinkToFit="1"/>
    </xf>
    <xf numFmtId="0" fontId="38" fillId="0" borderId="4" xfId="2" applyFont="1" applyBorder="1" applyAlignment="1">
      <alignment vertical="center" shrinkToFit="1"/>
    </xf>
    <xf numFmtId="168" fontId="42" fillId="0" borderId="4" xfId="1" applyNumberFormat="1" applyFont="1" applyFill="1" applyBorder="1" applyAlignment="1">
      <alignment horizontal="center" vertical="center" shrinkToFit="1"/>
    </xf>
    <xf numFmtId="3" fontId="42" fillId="0" borderId="4" xfId="2" applyNumberFormat="1" applyFont="1" applyBorder="1" applyAlignment="1">
      <alignment horizontal="center" vertical="center" shrinkToFit="1"/>
    </xf>
    <xf numFmtId="0" fontId="42" fillId="0" borderId="4" xfId="2" applyFont="1" applyBorder="1" applyAlignment="1">
      <alignment vertical="center" wrapText="1"/>
    </xf>
    <xf numFmtId="0" fontId="43" fillId="0" borderId="4" xfId="2" applyFont="1" applyBorder="1" applyAlignment="1">
      <alignment horizontal="center" vertical="center" shrinkToFit="1"/>
    </xf>
    <xf numFmtId="0" fontId="38" fillId="0" borderId="5" xfId="2" applyFont="1" applyBorder="1" applyAlignment="1">
      <alignment vertical="center" shrinkToFit="1"/>
    </xf>
    <xf numFmtId="0" fontId="38" fillId="0" borderId="5" xfId="2" applyFont="1" applyBorder="1" applyAlignment="1">
      <alignment horizontal="left" shrinkToFit="1"/>
    </xf>
    <xf numFmtId="0" fontId="42" fillId="0" borderId="0" xfId="2" applyFont="1" applyAlignment="1">
      <alignment vertical="center" wrapText="1" shrinkToFit="1"/>
    </xf>
    <xf numFmtId="0" fontId="42" fillId="0" borderId="5" xfId="2" applyFont="1" applyBorder="1" applyAlignment="1">
      <alignment vertical="center" shrinkToFit="1"/>
    </xf>
    <xf numFmtId="0" fontId="42" fillId="0" borderId="5" xfId="2" applyFont="1" applyBorder="1" applyAlignment="1">
      <alignment horizontal="center" vertical="center" shrinkToFit="1"/>
    </xf>
    <xf numFmtId="0" fontId="42" fillId="0" borderId="5" xfId="2" quotePrefix="1" applyFont="1" applyBorder="1" applyAlignment="1">
      <alignment vertical="center" wrapText="1" shrinkToFit="1"/>
    </xf>
    <xf numFmtId="168" fontId="40" fillId="0" borderId="0" xfId="2" applyNumberFormat="1" applyFont="1"/>
    <xf numFmtId="168" fontId="4" fillId="0" borderId="0" xfId="2" applyNumberFormat="1" applyFont="1"/>
    <xf numFmtId="0" fontId="35" fillId="0" borderId="4" xfId="2" applyFont="1" applyBorder="1" applyAlignment="1">
      <alignment horizontal="center" vertical="center"/>
    </xf>
    <xf numFmtId="0" fontId="35" fillId="0" borderId="4" xfId="2" applyFont="1" applyBorder="1" applyAlignment="1">
      <alignment horizontal="center" vertical="center" wrapText="1"/>
    </xf>
    <xf numFmtId="0" fontId="35" fillId="0" borderId="4" xfId="2" applyFont="1" applyBorder="1" applyAlignment="1">
      <alignment horizontal="center" wrapText="1"/>
    </xf>
    <xf numFmtId="0" fontId="35" fillId="0" borderId="4" xfId="2" applyFont="1" applyBorder="1" applyAlignment="1">
      <alignment horizontal="center" vertical="center" shrinkToFit="1"/>
    </xf>
    <xf numFmtId="0" fontId="35" fillId="0" borderId="1" xfId="2" applyFont="1" applyBorder="1" applyAlignment="1">
      <alignment horizontal="center" vertical="center" shrinkToFit="1"/>
    </xf>
    <xf numFmtId="0" fontId="43" fillId="0" borderId="0" xfId="2" applyFont="1"/>
    <xf numFmtId="0" fontId="43" fillId="0" borderId="0" xfId="9" applyFont="1"/>
    <xf numFmtId="0" fontId="43" fillId="0" borderId="0" xfId="9" applyFont="1" applyAlignment="1">
      <alignment horizontal="center"/>
    </xf>
    <xf numFmtId="168" fontId="43" fillId="0" borderId="0" xfId="1" applyNumberFormat="1" applyFont="1" applyFill="1"/>
    <xf numFmtId="0" fontId="43" fillId="0" borderId="0" xfId="9" applyFont="1" applyAlignment="1">
      <alignment wrapText="1"/>
    </xf>
    <xf numFmtId="0" fontId="9" fillId="0" borderId="0" xfId="2" applyFont="1"/>
    <xf numFmtId="0" fontId="35" fillId="0" borderId="0" xfId="9" applyFont="1" applyAlignment="1">
      <alignment horizontal="center"/>
    </xf>
    <xf numFmtId="168" fontId="35" fillId="0" borderId="0" xfId="1" applyNumberFormat="1" applyFont="1" applyFill="1" applyAlignment="1">
      <alignment horizontal="center"/>
    </xf>
    <xf numFmtId="0" fontId="5" fillId="0" borderId="0" xfId="2" applyFont="1"/>
    <xf numFmtId="0" fontId="8" fillId="0" borderId="0" xfId="2" applyFont="1"/>
    <xf numFmtId="0" fontId="8" fillId="0" borderId="0" xfId="2" applyFont="1" applyAlignment="1">
      <alignment horizontal="left"/>
    </xf>
    <xf numFmtId="0" fontId="10" fillId="0" borderId="0" xfId="2" applyFont="1"/>
    <xf numFmtId="169" fontId="10" fillId="0" borderId="0" xfId="1" applyNumberFormat="1" applyFont="1" applyBorder="1" applyAlignment="1">
      <alignment horizontal="right"/>
    </xf>
    <xf numFmtId="170" fontId="52" fillId="0" borderId="0" xfId="2" applyNumberFormat="1" applyFont="1" applyAlignment="1">
      <alignment horizontal="center" vertical="center"/>
    </xf>
    <xf numFmtId="49" fontId="38" fillId="0" borderId="0" xfId="2" applyNumberFormat="1" applyFont="1" applyAlignment="1">
      <alignment vertical="center"/>
    </xf>
    <xf numFmtId="0" fontId="38" fillId="0" borderId="0" xfId="2" applyFont="1" applyAlignment="1">
      <alignment horizontal="center"/>
    </xf>
    <xf numFmtId="170" fontId="8" fillId="0" borderId="8" xfId="2" applyNumberFormat="1" applyFont="1" applyBorder="1" applyAlignment="1">
      <alignment horizontal="center" vertical="center"/>
    </xf>
    <xf numFmtId="49" fontId="38" fillId="0" borderId="8" xfId="2" applyNumberFormat="1" applyFont="1" applyBorder="1" applyAlignment="1">
      <alignment vertical="center"/>
    </xf>
    <xf numFmtId="0" fontId="38" fillId="0" borderId="12" xfId="2" applyFont="1" applyBorder="1" applyAlignment="1">
      <alignment horizontal="center"/>
    </xf>
    <xf numFmtId="171" fontId="52" fillId="0" borderId="5" xfId="2" applyNumberFormat="1" applyFont="1" applyBorder="1"/>
    <xf numFmtId="171" fontId="52" fillId="0" borderId="0" xfId="2" applyNumberFormat="1" applyFont="1"/>
    <xf numFmtId="0" fontId="52" fillId="0" borderId="0" xfId="2" applyFont="1"/>
    <xf numFmtId="0" fontId="52" fillId="0" borderId="5" xfId="2" applyFont="1" applyBorder="1"/>
    <xf numFmtId="0" fontId="52" fillId="0" borderId="6" xfId="2" applyFont="1" applyBorder="1"/>
    <xf numFmtId="171" fontId="52" fillId="0" borderId="6" xfId="2" applyNumberFormat="1" applyFont="1" applyBorder="1"/>
    <xf numFmtId="171" fontId="53" fillId="0" borderId="0" xfId="2" applyNumberFormat="1" applyFont="1"/>
    <xf numFmtId="171" fontId="53" fillId="0" borderId="5" xfId="2" applyNumberFormat="1" applyFont="1" applyBorder="1"/>
    <xf numFmtId="171" fontId="53" fillId="0" borderId="4" xfId="2" applyNumberFormat="1" applyFont="1" applyBorder="1"/>
    <xf numFmtId="0" fontId="53" fillId="0" borderId="0" xfId="2" applyFont="1"/>
    <xf numFmtId="0" fontId="53" fillId="0" borderId="5" xfId="2" applyFont="1" applyBorder="1"/>
    <xf numFmtId="0" fontId="53" fillId="0" borderId="6" xfId="2" applyFont="1" applyBorder="1"/>
    <xf numFmtId="0" fontId="9" fillId="0" borderId="5" xfId="2" applyFont="1" applyBorder="1"/>
    <xf numFmtId="0" fontId="54" fillId="8" borderId="5" xfId="2" applyFont="1" applyFill="1" applyBorder="1"/>
    <xf numFmtId="0" fontId="38" fillId="8" borderId="0" xfId="2" applyFont="1" applyFill="1"/>
    <xf numFmtId="0" fontId="38" fillId="8" borderId="5" xfId="2" applyFont="1" applyFill="1" applyBorder="1"/>
    <xf numFmtId="0" fontId="38" fillId="8" borderId="6" xfId="2" applyFont="1" applyFill="1" applyBorder="1"/>
    <xf numFmtId="0" fontId="38" fillId="0" borderId="5" xfId="2" applyFont="1" applyBorder="1"/>
    <xf numFmtId="0" fontId="38" fillId="0" borderId="0" xfId="2" applyFont="1"/>
    <xf numFmtId="0" fontId="38" fillId="0" borderId="6" xfId="2" applyFont="1" applyBorder="1"/>
    <xf numFmtId="0" fontId="9" fillId="0" borderId="5" xfId="2" applyFont="1" applyBorder="1" applyAlignment="1">
      <alignment horizontal="center"/>
    </xf>
    <xf numFmtId="0" fontId="55" fillId="8" borderId="6" xfId="2" applyFont="1" applyFill="1" applyBorder="1"/>
    <xf numFmtId="0" fontId="4" fillId="8" borderId="0" xfId="2" applyFont="1" applyFill="1"/>
    <xf numFmtId="0" fontId="38" fillId="8" borderId="7" xfId="2" applyFont="1" applyFill="1" applyBorder="1"/>
    <xf numFmtId="0" fontId="38" fillId="8" borderId="1" xfId="2" applyFont="1" applyFill="1" applyBorder="1"/>
    <xf numFmtId="0" fontId="53" fillId="0" borderId="30" xfId="2" applyFont="1" applyBorder="1" applyAlignment="1">
      <alignment horizontal="center"/>
    </xf>
    <xf numFmtId="0" fontId="53" fillId="0" borderId="31" xfId="2" applyFont="1" applyBorder="1" applyAlignment="1">
      <alignment horizontal="center"/>
    </xf>
    <xf numFmtId="0" fontId="53" fillId="0" borderId="32" xfId="2" applyFont="1" applyBorder="1" applyAlignment="1">
      <alignment horizontal="center"/>
    </xf>
    <xf numFmtId="0" fontId="53" fillId="0" borderId="1" xfId="2" applyFont="1" applyBorder="1" applyAlignment="1">
      <alignment horizontal="center"/>
    </xf>
    <xf numFmtId="0" fontId="52" fillId="0" borderId="2" xfId="2" applyFont="1" applyBorder="1" applyAlignment="1">
      <alignment horizontal="center"/>
    </xf>
    <xf numFmtId="0" fontId="5" fillId="0" borderId="4" xfId="2" applyFont="1" applyBorder="1" applyAlignment="1">
      <alignment horizontal="center" vertical="top"/>
    </xf>
    <xf numFmtId="0" fontId="52" fillId="0" borderId="5" xfId="2" applyFont="1" applyBorder="1" applyAlignment="1">
      <alignment horizontal="center"/>
    </xf>
    <xf numFmtId="0" fontId="52" fillId="0" borderId="1" xfId="2" applyFont="1" applyBorder="1" applyAlignment="1">
      <alignment horizontal="center"/>
    </xf>
    <xf numFmtId="0" fontId="8" fillId="0" borderId="0" xfId="2" applyFont="1" applyAlignment="1">
      <alignment horizontal="right"/>
    </xf>
    <xf numFmtId="168" fontId="43" fillId="0" borderId="0" xfId="1" applyNumberFormat="1" applyFont="1"/>
    <xf numFmtId="168" fontId="35" fillId="0" borderId="0" xfId="1" applyNumberFormat="1" applyFont="1" applyAlignment="1">
      <alignment horizontal="center"/>
    </xf>
    <xf numFmtId="0" fontId="5" fillId="0" borderId="0" xfId="2" applyFont="1" applyAlignment="1">
      <alignment horizontal="center"/>
    </xf>
    <xf numFmtId="171" fontId="53" fillId="0" borderId="6" xfId="2" applyNumberFormat="1" applyFont="1" applyBorder="1"/>
    <xf numFmtId="170" fontId="8" fillId="0" borderId="0" xfId="2" applyNumberFormat="1" applyFont="1" applyAlignment="1">
      <alignment horizontal="center" vertical="center"/>
    </xf>
    <xf numFmtId="164" fontId="3" fillId="0" borderId="0" xfId="1" applyFont="1"/>
    <xf numFmtId="164" fontId="3" fillId="0" borderId="0" xfId="1" applyFont="1" applyAlignment="1">
      <alignment horizontal="right"/>
    </xf>
    <xf numFmtId="166" fontId="3" fillId="0" borderId="0" xfId="2" applyNumberFormat="1"/>
    <xf numFmtId="4" fontId="3" fillId="0" borderId="0" xfId="2" applyNumberFormat="1"/>
    <xf numFmtId="164" fontId="3" fillId="0" borderId="0" xfId="2" applyNumberFormat="1"/>
    <xf numFmtId="172" fontId="3" fillId="0" borderId="0" xfId="2" applyNumberFormat="1"/>
    <xf numFmtId="164" fontId="23" fillId="0" borderId="5" xfId="1" applyFont="1" applyBorder="1" applyAlignment="1">
      <alignment horizontal="center" vertical="center"/>
    </xf>
    <xf numFmtId="164" fontId="23" fillId="0" borderId="5" xfId="2" applyNumberFormat="1" applyFont="1" applyBorder="1" applyAlignment="1">
      <alignment horizontal="center" vertical="center"/>
    </xf>
    <xf numFmtId="173" fontId="56" fillId="0" borderId="5" xfId="7" applyNumberFormat="1" applyFont="1" applyFill="1" applyBorder="1" applyAlignment="1">
      <alignment horizontal="center" vertical="center"/>
    </xf>
    <xf numFmtId="164" fontId="23" fillId="0" borderId="0" xfId="2" applyNumberFormat="1" applyFont="1" applyAlignment="1">
      <alignment horizontal="center" vertical="center"/>
    </xf>
    <xf numFmtId="173" fontId="57" fillId="0" borderId="5" xfId="7" applyNumberFormat="1" applyFont="1" applyFill="1" applyBorder="1" applyAlignment="1">
      <alignment horizontal="center" vertical="center"/>
    </xf>
    <xf numFmtId="4" fontId="23" fillId="0" borderId="5" xfId="2" applyNumberFormat="1" applyFont="1" applyBorder="1" applyAlignment="1">
      <alignment horizontal="center" vertical="center"/>
    </xf>
    <xf numFmtId="166" fontId="23" fillId="0" borderId="5" xfId="2" applyNumberFormat="1" applyFont="1" applyBorder="1" applyAlignment="1">
      <alignment horizontal="center" vertical="center"/>
    </xf>
    <xf numFmtId="173" fontId="58" fillId="0" borderId="8" xfId="7" applyNumberFormat="1" applyFont="1" applyFill="1" applyBorder="1" applyAlignment="1">
      <alignment horizontal="center" vertical="center"/>
    </xf>
    <xf numFmtId="164" fontId="23" fillId="0" borderId="8" xfId="2" applyNumberFormat="1" applyFont="1" applyBorder="1" applyAlignment="1">
      <alignment horizontal="center" vertical="center"/>
    </xf>
    <xf numFmtId="173" fontId="23" fillId="0" borderId="8" xfId="2" applyNumberFormat="1" applyFont="1" applyBorder="1" applyAlignment="1">
      <alignment horizontal="center" vertical="center"/>
    </xf>
    <xf numFmtId="168" fontId="22" fillId="0" borderId="1" xfId="1" applyNumberFormat="1" applyFont="1" applyBorder="1" applyAlignment="1">
      <alignment horizontal="left" vertical="center"/>
    </xf>
    <xf numFmtId="4" fontId="23" fillId="0" borderId="8" xfId="2" applyNumberFormat="1" applyFont="1" applyBorder="1" applyAlignment="1">
      <alignment horizontal="center" vertical="center"/>
    </xf>
    <xf numFmtId="0" fontId="15" fillId="0" borderId="0" xfId="2" applyFont="1" applyAlignment="1">
      <alignment vertical="top" textRotation="180"/>
    </xf>
    <xf numFmtId="164" fontId="22" fillId="0" borderId="0" xfId="1" applyFont="1" applyAlignment="1">
      <alignment horizontal="center" vertical="center"/>
    </xf>
    <xf numFmtId="164" fontId="22" fillId="0" borderId="8" xfId="1" applyFont="1" applyBorder="1" applyAlignment="1">
      <alignment horizontal="center" vertical="center"/>
    </xf>
    <xf numFmtId="164" fontId="23" fillId="0" borderId="1" xfId="1" applyFont="1" applyBorder="1" applyAlignment="1">
      <alignment horizontal="center" vertical="center"/>
    </xf>
    <xf numFmtId="164" fontId="23" fillId="0" borderId="15" xfId="1" applyFont="1" applyBorder="1" applyAlignment="1">
      <alignment horizontal="center" vertical="center"/>
    </xf>
    <xf numFmtId="164" fontId="23" fillId="0" borderId="0" xfId="1" applyFont="1" applyAlignment="1">
      <alignment horizontal="center" vertical="center"/>
    </xf>
    <xf numFmtId="164" fontId="23" fillId="0" borderId="8" xfId="1" applyFont="1" applyBorder="1" applyAlignment="1">
      <alignment horizontal="center" vertical="center"/>
    </xf>
    <xf numFmtId="43" fontId="56" fillId="0" borderId="5" xfId="7" applyFont="1" applyFill="1" applyBorder="1" applyAlignment="1">
      <alignment horizontal="center" vertical="center"/>
    </xf>
    <xf numFmtId="43" fontId="57" fillId="0" borderId="5" xfId="7" applyFont="1" applyFill="1" applyBorder="1" applyAlignment="1">
      <alignment horizontal="center" vertical="center"/>
    </xf>
    <xf numFmtId="43" fontId="23" fillId="0" borderId="8" xfId="2" applyNumberFormat="1" applyFont="1" applyBorder="1" applyAlignment="1">
      <alignment horizontal="center" vertical="center"/>
    </xf>
    <xf numFmtId="166" fontId="9" fillId="0" borderId="0" xfId="4" applyNumberFormat="1" applyFont="1" applyBorder="1" applyAlignment="1">
      <alignment vertical="center"/>
    </xf>
    <xf numFmtId="166" fontId="9" fillId="0" borderId="5" xfId="4" applyNumberFormat="1" applyFont="1" applyBorder="1" applyAlignment="1">
      <alignment vertical="center"/>
    </xf>
    <xf numFmtId="166" fontId="9" fillId="0" borderId="27" xfId="4" applyNumberFormat="1" applyFont="1" applyFill="1" applyBorder="1" applyAlignment="1" applyProtection="1">
      <alignment vertical="center"/>
      <protection hidden="1"/>
    </xf>
    <xf numFmtId="3" fontId="4" fillId="0" borderId="5" xfId="0" applyNumberFormat="1" applyFont="1" applyBorder="1"/>
    <xf numFmtId="3" fontId="4" fillId="0" borderId="8" xfId="0" applyNumberFormat="1" applyFont="1" applyBorder="1"/>
    <xf numFmtId="3" fontId="4" fillId="0" borderId="4" xfId="0" applyNumberFormat="1" applyFont="1" applyBorder="1"/>
    <xf numFmtId="168" fontId="60" fillId="0" borderId="8" xfId="1" quotePrefix="1" applyNumberFormat="1" applyFont="1" applyFill="1" applyBorder="1" applyAlignment="1">
      <alignment horizontal="center"/>
    </xf>
    <xf numFmtId="0" fontId="38" fillId="6" borderId="5" xfId="2" applyFont="1" applyFill="1" applyBorder="1" applyAlignment="1">
      <alignment horizontal="center" shrinkToFit="1"/>
    </xf>
    <xf numFmtId="0" fontId="38" fillId="6" borderId="1" xfId="2" applyFont="1" applyFill="1" applyBorder="1" applyAlignment="1">
      <alignment horizontal="center" vertical="center" shrinkToFit="1"/>
    </xf>
    <xf numFmtId="3" fontId="63" fillId="0" borderId="5" xfId="0" applyNumberFormat="1" applyFont="1" applyBorder="1" applyAlignment="1">
      <alignment horizontal="center" vertical="center" shrinkToFit="1"/>
    </xf>
    <xf numFmtId="3" fontId="63" fillId="0" borderId="5" xfId="2" applyNumberFormat="1" applyFont="1" applyBorder="1" applyAlignment="1">
      <alignment horizontal="center" vertical="center" shrinkToFit="1"/>
    </xf>
    <xf numFmtId="17" fontId="4" fillId="0" borderId="0" xfId="2" applyNumberFormat="1" applyFont="1"/>
    <xf numFmtId="17" fontId="40" fillId="0" borderId="0" xfId="2" applyNumberFormat="1" applyFont="1"/>
    <xf numFmtId="171" fontId="64" fillId="0" borderId="0" xfId="2" applyNumberFormat="1" applyFont="1"/>
    <xf numFmtId="171" fontId="64" fillId="0" borderId="5" xfId="2" applyNumberFormat="1" applyFont="1" applyBorder="1"/>
    <xf numFmtId="171" fontId="53" fillId="0" borderId="5" xfId="2" applyNumberFormat="1" applyFont="1" applyBorder="1" applyAlignment="1">
      <alignment vertical="top"/>
    </xf>
    <xf numFmtId="170" fontId="5" fillId="0" borderId="8" xfId="2" applyNumberFormat="1" applyFont="1" applyBorder="1" applyAlignment="1">
      <alignment horizontal="center" vertical="center"/>
    </xf>
    <xf numFmtId="3" fontId="65" fillId="0" borderId="5" xfId="2" applyNumberFormat="1" applyFont="1" applyBorder="1" applyAlignment="1">
      <alignment horizontal="center" vertical="center" shrinkToFit="1"/>
    </xf>
    <xf numFmtId="0" fontId="55" fillId="0" borderId="5" xfId="2" applyFont="1" applyBorder="1" applyAlignment="1">
      <alignment horizontal="center" shrinkToFit="1"/>
    </xf>
    <xf numFmtId="0" fontId="43" fillId="0" borderId="1" xfId="2" applyFont="1" applyBorder="1" applyAlignment="1">
      <alignment horizontal="center" vertical="center" shrinkToFit="1"/>
    </xf>
    <xf numFmtId="0" fontId="42" fillId="0" borderId="1" xfId="2" applyFont="1" applyBorder="1" applyAlignment="1">
      <alignment vertical="center" wrapText="1" shrinkToFit="1"/>
    </xf>
    <xf numFmtId="3" fontId="42" fillId="0" borderId="1" xfId="2" applyNumberFormat="1" applyFont="1" applyBorder="1" applyAlignment="1">
      <alignment horizontal="center" vertical="center" shrinkToFit="1"/>
    </xf>
    <xf numFmtId="0" fontId="55" fillId="0" borderId="5" xfId="2" applyFont="1" applyBorder="1" applyAlignment="1">
      <alignment horizontal="center" vertical="center" shrinkToFit="1"/>
    </xf>
    <xf numFmtId="3" fontId="41" fillId="0" borderId="8" xfId="2" applyNumberFormat="1" applyFont="1" applyBorder="1" applyAlignment="1">
      <alignment horizontal="right" vertical="center" shrinkToFit="1"/>
    </xf>
    <xf numFmtId="3" fontId="41" fillId="0" borderId="8" xfId="1" applyNumberFormat="1" applyFont="1" applyFill="1" applyBorder="1" applyAlignment="1">
      <alignment horizontal="right" vertical="center"/>
    </xf>
    <xf numFmtId="0" fontId="55" fillId="0" borderId="5" xfId="2" applyFont="1" applyBorder="1"/>
    <xf numFmtId="0" fontId="55" fillId="0" borderId="0" xfId="2" applyFont="1"/>
    <xf numFmtId="164" fontId="4" fillId="0" borderId="5" xfId="4" applyFont="1" applyBorder="1"/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4" fontId="4" fillId="0" borderId="28" xfId="0" applyNumberFormat="1" applyFont="1" applyBorder="1" applyAlignment="1">
      <alignment horizontal="center"/>
    </xf>
    <xf numFmtId="4" fontId="4" fillId="0" borderId="28" xfId="0" quotePrefix="1" applyNumberFormat="1" applyFont="1" applyBorder="1" applyAlignment="1">
      <alignment horizontal="center"/>
    </xf>
    <xf numFmtId="0" fontId="4" fillId="0" borderId="29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right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" fontId="4" fillId="0" borderId="12" xfId="0" applyNumberFormat="1" applyFont="1" applyBorder="1" applyAlignment="1">
      <alignment vertical="center"/>
    </xf>
    <xf numFmtId="4" fontId="4" fillId="0" borderId="14" xfId="0" applyNumberFormat="1" applyFont="1" applyBorder="1" applyAlignment="1">
      <alignment vertical="center"/>
    </xf>
    <xf numFmtId="4" fontId="4" fillId="0" borderId="9" xfId="0" applyNumberFormat="1" applyFont="1" applyBorder="1" applyAlignment="1">
      <alignment vertical="center"/>
    </xf>
    <xf numFmtId="0" fontId="15" fillId="0" borderId="10" xfId="0" applyFont="1" applyBorder="1" applyAlignment="1" applyProtection="1">
      <alignment horizontal="center" vertical="top"/>
      <protection locked="0"/>
    </xf>
    <xf numFmtId="0" fontId="15" fillId="0" borderId="15" xfId="0" applyFont="1" applyBorder="1" applyAlignment="1" applyProtection="1">
      <alignment horizontal="center" vertical="top"/>
      <protection locked="0"/>
    </xf>
    <xf numFmtId="0" fontId="15" fillId="0" borderId="13" xfId="0" applyFont="1" applyBorder="1" applyAlignment="1" applyProtection="1">
      <alignment horizontal="center" vertical="top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10" xfId="1" applyFont="1" applyBorder="1" applyAlignment="1">
      <alignment vertical="center"/>
    </xf>
    <xf numFmtId="164" fontId="4" fillId="0" borderId="15" xfId="1" applyFont="1" applyBorder="1" applyAlignment="1">
      <alignment vertical="center"/>
    </xf>
    <xf numFmtId="164" fontId="4" fillId="0" borderId="13" xfId="1" applyFont="1" applyBorder="1" applyAlignment="1">
      <alignment vertical="center"/>
    </xf>
    <xf numFmtId="164" fontId="4" fillId="0" borderId="6" xfId="1" applyFont="1" applyBorder="1" applyAlignment="1">
      <alignment vertical="center"/>
    </xf>
    <xf numFmtId="164" fontId="4" fillId="0" borderId="0" xfId="1" applyFont="1" applyAlignment="1">
      <alignment vertical="center"/>
    </xf>
    <xf numFmtId="164" fontId="4" fillId="0" borderId="7" xfId="1" applyFont="1" applyBorder="1" applyAlignment="1">
      <alignment vertical="center"/>
    </xf>
    <xf numFmtId="164" fontId="4" fillId="0" borderId="2" xfId="1" applyFont="1" applyBorder="1" applyAlignment="1">
      <alignment vertical="center"/>
    </xf>
    <xf numFmtId="164" fontId="4" fillId="0" borderId="11" xfId="1" applyFont="1" applyBorder="1" applyAlignment="1">
      <alignment vertical="center"/>
    </xf>
    <xf numFmtId="164" fontId="4" fillId="0" borderId="3" xfId="1" applyFont="1" applyBorder="1" applyAlignment="1">
      <alignment vertical="center"/>
    </xf>
    <xf numFmtId="0" fontId="4" fillId="0" borderId="15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center" wrapText="1"/>
    </xf>
    <xf numFmtId="0" fontId="28" fillId="0" borderId="6" xfId="0" applyFont="1" applyBorder="1" applyAlignment="1" applyProtection="1">
      <alignment horizontal="center" vertical="top"/>
      <protection locked="0"/>
    </xf>
    <xf numFmtId="0" fontId="28" fillId="0" borderId="0" xfId="0" applyFont="1" applyAlignment="1" applyProtection="1">
      <alignment horizontal="center" vertical="top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1" fillId="0" borderId="6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164" fontId="4" fillId="0" borderId="0" xfId="1" applyFont="1" applyBorder="1" applyAlignment="1">
      <alignment vertical="center"/>
    </xf>
    <xf numFmtId="4" fontId="4" fillId="0" borderId="12" xfId="0" applyNumberFormat="1" applyFont="1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top"/>
      <protection locked="0"/>
    </xf>
    <xf numFmtId="0" fontId="5" fillId="0" borderId="1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textRotation="180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42" fillId="0" borderId="5" xfId="2" applyNumberFormat="1" applyFont="1" applyBorder="1" applyAlignment="1">
      <alignment horizontal="center" vertical="center" wrapText="1" shrinkToFit="1"/>
    </xf>
    <xf numFmtId="0" fontId="51" fillId="0" borderId="0" xfId="2" applyFont="1" applyAlignment="1">
      <alignment horizontal="center"/>
    </xf>
    <xf numFmtId="0" fontId="35" fillId="0" borderId="0" xfId="9" applyFont="1" applyAlignment="1">
      <alignment horizontal="left" vertical="center"/>
    </xf>
    <xf numFmtId="0" fontId="43" fillId="0" borderId="0" xfId="2" applyFont="1" applyAlignment="1">
      <alignment horizontal="left" vertical="center"/>
    </xf>
    <xf numFmtId="0" fontId="35" fillId="0" borderId="1" xfId="2" applyFont="1" applyBorder="1" applyAlignment="1">
      <alignment horizontal="center" vertical="center" shrinkToFit="1"/>
    </xf>
    <xf numFmtId="0" fontId="35" fillId="0" borderId="4" xfId="2" applyFont="1" applyBorder="1" applyAlignment="1">
      <alignment horizontal="center" vertical="center" shrinkToFit="1"/>
    </xf>
    <xf numFmtId="0" fontId="35" fillId="0" borderId="1" xfId="2" applyFont="1" applyBorder="1" applyAlignment="1">
      <alignment horizontal="center" vertical="center" wrapText="1" shrinkToFit="1"/>
    </xf>
    <xf numFmtId="0" fontId="35" fillId="0" borderId="4" xfId="2" applyFont="1" applyBorder="1" applyAlignment="1">
      <alignment horizontal="center" vertical="center" wrapText="1" shrinkToFit="1"/>
    </xf>
    <xf numFmtId="168" fontId="35" fillId="0" borderId="1" xfId="1" applyNumberFormat="1" applyFont="1" applyFill="1" applyBorder="1" applyAlignment="1">
      <alignment horizontal="center" vertical="center" shrinkToFit="1"/>
    </xf>
    <xf numFmtId="168" fontId="35" fillId="0" borderId="4" xfId="1" applyNumberFormat="1" applyFont="1" applyFill="1" applyBorder="1" applyAlignment="1">
      <alignment horizontal="center" vertical="center" shrinkToFit="1"/>
    </xf>
    <xf numFmtId="0" fontId="35" fillId="0" borderId="12" xfId="2" applyFont="1" applyBorder="1" applyAlignment="1">
      <alignment horizontal="center"/>
    </xf>
    <xf numFmtId="0" fontId="35" fillId="0" borderId="14" xfId="2" applyFont="1" applyBorder="1" applyAlignment="1">
      <alignment horizontal="center"/>
    </xf>
    <xf numFmtId="0" fontId="35" fillId="0" borderId="9" xfId="2" applyFont="1" applyBorder="1" applyAlignment="1">
      <alignment horizontal="center"/>
    </xf>
    <xf numFmtId="0" fontId="35" fillId="0" borderId="1" xfId="2" applyFont="1" applyBorder="1" applyAlignment="1">
      <alignment horizontal="center"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12" xfId="2" applyFont="1" applyBorder="1" applyAlignment="1">
      <alignment horizontal="center" vertical="center"/>
    </xf>
    <xf numFmtId="0" fontId="35" fillId="0" borderId="9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shrinkToFit="1"/>
    </xf>
    <xf numFmtId="0" fontId="8" fillId="0" borderId="4" xfId="2" applyFont="1" applyBorder="1" applyAlignment="1">
      <alignment horizontal="center" vertical="center" shrinkToFit="1"/>
    </xf>
    <xf numFmtId="3" fontId="66" fillId="0" borderId="5" xfId="2" applyNumberFormat="1" applyFont="1" applyBorder="1" applyAlignment="1">
      <alignment horizontal="center" vertical="center" wrapText="1" shrinkToFit="1"/>
    </xf>
    <xf numFmtId="3" fontId="50" fillId="0" borderId="1" xfId="2" applyNumberFormat="1" applyFont="1" applyBorder="1" applyAlignment="1">
      <alignment horizontal="center" vertical="center" wrapText="1" shrinkToFit="1"/>
    </xf>
    <xf numFmtId="3" fontId="50" fillId="0" borderId="5" xfId="2" applyNumberFormat="1" applyFont="1" applyBorder="1" applyAlignment="1">
      <alignment horizontal="center" vertical="center" wrapText="1" shrinkToFit="1"/>
    </xf>
    <xf numFmtId="3" fontId="47" fillId="0" borderId="5" xfId="2" applyNumberFormat="1" applyFont="1" applyBorder="1" applyAlignment="1">
      <alignment horizontal="center" vertical="center" wrapText="1" shrinkToFit="1"/>
    </xf>
    <xf numFmtId="3" fontId="41" fillId="0" borderId="12" xfId="1" applyNumberFormat="1" applyFont="1" applyFill="1" applyBorder="1" applyAlignment="1">
      <alignment horizontal="center"/>
    </xf>
    <xf numFmtId="3" fontId="41" fillId="0" borderId="9" xfId="1" applyNumberFormat="1" applyFont="1" applyFill="1" applyBorder="1" applyAlignment="1">
      <alignment horizontal="center"/>
    </xf>
    <xf numFmtId="3" fontId="41" fillId="0" borderId="12" xfId="2" applyNumberFormat="1" applyFont="1" applyBorder="1" applyAlignment="1">
      <alignment horizontal="center"/>
    </xf>
    <xf numFmtId="3" fontId="41" fillId="0" borderId="9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0" fontId="5" fillId="0" borderId="1" xfId="2" applyNumberFormat="1" applyFont="1" applyBorder="1" applyAlignment="1">
      <alignment horizontal="center" vertical="center"/>
    </xf>
    <xf numFmtId="170" fontId="5" fillId="0" borderId="5" xfId="2" applyNumberFormat="1" applyFont="1" applyBorder="1" applyAlignment="1">
      <alignment horizontal="center" vertical="center"/>
    </xf>
    <xf numFmtId="169" fontId="10" fillId="0" borderId="12" xfId="1" applyNumberFormat="1" applyFont="1" applyBorder="1" applyAlignment="1">
      <alignment horizontal="right"/>
    </xf>
    <xf numFmtId="169" fontId="10" fillId="0" borderId="14" xfId="1" applyNumberFormat="1" applyFont="1" applyBorder="1" applyAlignment="1">
      <alignment horizontal="right"/>
    </xf>
    <xf numFmtId="169" fontId="10" fillId="0" borderId="9" xfId="1" applyNumberFormat="1" applyFont="1" applyBorder="1" applyAlignment="1">
      <alignment horizontal="right"/>
    </xf>
    <xf numFmtId="0" fontId="5" fillId="0" borderId="0" xfId="2" applyFont="1" applyAlignment="1">
      <alignment horizontal="center" textRotation="180"/>
    </xf>
    <xf numFmtId="0" fontId="13" fillId="0" borderId="0" xfId="2" applyFont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8" xfId="2" applyFont="1" applyBorder="1" applyAlignment="1">
      <alignment horizontal="center"/>
    </xf>
    <xf numFmtId="0" fontId="8" fillId="0" borderId="13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170" fontId="52" fillId="0" borderId="1" xfId="2" applyNumberFormat="1" applyFont="1" applyBorder="1" applyAlignment="1">
      <alignment horizontal="center" vertical="center"/>
    </xf>
    <xf numFmtId="170" fontId="52" fillId="0" borderId="5" xfId="2" applyNumberFormat="1" applyFont="1" applyBorder="1" applyAlignment="1">
      <alignment horizontal="center" vertical="center"/>
    </xf>
    <xf numFmtId="164" fontId="38" fillId="0" borderId="15" xfId="1" applyFont="1" applyBorder="1" applyAlignment="1">
      <alignment horizontal="right" textRotation="180"/>
    </xf>
    <xf numFmtId="164" fontId="38" fillId="0" borderId="0" xfId="1" applyFont="1" applyAlignment="1">
      <alignment horizontal="right" textRotation="180"/>
    </xf>
    <xf numFmtId="0" fontId="8" fillId="7" borderId="12" xfId="8" applyFont="1" applyFill="1" applyBorder="1" applyAlignment="1">
      <alignment horizontal="center" vertical="center" shrinkToFit="1"/>
    </xf>
    <xf numFmtId="0" fontId="8" fillId="7" borderId="14" xfId="8" applyFont="1" applyFill="1" applyBorder="1" applyAlignment="1">
      <alignment horizontal="center" vertical="center" shrinkToFit="1"/>
    </xf>
    <xf numFmtId="0" fontId="8" fillId="7" borderId="9" xfId="8" applyFont="1" applyFill="1" applyBorder="1" applyAlignment="1">
      <alignment horizontal="center" vertical="center" shrinkToFit="1"/>
    </xf>
    <xf numFmtId="0" fontId="8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9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2" xfId="9" applyFont="1" applyBorder="1" applyAlignment="1">
      <alignment horizontal="center"/>
    </xf>
    <xf numFmtId="0" fontId="8" fillId="0" borderId="14" xfId="9" applyFont="1" applyBorder="1" applyAlignment="1">
      <alignment horizontal="center"/>
    </xf>
    <xf numFmtId="0" fontId="8" fillId="7" borderId="10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23" fillId="0" borderId="5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2" fillId="0" borderId="8" xfId="2" applyFont="1" applyBorder="1" applyAlignment="1">
      <alignment horizontal="center" vertical="center" wrapText="1"/>
    </xf>
    <xf numFmtId="0" fontId="33" fillId="0" borderId="5" xfId="2" applyFont="1" applyBorder="1" applyAlignment="1">
      <alignment horizontal="left" vertical="center" wrapText="1"/>
    </xf>
    <xf numFmtId="0" fontId="53" fillId="0" borderId="0" xfId="2" applyFont="1" applyAlignment="1">
      <alignment horizontal="right" vertical="top" textRotation="180"/>
    </xf>
    <xf numFmtId="164" fontId="22" fillId="0" borderId="8" xfId="1" applyFont="1" applyBorder="1" applyAlignment="1">
      <alignment horizontal="center" vertical="center"/>
    </xf>
    <xf numFmtId="164" fontId="22" fillId="0" borderId="8" xfId="1" applyFont="1" applyBorder="1" applyAlignment="1">
      <alignment horizontal="center" vertical="center" wrapText="1"/>
    </xf>
    <xf numFmtId="0" fontId="59" fillId="0" borderId="8" xfId="2" applyFont="1" applyBorder="1" applyAlignment="1">
      <alignment horizontal="center" vertical="center" wrapText="1"/>
    </xf>
    <xf numFmtId="0" fontId="59" fillId="0" borderId="8" xfId="2" applyFont="1" applyBorder="1" applyAlignment="1">
      <alignment horizontal="center" vertical="center"/>
    </xf>
    <xf numFmtId="0" fontId="5" fillId="0" borderId="0" xfId="5" applyFont="1" applyAlignment="1">
      <alignment horizontal="center"/>
    </xf>
    <xf numFmtId="0" fontId="8" fillId="0" borderId="1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10" xfId="5" applyFont="1" applyBorder="1" applyAlignment="1">
      <alignment horizontal="center" vertical="center"/>
    </xf>
    <xf numFmtId="0" fontId="8" fillId="0" borderId="15" xfId="5" applyFont="1" applyBorder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0" fontId="8" fillId="0" borderId="11" xfId="5" applyFont="1" applyBorder="1" applyAlignment="1">
      <alignment horizontal="center" vertical="center"/>
    </xf>
    <xf numFmtId="0" fontId="8" fillId="0" borderId="12" xfId="5" applyFont="1" applyBorder="1" applyAlignment="1">
      <alignment horizontal="center" vertical="center"/>
    </xf>
    <xf numFmtId="0" fontId="8" fillId="0" borderId="14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0" fontId="9" fillId="0" borderId="0" xfId="5" applyFont="1" applyAlignment="1">
      <alignment horizontal="left" vertical="center"/>
    </xf>
    <xf numFmtId="0" fontId="8" fillId="0" borderId="0" xfId="5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left" vertical="top" textRotation="180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right" vertical="top" textRotation="180"/>
    </xf>
  </cellXfs>
  <cellStyles count="10">
    <cellStyle name="Comma" xfId="4" builtinId="3"/>
    <cellStyle name="Comma 2" xfId="1" xr:uid="{00000000-0005-0000-0000-000000000000}"/>
    <cellStyle name="Comma 3" xfId="7" xr:uid="{C3D5879C-7640-42FE-B7DD-3CE246D838A2}"/>
    <cellStyle name="Normal" xfId="0" builtinId="0"/>
    <cellStyle name="Normal 2" xfId="2" xr:uid="{00000000-0005-0000-0000-000002000000}"/>
    <cellStyle name="Normal 3" xfId="3" xr:uid="{9987F191-E882-4554-AE24-B53D29127A49}"/>
    <cellStyle name="Normal 4" xfId="5" xr:uid="{1F8AE88F-C18D-4C9A-970D-4BD5D428A0E7}"/>
    <cellStyle name="Percent" xfId="6" builtinId="5"/>
    <cellStyle name="ปกติ 2" xfId="9" xr:uid="{C4CE1EBD-6D52-4834-AFE3-F5E21E904D21}"/>
    <cellStyle name="ปกติ_Sheet1" xfId="8" xr:uid="{F898C76E-DF1A-4D2D-893F-68FD9B8559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327660</xdr:colOff>
      <xdr:row>9</xdr:row>
      <xdr:rowOff>91440</xdr:rowOff>
    </xdr:from>
    <xdr:to>
      <xdr:col>6</xdr:col>
      <xdr:colOff>396240</xdr:colOff>
      <xdr:row>10</xdr:row>
      <xdr:rowOff>144780</xdr:rowOff>
    </xdr:to>
    <xdr:sp macro="" textlink="">
      <xdr:nvSpPr>
        <xdr:cNvPr id="2302" name="Text Box 1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SpPr txBox="1">
          <a:spLocks noChangeArrowheads="1"/>
        </xdr:cNvSpPr>
      </xdr:nvSpPr>
      <xdr:spPr bwMode="auto">
        <a:xfrm>
          <a:off x="7360920" y="3604260"/>
          <a:ext cx="685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42</xdr:row>
      <xdr:rowOff>0</xdr:rowOff>
    </xdr:from>
    <xdr:to>
      <xdr:col>5</xdr:col>
      <xdr:colOff>68580</xdr:colOff>
      <xdr:row>43</xdr:row>
      <xdr:rowOff>60960</xdr:rowOff>
    </xdr:to>
    <xdr:sp macro="" textlink="">
      <xdr:nvSpPr>
        <xdr:cNvPr id="23168" name="Text Box 5">
          <a:extLst>
            <a:ext uri="{FF2B5EF4-FFF2-40B4-BE49-F238E27FC236}">
              <a16:creationId xmlns:a16="http://schemas.microsoft.com/office/drawing/2014/main" id="{00000000-0008-0000-0600-0000805A0000}"/>
            </a:ext>
          </a:extLst>
        </xdr:cNvPr>
        <xdr:cNvSpPr txBox="1">
          <a:spLocks noChangeArrowheads="1"/>
        </xdr:cNvSpPr>
      </xdr:nvSpPr>
      <xdr:spPr bwMode="auto">
        <a:xfrm>
          <a:off x="1813560" y="1004316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68580</xdr:colOff>
      <xdr:row>13</xdr:row>
      <xdr:rowOff>60960</xdr:rowOff>
    </xdr:to>
    <xdr:sp macro="" textlink="">
      <xdr:nvSpPr>
        <xdr:cNvPr id="23169" name="Text Box 5">
          <a:extLst>
            <a:ext uri="{FF2B5EF4-FFF2-40B4-BE49-F238E27FC236}">
              <a16:creationId xmlns:a16="http://schemas.microsoft.com/office/drawing/2014/main" id="{00000000-0008-0000-0600-0000815A0000}"/>
            </a:ext>
          </a:extLst>
        </xdr:cNvPr>
        <xdr:cNvSpPr txBox="1">
          <a:spLocks noChangeArrowheads="1"/>
        </xdr:cNvSpPr>
      </xdr:nvSpPr>
      <xdr:spPr bwMode="auto">
        <a:xfrm>
          <a:off x="1813560" y="320040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68580</xdr:colOff>
      <xdr:row>3</xdr:row>
      <xdr:rowOff>0</xdr:rowOff>
    </xdr:to>
    <xdr:sp macro="" textlink="">
      <xdr:nvSpPr>
        <xdr:cNvPr id="23170" name="Text Box 72">
          <a:extLst>
            <a:ext uri="{FF2B5EF4-FFF2-40B4-BE49-F238E27FC236}">
              <a16:creationId xmlns:a16="http://schemas.microsoft.com/office/drawing/2014/main" id="{00000000-0008-0000-0600-0000825A0000}"/>
            </a:ext>
          </a:extLst>
        </xdr:cNvPr>
        <xdr:cNvSpPr txBox="1">
          <a:spLocks noChangeArrowheads="1"/>
        </xdr:cNvSpPr>
      </xdr:nvSpPr>
      <xdr:spPr bwMode="auto">
        <a:xfrm>
          <a:off x="3825240" y="533400"/>
          <a:ext cx="6858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76200</xdr:rowOff>
    </xdr:from>
    <xdr:to>
      <xdr:col>5</xdr:col>
      <xdr:colOff>68580</xdr:colOff>
      <xdr:row>21</xdr:row>
      <xdr:rowOff>60960</xdr:rowOff>
    </xdr:to>
    <xdr:sp macro="" textlink="">
      <xdr:nvSpPr>
        <xdr:cNvPr id="26917" name="Text Box 77">
          <a:extLst>
            <a:ext uri="{FF2B5EF4-FFF2-40B4-BE49-F238E27FC236}">
              <a16:creationId xmlns:a16="http://schemas.microsoft.com/office/drawing/2014/main" id="{00000000-0008-0000-0500-000025690000}"/>
            </a:ext>
          </a:extLst>
        </xdr:cNvPr>
        <xdr:cNvSpPr txBox="1">
          <a:spLocks noChangeArrowheads="1"/>
        </xdr:cNvSpPr>
      </xdr:nvSpPr>
      <xdr:spPr bwMode="auto">
        <a:xfrm>
          <a:off x="2743200" y="662940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68580</xdr:colOff>
      <xdr:row>29</xdr:row>
      <xdr:rowOff>0</xdr:rowOff>
    </xdr:to>
    <xdr:sp macro="" textlink="">
      <xdr:nvSpPr>
        <xdr:cNvPr id="26918" name="Text Box 5">
          <a:extLst>
            <a:ext uri="{FF2B5EF4-FFF2-40B4-BE49-F238E27FC236}">
              <a16:creationId xmlns:a16="http://schemas.microsoft.com/office/drawing/2014/main" id="{00000000-0008-0000-0500-000026690000}"/>
            </a:ext>
          </a:extLst>
        </xdr:cNvPr>
        <xdr:cNvSpPr txBox="1">
          <a:spLocks noChangeArrowheads="1"/>
        </xdr:cNvSpPr>
      </xdr:nvSpPr>
      <xdr:spPr bwMode="auto">
        <a:xfrm>
          <a:off x="2743200" y="91744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68580</xdr:colOff>
      <xdr:row>25</xdr:row>
      <xdr:rowOff>0</xdr:rowOff>
    </xdr:to>
    <xdr:sp macro="" textlink="">
      <xdr:nvSpPr>
        <xdr:cNvPr id="26919" name="Text Box 72">
          <a:extLst>
            <a:ext uri="{FF2B5EF4-FFF2-40B4-BE49-F238E27FC236}">
              <a16:creationId xmlns:a16="http://schemas.microsoft.com/office/drawing/2014/main" id="{00000000-0008-0000-0500-000027690000}"/>
            </a:ext>
          </a:extLst>
        </xdr:cNvPr>
        <xdr:cNvSpPr txBox="1">
          <a:spLocks noChangeArrowheads="1"/>
        </xdr:cNvSpPr>
      </xdr:nvSpPr>
      <xdr:spPr bwMode="auto">
        <a:xfrm>
          <a:off x="3291840" y="75361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42</xdr:row>
      <xdr:rowOff>247650</xdr:rowOff>
    </xdr:from>
    <xdr:to>
      <xdr:col>4</xdr:col>
      <xdr:colOff>977682</xdr:colOff>
      <xdr:row>55</xdr:row>
      <xdr:rowOff>202210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BE211-06C2-4BBE-9BD5-CCF0AEB4D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4573250"/>
          <a:ext cx="4816257" cy="32311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5</xdr:row>
      <xdr:rowOff>259080</xdr:rowOff>
    </xdr:from>
    <xdr:to>
      <xdr:col>2</xdr:col>
      <xdr:colOff>0</xdr:colOff>
      <xdr:row>5</xdr:row>
      <xdr:rowOff>259080</xdr:rowOff>
    </xdr:to>
    <xdr:sp macro="" textlink="">
      <xdr:nvSpPr>
        <xdr:cNvPr id="2" name="Line 35">
          <a:extLst>
            <a:ext uri="{FF2B5EF4-FFF2-40B4-BE49-F238E27FC236}">
              <a16:creationId xmlns:a16="http://schemas.microsoft.com/office/drawing/2014/main" id="{848AC82E-F061-4ABC-B286-BB9C1085B12C}"/>
            </a:ext>
          </a:extLst>
        </xdr:cNvPr>
        <xdr:cNvSpPr>
          <a:spLocks noChangeShapeType="1"/>
        </xdr:cNvSpPr>
      </xdr:nvSpPr>
      <xdr:spPr bwMode="auto">
        <a:xfrm>
          <a:off x="331470" y="1859280"/>
          <a:ext cx="224980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140970</xdr:colOff>
      <xdr:row>6</xdr:row>
      <xdr:rowOff>247358</xdr:rowOff>
    </xdr:from>
    <xdr:to>
      <xdr:col>7</xdr:col>
      <xdr:colOff>1059413</xdr:colOff>
      <xdr:row>6</xdr:row>
      <xdr:rowOff>259468</xdr:rowOff>
    </xdr:to>
    <xdr:sp macro="" textlink="">
      <xdr:nvSpPr>
        <xdr:cNvPr id="3" name="Line 35">
          <a:extLst>
            <a:ext uri="{FF2B5EF4-FFF2-40B4-BE49-F238E27FC236}">
              <a16:creationId xmlns:a16="http://schemas.microsoft.com/office/drawing/2014/main" id="{6F468877-6030-48C4-A3E2-FF05FF10A8BF}"/>
            </a:ext>
          </a:extLst>
        </xdr:cNvPr>
        <xdr:cNvSpPr>
          <a:spLocks noChangeShapeType="1"/>
        </xdr:cNvSpPr>
      </xdr:nvSpPr>
      <xdr:spPr bwMode="auto">
        <a:xfrm flipV="1">
          <a:off x="426720" y="2114258"/>
          <a:ext cx="7147793" cy="1211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293370</xdr:colOff>
      <xdr:row>8</xdr:row>
      <xdr:rowOff>7620</xdr:rowOff>
    </xdr:from>
    <xdr:to>
      <xdr:col>1</xdr:col>
      <xdr:colOff>1901190</xdr:colOff>
      <xdr:row>8</xdr:row>
      <xdr:rowOff>7620</xdr:rowOff>
    </xdr:to>
    <xdr:sp macro="" textlink="">
      <xdr:nvSpPr>
        <xdr:cNvPr id="4" name="Line 36">
          <a:extLst>
            <a:ext uri="{FF2B5EF4-FFF2-40B4-BE49-F238E27FC236}">
              <a16:creationId xmlns:a16="http://schemas.microsoft.com/office/drawing/2014/main" id="{51CAC9D8-1183-454E-8EE7-9789A00A7821}"/>
            </a:ext>
          </a:extLst>
        </xdr:cNvPr>
        <xdr:cNvSpPr>
          <a:spLocks noChangeShapeType="1"/>
        </xdr:cNvSpPr>
      </xdr:nvSpPr>
      <xdr:spPr bwMode="auto">
        <a:xfrm>
          <a:off x="579120" y="2407920"/>
          <a:ext cx="16078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6</xdr:row>
      <xdr:rowOff>198120</xdr:rowOff>
    </xdr:from>
    <xdr:to>
      <xdr:col>1</xdr:col>
      <xdr:colOff>1844040</xdr:colOff>
      <xdr:row>6</xdr:row>
      <xdr:rowOff>198120</xdr:rowOff>
    </xdr:to>
    <xdr:sp macro="" textlink="">
      <xdr:nvSpPr>
        <xdr:cNvPr id="2" name="Line 36">
          <a:extLst>
            <a:ext uri="{FF2B5EF4-FFF2-40B4-BE49-F238E27FC236}">
              <a16:creationId xmlns:a16="http://schemas.microsoft.com/office/drawing/2014/main" id="{BB6B98D5-7D89-49B5-9AAC-60FE4C6D8CDF}"/>
            </a:ext>
          </a:extLst>
        </xdr:cNvPr>
        <xdr:cNvSpPr>
          <a:spLocks noChangeShapeType="1"/>
        </xdr:cNvSpPr>
      </xdr:nvSpPr>
      <xdr:spPr bwMode="auto">
        <a:xfrm>
          <a:off x="845820" y="1855470"/>
          <a:ext cx="36957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140969</xdr:colOff>
      <xdr:row>6</xdr:row>
      <xdr:rowOff>261926</xdr:rowOff>
    </xdr:from>
    <xdr:to>
      <xdr:col>8</xdr:col>
      <xdr:colOff>974395</xdr:colOff>
      <xdr:row>6</xdr:row>
      <xdr:rowOff>262758</xdr:rowOff>
    </xdr:to>
    <xdr:sp macro="" textlink="">
      <xdr:nvSpPr>
        <xdr:cNvPr id="3" name="Line 35">
          <a:extLst>
            <a:ext uri="{FF2B5EF4-FFF2-40B4-BE49-F238E27FC236}">
              <a16:creationId xmlns:a16="http://schemas.microsoft.com/office/drawing/2014/main" id="{2F72712C-9B56-45DF-9AC2-2BB279AA3043}"/>
            </a:ext>
          </a:extLst>
        </xdr:cNvPr>
        <xdr:cNvSpPr>
          <a:spLocks noChangeShapeType="1"/>
        </xdr:cNvSpPr>
      </xdr:nvSpPr>
      <xdr:spPr bwMode="auto">
        <a:xfrm>
          <a:off x="750569" y="1919276"/>
          <a:ext cx="4129076" cy="832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436245</xdr:colOff>
      <xdr:row>5</xdr:row>
      <xdr:rowOff>252401</xdr:rowOff>
    </xdr:from>
    <xdr:to>
      <xdr:col>1</xdr:col>
      <xdr:colOff>2044065</xdr:colOff>
      <xdr:row>5</xdr:row>
      <xdr:rowOff>252401</xdr:rowOff>
    </xdr:to>
    <xdr:sp macro="" textlink="">
      <xdr:nvSpPr>
        <xdr:cNvPr id="4" name="Line 36">
          <a:extLst>
            <a:ext uri="{FF2B5EF4-FFF2-40B4-BE49-F238E27FC236}">
              <a16:creationId xmlns:a16="http://schemas.microsoft.com/office/drawing/2014/main" id="{5EFFC45C-A56E-4F08-8B91-B79FE9272D6B}"/>
            </a:ext>
          </a:extLst>
        </xdr:cNvPr>
        <xdr:cNvSpPr>
          <a:spLocks noChangeShapeType="1"/>
        </xdr:cNvSpPr>
      </xdr:nvSpPr>
      <xdr:spPr bwMode="auto">
        <a:xfrm>
          <a:off x="1045845" y="1633526"/>
          <a:ext cx="16954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293370</xdr:colOff>
      <xdr:row>8</xdr:row>
      <xdr:rowOff>7620</xdr:rowOff>
    </xdr:from>
    <xdr:to>
      <xdr:col>1</xdr:col>
      <xdr:colOff>1901190</xdr:colOff>
      <xdr:row>8</xdr:row>
      <xdr:rowOff>7620</xdr:rowOff>
    </xdr:to>
    <xdr:sp macro="" textlink="">
      <xdr:nvSpPr>
        <xdr:cNvPr id="5" name="Line 36">
          <a:extLst>
            <a:ext uri="{FF2B5EF4-FFF2-40B4-BE49-F238E27FC236}">
              <a16:creationId xmlns:a16="http://schemas.microsoft.com/office/drawing/2014/main" id="{EFDA07DC-0784-4999-9CC0-36CE3A8CF3E3}"/>
            </a:ext>
          </a:extLst>
        </xdr:cNvPr>
        <xdr:cNvSpPr>
          <a:spLocks noChangeShapeType="1"/>
        </xdr:cNvSpPr>
      </xdr:nvSpPr>
      <xdr:spPr bwMode="auto">
        <a:xfrm>
          <a:off x="902970" y="2217420"/>
          <a:ext cx="3124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5</xdr:row>
      <xdr:rowOff>259080</xdr:rowOff>
    </xdr:from>
    <xdr:to>
      <xdr:col>2</xdr:col>
      <xdr:colOff>0</xdr:colOff>
      <xdr:row>5</xdr:row>
      <xdr:rowOff>259080</xdr:rowOff>
    </xdr:to>
    <xdr:sp macro="" textlink="">
      <xdr:nvSpPr>
        <xdr:cNvPr id="2" name="Line 35">
          <a:extLst>
            <a:ext uri="{FF2B5EF4-FFF2-40B4-BE49-F238E27FC236}">
              <a16:creationId xmlns:a16="http://schemas.microsoft.com/office/drawing/2014/main" id="{74EDAE02-CD9E-4057-B8C8-18B31020FAEC}"/>
            </a:ext>
          </a:extLst>
        </xdr:cNvPr>
        <xdr:cNvSpPr>
          <a:spLocks noChangeShapeType="1"/>
        </xdr:cNvSpPr>
      </xdr:nvSpPr>
      <xdr:spPr bwMode="auto">
        <a:xfrm>
          <a:off x="331470" y="1859280"/>
          <a:ext cx="224980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140970</xdr:colOff>
      <xdr:row>7</xdr:row>
      <xdr:rowOff>0</xdr:rowOff>
    </xdr:from>
    <xdr:to>
      <xdr:col>8</xdr:col>
      <xdr:colOff>657225</xdr:colOff>
      <xdr:row>7</xdr:row>
      <xdr:rowOff>11430</xdr:rowOff>
    </xdr:to>
    <xdr:sp macro="" textlink="">
      <xdr:nvSpPr>
        <xdr:cNvPr id="3" name="Line 35">
          <a:extLst>
            <a:ext uri="{FF2B5EF4-FFF2-40B4-BE49-F238E27FC236}">
              <a16:creationId xmlns:a16="http://schemas.microsoft.com/office/drawing/2014/main" id="{29FBC8A0-8DF0-42FA-8405-F53EC4E46844}"/>
            </a:ext>
          </a:extLst>
        </xdr:cNvPr>
        <xdr:cNvSpPr>
          <a:spLocks noChangeShapeType="1"/>
        </xdr:cNvSpPr>
      </xdr:nvSpPr>
      <xdr:spPr bwMode="auto">
        <a:xfrm flipV="1">
          <a:off x="426720" y="2133600"/>
          <a:ext cx="6745605" cy="1143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5</xdr:row>
      <xdr:rowOff>259080</xdr:rowOff>
    </xdr:from>
    <xdr:to>
      <xdr:col>2</xdr:col>
      <xdr:colOff>0</xdr:colOff>
      <xdr:row>5</xdr:row>
      <xdr:rowOff>259080</xdr:rowOff>
    </xdr:to>
    <xdr:sp macro="" textlink="">
      <xdr:nvSpPr>
        <xdr:cNvPr id="4" name="Line 35">
          <a:extLst>
            <a:ext uri="{FF2B5EF4-FFF2-40B4-BE49-F238E27FC236}">
              <a16:creationId xmlns:a16="http://schemas.microsoft.com/office/drawing/2014/main" id="{3BAB04DF-3537-4684-88B2-C00118E32D35}"/>
            </a:ext>
          </a:extLst>
        </xdr:cNvPr>
        <xdr:cNvSpPr>
          <a:spLocks noChangeShapeType="1"/>
        </xdr:cNvSpPr>
      </xdr:nvSpPr>
      <xdr:spPr bwMode="auto">
        <a:xfrm>
          <a:off x="331470" y="1859280"/>
          <a:ext cx="224980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464820</xdr:colOff>
      <xdr:row>7</xdr:row>
      <xdr:rowOff>245745</xdr:rowOff>
    </xdr:from>
    <xdr:to>
      <xdr:col>1</xdr:col>
      <xdr:colOff>2072640</xdr:colOff>
      <xdr:row>7</xdr:row>
      <xdr:rowOff>245745</xdr:rowOff>
    </xdr:to>
    <xdr:sp macro="" textlink="">
      <xdr:nvSpPr>
        <xdr:cNvPr id="5" name="Line 36">
          <a:extLst>
            <a:ext uri="{FF2B5EF4-FFF2-40B4-BE49-F238E27FC236}">
              <a16:creationId xmlns:a16="http://schemas.microsoft.com/office/drawing/2014/main" id="{60623934-8FA0-41A8-B73B-76FDC418E63B}"/>
            </a:ext>
          </a:extLst>
        </xdr:cNvPr>
        <xdr:cNvSpPr>
          <a:spLocks noChangeShapeType="1"/>
        </xdr:cNvSpPr>
      </xdr:nvSpPr>
      <xdr:spPr bwMode="auto">
        <a:xfrm>
          <a:off x="750570" y="2379345"/>
          <a:ext cx="16078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184785</xdr:colOff>
      <xdr:row>3</xdr:row>
      <xdr:rowOff>243840</xdr:rowOff>
    </xdr:from>
    <xdr:to>
      <xdr:col>1</xdr:col>
      <xdr:colOff>2133600</xdr:colOff>
      <xdr:row>3</xdr:row>
      <xdr:rowOff>243840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7866C900-B002-4648-908A-A02F4849A2B0}"/>
            </a:ext>
          </a:extLst>
        </xdr:cNvPr>
        <xdr:cNvSpPr>
          <a:spLocks noChangeShapeType="1"/>
        </xdr:cNvSpPr>
      </xdr:nvSpPr>
      <xdr:spPr bwMode="auto">
        <a:xfrm>
          <a:off x="746760" y="1177290"/>
          <a:ext cx="194881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441960</xdr:colOff>
      <xdr:row>4</xdr:row>
      <xdr:rowOff>253365</xdr:rowOff>
    </xdr:from>
    <xdr:to>
      <xdr:col>11</xdr:col>
      <xdr:colOff>390525</xdr:colOff>
      <xdr:row>4</xdr:row>
      <xdr:rowOff>253365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22A5733B-14A1-463A-9C4D-746F658DE3FE}"/>
            </a:ext>
          </a:extLst>
        </xdr:cNvPr>
        <xdr:cNvSpPr>
          <a:spLocks noChangeShapeType="1"/>
        </xdr:cNvSpPr>
      </xdr:nvSpPr>
      <xdr:spPr bwMode="auto">
        <a:xfrm>
          <a:off x="441960" y="1453515"/>
          <a:ext cx="701611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140970</xdr:colOff>
      <xdr:row>6</xdr:row>
      <xdr:rowOff>7620</xdr:rowOff>
    </xdr:from>
    <xdr:to>
      <xdr:col>1</xdr:col>
      <xdr:colOff>1748790</xdr:colOff>
      <xdr:row>6</xdr:row>
      <xdr:rowOff>7620</xdr:rowOff>
    </xdr:to>
    <xdr:sp macro="" textlink="">
      <xdr:nvSpPr>
        <xdr:cNvPr id="4" name="Line 36">
          <a:extLst>
            <a:ext uri="{FF2B5EF4-FFF2-40B4-BE49-F238E27FC236}">
              <a16:creationId xmlns:a16="http://schemas.microsoft.com/office/drawing/2014/main" id="{B76A4C6C-5E33-4CA2-8342-8A07CD672DEB}"/>
            </a:ext>
          </a:extLst>
        </xdr:cNvPr>
        <xdr:cNvSpPr>
          <a:spLocks noChangeShapeType="1"/>
        </xdr:cNvSpPr>
      </xdr:nvSpPr>
      <xdr:spPr bwMode="auto">
        <a:xfrm>
          <a:off x="702945" y="1741170"/>
          <a:ext cx="16078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3</xdr:row>
      <xdr:rowOff>205740</xdr:rowOff>
    </xdr:from>
    <xdr:to>
      <xdr:col>1</xdr:col>
      <xdr:colOff>1790700</xdr:colOff>
      <xdr:row>3</xdr:row>
      <xdr:rowOff>205740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5AD0B1FB-2F61-4743-ACA9-8460C3D533D4}"/>
            </a:ext>
          </a:extLst>
        </xdr:cNvPr>
        <xdr:cNvSpPr>
          <a:spLocks noChangeShapeType="1"/>
        </xdr:cNvSpPr>
      </xdr:nvSpPr>
      <xdr:spPr bwMode="auto">
        <a:xfrm>
          <a:off x="403860" y="1139190"/>
          <a:ext cx="194881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4</xdr:row>
      <xdr:rowOff>220980</xdr:rowOff>
    </xdr:from>
    <xdr:to>
      <xdr:col>2</xdr:col>
      <xdr:colOff>38100</xdr:colOff>
      <xdr:row>4</xdr:row>
      <xdr:rowOff>220980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5140F89D-CF4C-4B02-9261-DF98686D7C4D}"/>
            </a:ext>
          </a:extLst>
        </xdr:cNvPr>
        <xdr:cNvSpPr>
          <a:spLocks noChangeShapeType="1"/>
        </xdr:cNvSpPr>
      </xdr:nvSpPr>
      <xdr:spPr bwMode="auto">
        <a:xfrm>
          <a:off x="607695" y="1421130"/>
          <a:ext cx="213550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205740</xdr:rowOff>
    </xdr:from>
    <xdr:to>
      <xdr:col>2</xdr:col>
      <xdr:colOff>259080</xdr:colOff>
      <xdr:row>3</xdr:row>
      <xdr:rowOff>205740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1A490CBB-4DC3-4125-BC28-FD04963E3238}"/>
            </a:ext>
          </a:extLst>
        </xdr:cNvPr>
        <xdr:cNvSpPr>
          <a:spLocks noChangeShapeType="1"/>
        </xdr:cNvSpPr>
      </xdr:nvSpPr>
      <xdr:spPr bwMode="auto">
        <a:xfrm>
          <a:off x="828675" y="1139190"/>
          <a:ext cx="213550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5</xdr:row>
      <xdr:rowOff>220980</xdr:rowOff>
    </xdr:from>
    <xdr:to>
      <xdr:col>2</xdr:col>
      <xdr:colOff>38100</xdr:colOff>
      <xdr:row>5</xdr:row>
      <xdr:rowOff>220980</xdr:rowOff>
    </xdr:to>
    <xdr:sp macro="" textlink="">
      <xdr:nvSpPr>
        <xdr:cNvPr id="5" name="Line 10">
          <a:extLst>
            <a:ext uri="{FF2B5EF4-FFF2-40B4-BE49-F238E27FC236}">
              <a16:creationId xmlns:a16="http://schemas.microsoft.com/office/drawing/2014/main" id="{875ACFCB-12DC-47D6-813F-1DB7C8FC54B1}"/>
            </a:ext>
          </a:extLst>
        </xdr:cNvPr>
        <xdr:cNvSpPr>
          <a:spLocks noChangeShapeType="1"/>
        </xdr:cNvSpPr>
      </xdr:nvSpPr>
      <xdr:spPr bwMode="auto">
        <a:xfrm>
          <a:off x="607695" y="1687830"/>
          <a:ext cx="213550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205740</xdr:rowOff>
    </xdr:from>
    <xdr:to>
      <xdr:col>3</xdr:col>
      <xdr:colOff>259080</xdr:colOff>
      <xdr:row>3</xdr:row>
      <xdr:rowOff>205740</xdr:rowOff>
    </xdr:to>
    <xdr:sp macro="" textlink="">
      <xdr:nvSpPr>
        <xdr:cNvPr id="6" name="Line 10">
          <a:extLst>
            <a:ext uri="{FF2B5EF4-FFF2-40B4-BE49-F238E27FC236}">
              <a16:creationId xmlns:a16="http://schemas.microsoft.com/office/drawing/2014/main" id="{D7643F81-DC79-4677-82FA-3ED00E08AF0C}"/>
            </a:ext>
          </a:extLst>
        </xdr:cNvPr>
        <xdr:cNvSpPr>
          <a:spLocks noChangeShapeType="1"/>
        </xdr:cNvSpPr>
      </xdr:nvSpPr>
      <xdr:spPr bwMode="auto">
        <a:xfrm>
          <a:off x="828675" y="1139190"/>
          <a:ext cx="26974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3</xdr:row>
      <xdr:rowOff>262890</xdr:rowOff>
    </xdr:from>
    <xdr:to>
      <xdr:col>1</xdr:col>
      <xdr:colOff>2085975</xdr:colOff>
      <xdr:row>3</xdr:row>
      <xdr:rowOff>262890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1EBFF971-D964-4D14-A1F9-C58EE6214751}"/>
            </a:ext>
          </a:extLst>
        </xdr:cNvPr>
        <xdr:cNvSpPr>
          <a:spLocks noChangeShapeType="1"/>
        </xdr:cNvSpPr>
      </xdr:nvSpPr>
      <xdr:spPr bwMode="auto">
        <a:xfrm>
          <a:off x="746760" y="1091565"/>
          <a:ext cx="4724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474344</xdr:colOff>
      <xdr:row>4</xdr:row>
      <xdr:rowOff>240029</xdr:rowOff>
    </xdr:from>
    <xdr:to>
      <xdr:col>13</xdr:col>
      <xdr:colOff>21896</xdr:colOff>
      <xdr:row>5</xdr:row>
      <xdr:rowOff>10948</xdr:rowOff>
    </xdr:to>
    <xdr:sp macro="" textlink="">
      <xdr:nvSpPr>
        <xdr:cNvPr id="3" name="Line 10">
          <a:extLst>
            <a:ext uri="{FF2B5EF4-FFF2-40B4-BE49-F238E27FC236}">
              <a16:creationId xmlns:a16="http://schemas.microsoft.com/office/drawing/2014/main" id="{DC2F873B-775E-4FAE-BE4F-273ADBB8A9EA}"/>
            </a:ext>
          </a:extLst>
        </xdr:cNvPr>
        <xdr:cNvSpPr>
          <a:spLocks noChangeShapeType="1"/>
        </xdr:cNvSpPr>
      </xdr:nvSpPr>
      <xdr:spPr bwMode="auto">
        <a:xfrm>
          <a:off x="474344" y="1344929"/>
          <a:ext cx="7472352" cy="47144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</xdr:colOff>
      <xdr:row>5</xdr:row>
      <xdr:rowOff>259080</xdr:rowOff>
    </xdr:from>
    <xdr:to>
      <xdr:col>2</xdr:col>
      <xdr:colOff>0</xdr:colOff>
      <xdr:row>5</xdr:row>
      <xdr:rowOff>259080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4CF68EAD-82D9-46BD-B947-760A5FA8B716}"/>
            </a:ext>
          </a:extLst>
        </xdr:cNvPr>
        <xdr:cNvSpPr>
          <a:spLocks noChangeShapeType="1"/>
        </xdr:cNvSpPr>
      </xdr:nvSpPr>
      <xdr:spPr bwMode="auto">
        <a:xfrm>
          <a:off x="617220" y="1640205"/>
          <a:ext cx="6019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379095</xdr:colOff>
      <xdr:row>3</xdr:row>
      <xdr:rowOff>257175</xdr:rowOff>
    </xdr:from>
    <xdr:to>
      <xdr:col>6</xdr:col>
      <xdr:colOff>457200</xdr:colOff>
      <xdr:row>4</xdr:row>
      <xdr:rowOff>1905</xdr:rowOff>
    </xdr:to>
    <xdr:sp macro="" textlink="">
      <xdr:nvSpPr>
        <xdr:cNvPr id="2" name="Line 35">
          <a:extLst>
            <a:ext uri="{FF2B5EF4-FFF2-40B4-BE49-F238E27FC236}">
              <a16:creationId xmlns:a16="http://schemas.microsoft.com/office/drawing/2014/main" id="{293AB6E3-8E69-45AD-BF18-F0A40DE4B844}"/>
            </a:ext>
          </a:extLst>
        </xdr:cNvPr>
        <xdr:cNvSpPr>
          <a:spLocks noChangeShapeType="1"/>
        </xdr:cNvSpPr>
      </xdr:nvSpPr>
      <xdr:spPr bwMode="auto">
        <a:xfrm flipV="1">
          <a:off x="379095" y="1085850"/>
          <a:ext cx="3735705" cy="2095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357128</xdr:colOff>
      <xdr:row>2</xdr:row>
      <xdr:rowOff>249944</xdr:rowOff>
    </xdr:from>
    <xdr:to>
      <xdr:col>2</xdr:col>
      <xdr:colOff>740500</xdr:colOff>
      <xdr:row>2</xdr:row>
      <xdr:rowOff>249944</xdr:rowOff>
    </xdr:to>
    <xdr:sp macro="" textlink="">
      <xdr:nvSpPr>
        <xdr:cNvPr id="3" name="Line 36">
          <a:extLst>
            <a:ext uri="{FF2B5EF4-FFF2-40B4-BE49-F238E27FC236}">
              <a16:creationId xmlns:a16="http://schemas.microsoft.com/office/drawing/2014/main" id="{2ADC7D7A-5922-4BAF-87C1-CA0866300AE8}"/>
            </a:ext>
          </a:extLst>
        </xdr:cNvPr>
        <xdr:cNvSpPr>
          <a:spLocks noChangeShapeType="1"/>
        </xdr:cNvSpPr>
      </xdr:nvSpPr>
      <xdr:spPr bwMode="auto">
        <a:xfrm>
          <a:off x="966728" y="802394"/>
          <a:ext cx="8596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636270</xdr:colOff>
      <xdr:row>4</xdr:row>
      <xdr:rowOff>220980</xdr:rowOff>
    </xdr:from>
    <xdr:to>
      <xdr:col>2</xdr:col>
      <xdr:colOff>1567815</xdr:colOff>
      <xdr:row>4</xdr:row>
      <xdr:rowOff>220980</xdr:rowOff>
    </xdr:to>
    <xdr:sp macro="" textlink="">
      <xdr:nvSpPr>
        <xdr:cNvPr id="4" name="Line 36">
          <a:extLst>
            <a:ext uri="{FF2B5EF4-FFF2-40B4-BE49-F238E27FC236}">
              <a16:creationId xmlns:a16="http://schemas.microsoft.com/office/drawing/2014/main" id="{BD33C6AA-0232-4A01-903F-148F7832DB99}"/>
            </a:ext>
          </a:extLst>
        </xdr:cNvPr>
        <xdr:cNvSpPr>
          <a:spLocks noChangeShapeType="1"/>
        </xdr:cNvSpPr>
      </xdr:nvSpPr>
      <xdr:spPr bwMode="auto">
        <a:xfrm>
          <a:off x="607695" y="1325880"/>
          <a:ext cx="121729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1845468</xdr:colOff>
      <xdr:row>11</xdr:row>
      <xdr:rowOff>142875</xdr:rowOff>
    </xdr:from>
    <xdr:to>
      <xdr:col>0</xdr:col>
      <xdr:colOff>2295524</xdr:colOff>
      <xdr:row>15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74C5ADD3-6886-4C21-94E5-B20CA664D8D2}"/>
            </a:ext>
          </a:extLst>
        </xdr:cNvPr>
        <xdr:cNvSpPr>
          <a:spLocks/>
        </xdr:cNvSpPr>
      </xdr:nvSpPr>
      <xdr:spPr bwMode="auto">
        <a:xfrm>
          <a:off x="1845468" y="3200400"/>
          <a:ext cx="450056" cy="1123950"/>
        </a:xfrm>
        <a:prstGeom prst="rightBrace">
          <a:avLst>
            <a:gd name="adj1" fmla="val 8917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1903784</xdr:colOff>
      <xdr:row>11</xdr:row>
      <xdr:rowOff>123436</xdr:rowOff>
    </xdr:from>
    <xdr:to>
      <xdr:col>0</xdr:col>
      <xdr:colOff>2353840</xdr:colOff>
      <xdr:row>15</xdr:row>
      <xdr:rowOff>142486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F005D06-9A6F-4C89-88A3-323E9447E7FD}"/>
            </a:ext>
          </a:extLst>
        </xdr:cNvPr>
        <xdr:cNvSpPr>
          <a:spLocks/>
        </xdr:cNvSpPr>
      </xdr:nvSpPr>
      <xdr:spPr bwMode="auto">
        <a:xfrm>
          <a:off x="1903784" y="3066661"/>
          <a:ext cx="450056" cy="1123950"/>
        </a:xfrm>
        <a:prstGeom prst="rightBrace">
          <a:avLst>
            <a:gd name="adj1" fmla="val 8917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1845468</xdr:colOff>
      <xdr:row>34</xdr:row>
      <xdr:rowOff>142875</xdr:rowOff>
    </xdr:from>
    <xdr:to>
      <xdr:col>0</xdr:col>
      <xdr:colOff>2295524</xdr:colOff>
      <xdr:row>38</xdr:row>
      <xdr:rowOff>161925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E0A6A3F5-6337-4F4F-A614-7B7BAFE37419}"/>
            </a:ext>
          </a:extLst>
        </xdr:cNvPr>
        <xdr:cNvSpPr>
          <a:spLocks/>
        </xdr:cNvSpPr>
      </xdr:nvSpPr>
      <xdr:spPr bwMode="auto">
        <a:xfrm>
          <a:off x="1845468" y="10077450"/>
          <a:ext cx="450056" cy="1114425"/>
        </a:xfrm>
        <a:prstGeom prst="rightBrace">
          <a:avLst>
            <a:gd name="adj1" fmla="val 8917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5</xdr:row>
      <xdr:rowOff>306705</xdr:rowOff>
    </xdr:from>
    <xdr:to>
      <xdr:col>6</xdr:col>
      <xdr:colOff>333375</xdr:colOff>
      <xdr:row>5</xdr:row>
      <xdr:rowOff>314325</xdr:rowOff>
    </xdr:to>
    <xdr:sp macro="" textlink="">
      <xdr:nvSpPr>
        <xdr:cNvPr id="2" name="Line 35">
          <a:extLst>
            <a:ext uri="{FF2B5EF4-FFF2-40B4-BE49-F238E27FC236}">
              <a16:creationId xmlns:a16="http://schemas.microsoft.com/office/drawing/2014/main" id="{885BBE5F-237A-40D0-BE3D-18C67F98E62C}"/>
            </a:ext>
          </a:extLst>
        </xdr:cNvPr>
        <xdr:cNvSpPr>
          <a:spLocks noChangeShapeType="1"/>
        </xdr:cNvSpPr>
      </xdr:nvSpPr>
      <xdr:spPr bwMode="auto">
        <a:xfrm>
          <a:off x="426720" y="2040255"/>
          <a:ext cx="7402830" cy="762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109478</xdr:colOff>
      <xdr:row>4</xdr:row>
      <xdr:rowOff>240419</xdr:rowOff>
    </xdr:from>
    <xdr:to>
      <xdr:col>2</xdr:col>
      <xdr:colOff>492850</xdr:colOff>
      <xdr:row>4</xdr:row>
      <xdr:rowOff>240419</xdr:rowOff>
    </xdr:to>
    <xdr:sp macro="" textlink="">
      <xdr:nvSpPr>
        <xdr:cNvPr id="3" name="Line 36">
          <a:extLst>
            <a:ext uri="{FF2B5EF4-FFF2-40B4-BE49-F238E27FC236}">
              <a16:creationId xmlns:a16="http://schemas.microsoft.com/office/drawing/2014/main" id="{134493AC-A810-4B3A-AE07-291541A664E2}"/>
            </a:ext>
          </a:extLst>
        </xdr:cNvPr>
        <xdr:cNvSpPr>
          <a:spLocks noChangeShapeType="1"/>
        </xdr:cNvSpPr>
      </xdr:nvSpPr>
      <xdr:spPr bwMode="auto">
        <a:xfrm>
          <a:off x="776228" y="1707269"/>
          <a:ext cx="29551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636270</xdr:colOff>
      <xdr:row>6</xdr:row>
      <xdr:rowOff>316230</xdr:rowOff>
    </xdr:from>
    <xdr:to>
      <xdr:col>2</xdr:col>
      <xdr:colOff>739140</xdr:colOff>
      <xdr:row>6</xdr:row>
      <xdr:rowOff>316230</xdr:rowOff>
    </xdr:to>
    <xdr:sp macro="" textlink="">
      <xdr:nvSpPr>
        <xdr:cNvPr id="4" name="Line 36">
          <a:extLst>
            <a:ext uri="{FF2B5EF4-FFF2-40B4-BE49-F238E27FC236}">
              <a16:creationId xmlns:a16="http://schemas.microsoft.com/office/drawing/2014/main" id="{CA292C1A-B677-44EA-A03A-0DB513FDF77E}"/>
            </a:ext>
          </a:extLst>
        </xdr:cNvPr>
        <xdr:cNvSpPr>
          <a:spLocks noChangeShapeType="1"/>
        </xdr:cNvSpPr>
      </xdr:nvSpPr>
      <xdr:spPr bwMode="auto">
        <a:xfrm>
          <a:off x="636270" y="2392680"/>
          <a:ext cx="334137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&#3591;&#3610;&#3621;&#3591;&#3607;&#3640;&#3609;\2569-2571\&#3649;&#3612;&#3609;&#3591;&#3634;&#3609;&#3592;&#3633;&#3604;&#3627;&#3634;&#3629;&#3640;&#3611;&#3585;&#3619;&#3603;&#3660;&#3611;&#3657;&#3629;&#3591;&#3585;&#3633;&#3609;&#3605;&#3633;&#3604;&#3605;&#3629;&#3609;&#3631;%20&#3611;&#3637;%202569_&#3649;&#3585;&#3657;&#3605;&#3634;&#3617;&#3617;&#3605;&#3636;&#3607;&#3637;&#3656;&#3611;&#3619;&#3632;&#3594;&#3640;&#3617;%20(&#3605;&#3633;&#3604;&#3619;&#3634;&#3618;&#3585;&#3634;&#3619;)%2005016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&#3591;&#3610;&#3621;&#3591;&#3607;&#3640;&#3609;\2569-2571\&#3649;&#3612;&#3609;&#3591;&#3634;&#3609;&#3592;&#3633;&#3604;&#3627;&#3634;&#3629;&#3640;&#3611;&#3585;&#3619;&#3603;&#3660;&#3611;&#3657;&#3629;&#3591;&#3585;&#3633;&#3609;&#3605;&#3633;&#3604;&#3605;&#3629;&#3609;&#3631;%20&#3611;&#3637;%202569-2571_&#3649;&#3585;&#3657;&#3592;&#3635;&#3609;&#3623;&#3609;&#3626;&#3634;&#3618;&#3648;&#3588;&#3648;&#3610;&#3636;&#3621;_2911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ก"/>
      <sheetName val="รายชื่อฟอร์ม"/>
      <sheetName val="003"/>
      <sheetName val="004-1"/>
      <sheetName val="004-2"/>
      <sheetName val="S"/>
      <sheetName val="004-3"/>
      <sheetName val="004-4"/>
      <sheetName val="004-5"/>
      <sheetName val="คำอธิบายแบบ งป.004-1-5"/>
      <sheetName val="007 (69)"/>
      <sheetName val="007 (70)"/>
      <sheetName val="007(71)"/>
      <sheetName val="009 (69)"/>
      <sheetName val="009 (70)"/>
      <sheetName val="009 (71)"/>
      <sheetName val="010-1"/>
      <sheetName val="010-2(Print)"/>
      <sheetName val="010-2 (ori)"/>
      <sheetName val="010-3"/>
      <sheetName val="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2">
          <cell r="L12">
            <v>8998722</v>
          </cell>
          <cell r="M12">
            <v>8118640</v>
          </cell>
          <cell r="N12">
            <v>136368130</v>
          </cell>
          <cell r="O12">
            <v>90237200</v>
          </cell>
        </row>
      </sheetData>
      <sheetData sheetId="11"/>
      <sheetData sheetId="12"/>
      <sheetData sheetId="13"/>
      <sheetData sheetId="14"/>
      <sheetData sheetId="15"/>
      <sheetData sheetId="16">
        <row r="9">
          <cell r="D9">
            <v>260000</v>
          </cell>
          <cell r="E9">
            <v>359</v>
          </cell>
        </row>
        <row r="10">
          <cell r="D10">
            <v>260000</v>
          </cell>
          <cell r="E10">
            <v>90</v>
          </cell>
        </row>
        <row r="11">
          <cell r="D11">
            <v>9357</v>
          </cell>
          <cell r="E11">
            <v>750</v>
          </cell>
        </row>
        <row r="12">
          <cell r="D12">
            <v>7886</v>
          </cell>
          <cell r="E12">
            <v>225</v>
          </cell>
        </row>
        <row r="13">
          <cell r="D13">
            <v>238400</v>
          </cell>
          <cell r="E13">
            <v>203</v>
          </cell>
        </row>
        <row r="14">
          <cell r="D14">
            <v>313000</v>
          </cell>
          <cell r="E14">
            <v>34</v>
          </cell>
        </row>
        <row r="15">
          <cell r="D15">
            <v>51360</v>
          </cell>
          <cell r="E15">
            <v>65</v>
          </cell>
        </row>
        <row r="16">
          <cell r="D16">
            <v>61030</v>
          </cell>
          <cell r="E16">
            <v>16</v>
          </cell>
        </row>
        <row r="17">
          <cell r="D17">
            <v>19090</v>
          </cell>
          <cell r="E17">
            <v>164</v>
          </cell>
        </row>
        <row r="18">
          <cell r="D18">
            <v>33650</v>
          </cell>
          <cell r="E18">
            <v>20</v>
          </cell>
        </row>
        <row r="19">
          <cell r="D19">
            <v>5222</v>
          </cell>
          <cell r="E19">
            <v>1296</v>
          </cell>
        </row>
        <row r="20">
          <cell r="D20">
            <v>8263</v>
          </cell>
          <cell r="E20">
            <v>270</v>
          </cell>
        </row>
        <row r="21">
          <cell r="D21">
            <v>3900000</v>
          </cell>
          <cell r="E21">
            <v>8</v>
          </cell>
        </row>
        <row r="22">
          <cell r="D22">
            <v>406900</v>
          </cell>
          <cell r="E22">
            <v>6</v>
          </cell>
        </row>
        <row r="23">
          <cell r="D23">
            <v>650.46</v>
          </cell>
          <cell r="E23">
            <v>500</v>
          </cell>
        </row>
        <row r="24">
          <cell r="D24">
            <v>623</v>
          </cell>
          <cell r="E24">
            <v>500</v>
          </cell>
        </row>
        <row r="25">
          <cell r="D25">
            <v>700</v>
          </cell>
          <cell r="E25">
            <v>500</v>
          </cell>
        </row>
        <row r="26">
          <cell r="D26">
            <v>800</v>
          </cell>
          <cell r="E26">
            <v>500</v>
          </cell>
        </row>
        <row r="27">
          <cell r="D27">
            <v>1200</v>
          </cell>
          <cell r="E27">
            <v>2000</v>
          </cell>
        </row>
        <row r="28">
          <cell r="D28">
            <v>1900</v>
          </cell>
          <cell r="E28">
            <v>27000</v>
          </cell>
        </row>
        <row r="29">
          <cell r="D29">
            <v>1500</v>
          </cell>
          <cell r="E29">
            <v>6000</v>
          </cell>
        </row>
        <row r="30">
          <cell r="D30">
            <v>2200</v>
          </cell>
          <cell r="E30">
            <v>2000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ก"/>
      <sheetName val="รายชื่อฟอร์ม"/>
      <sheetName val="003"/>
      <sheetName val="004-1"/>
      <sheetName val="004-2"/>
      <sheetName val="S"/>
      <sheetName val="004-3"/>
      <sheetName val="004-4"/>
      <sheetName val="004-5"/>
      <sheetName val="คำอธิบายแบบ งป.004-1-5"/>
      <sheetName val="007 (69)"/>
      <sheetName val="007 (70)"/>
      <sheetName val="007(71)"/>
      <sheetName val="009 (69)"/>
      <sheetName val="009 (70)"/>
      <sheetName val="009 (71)"/>
      <sheetName val="010-1"/>
      <sheetName val="010-2(Print)"/>
      <sheetName val="010-2 (ori)"/>
      <sheetName val="010-3"/>
      <sheetName val="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2">
          <cell r="L12">
            <v>17790822</v>
          </cell>
        </row>
      </sheetData>
      <sheetData sheetId="11">
        <row r="12">
          <cell r="L12">
            <v>12269952</v>
          </cell>
        </row>
      </sheetData>
      <sheetData sheetId="12">
        <row r="12">
          <cell r="L12">
            <v>15265377</v>
          </cell>
          <cell r="M12">
            <v>5767430</v>
          </cell>
          <cell r="N12">
            <v>149665230</v>
          </cell>
          <cell r="O12">
            <v>49053600</v>
          </cell>
        </row>
      </sheetData>
      <sheetData sheetId="13"/>
      <sheetData sheetId="14"/>
      <sheetData sheetId="15"/>
      <sheetData sheetId="16">
        <row r="9">
          <cell r="D9">
            <v>260000</v>
          </cell>
          <cell r="I9">
            <v>315</v>
          </cell>
        </row>
        <row r="10">
          <cell r="D10">
            <v>260000</v>
          </cell>
          <cell r="I10">
            <v>84</v>
          </cell>
        </row>
        <row r="11">
          <cell r="D11">
            <v>9357</v>
          </cell>
          <cell r="I11">
            <v>750</v>
          </cell>
        </row>
        <row r="12">
          <cell r="D12">
            <v>7886</v>
          </cell>
          <cell r="I12">
            <v>225</v>
          </cell>
        </row>
        <row r="13">
          <cell r="D13">
            <v>238400</v>
          </cell>
          <cell r="I13">
            <v>169</v>
          </cell>
        </row>
        <row r="14">
          <cell r="D14">
            <v>313000</v>
          </cell>
          <cell r="I14">
            <v>28</v>
          </cell>
        </row>
        <row r="15">
          <cell r="D15">
            <v>51360</v>
          </cell>
          <cell r="I15">
            <v>70</v>
          </cell>
        </row>
        <row r="16">
          <cell r="D16">
            <v>61030</v>
          </cell>
          <cell r="I16">
            <v>17</v>
          </cell>
        </row>
        <row r="17">
          <cell r="D17">
            <v>19090</v>
          </cell>
          <cell r="I17">
            <v>33</v>
          </cell>
        </row>
        <row r="18">
          <cell r="D18">
            <v>33650</v>
          </cell>
          <cell r="I18">
            <v>15</v>
          </cell>
        </row>
        <row r="19">
          <cell r="D19">
            <v>5222</v>
          </cell>
          <cell r="I19">
            <v>1026</v>
          </cell>
        </row>
        <row r="20">
          <cell r="D20">
            <v>8263</v>
          </cell>
          <cell r="I20">
            <v>135</v>
          </cell>
        </row>
        <row r="21">
          <cell r="D21">
            <v>3900000</v>
          </cell>
          <cell r="I21">
            <v>0</v>
          </cell>
        </row>
        <row r="22">
          <cell r="D22">
            <v>406900</v>
          </cell>
          <cell r="I22">
            <v>0</v>
          </cell>
        </row>
        <row r="23">
          <cell r="D23">
            <v>650.46</v>
          </cell>
          <cell r="I23">
            <v>500</v>
          </cell>
        </row>
        <row r="24">
          <cell r="D24">
            <v>623</v>
          </cell>
          <cell r="I24">
            <v>0</v>
          </cell>
        </row>
        <row r="25">
          <cell r="D25">
            <v>700</v>
          </cell>
          <cell r="I25">
            <v>500</v>
          </cell>
        </row>
        <row r="26">
          <cell r="D26">
            <v>800</v>
          </cell>
          <cell r="I26">
            <v>500</v>
          </cell>
        </row>
        <row r="27">
          <cell r="D27">
            <v>1200</v>
          </cell>
          <cell r="I27">
            <v>2000</v>
          </cell>
        </row>
        <row r="28">
          <cell r="D28">
            <v>1900</v>
          </cell>
          <cell r="I28">
            <v>8000</v>
          </cell>
        </row>
        <row r="29">
          <cell r="D29">
            <v>1500</v>
          </cell>
          <cell r="I29">
            <v>3500</v>
          </cell>
        </row>
        <row r="30">
          <cell r="D30">
            <v>2200</v>
          </cell>
          <cell r="I30">
            <v>10000</v>
          </cell>
        </row>
        <row r="32">
          <cell r="H32">
            <v>8616398</v>
          </cell>
          <cell r="J32">
            <v>13382875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J12"/>
  <sheetViews>
    <sheetView showGridLines="0" view="pageBreakPreview" zoomScaleNormal="100" zoomScaleSheetLayoutView="100" workbookViewId="0">
      <selection activeCell="L11" sqref="L11"/>
    </sheetView>
    <sheetView workbookViewId="1"/>
  </sheetViews>
  <sheetFormatPr defaultColWidth="9" defaultRowHeight="18.75"/>
  <cols>
    <col min="1" max="9" width="9" style="20"/>
    <col min="10" max="10" width="12.140625" style="20" customWidth="1"/>
    <col min="11" max="16384" width="9" style="20"/>
  </cols>
  <sheetData>
    <row r="5" spans="1:10" ht="68.45" customHeight="1"/>
    <row r="10" spans="1:10" ht="53.25">
      <c r="A10" s="409" t="s">
        <v>0</v>
      </c>
      <c r="B10" s="409"/>
      <c r="C10" s="409"/>
      <c r="D10" s="409"/>
      <c r="E10" s="409"/>
      <c r="F10" s="409"/>
      <c r="G10" s="409"/>
      <c r="H10" s="409"/>
      <c r="I10" s="409"/>
      <c r="J10" s="409"/>
    </row>
    <row r="11" spans="1:10" ht="53.25">
      <c r="A11" s="409" t="s">
        <v>1</v>
      </c>
      <c r="B11" s="409"/>
      <c r="C11" s="409"/>
      <c r="D11" s="409"/>
      <c r="E11" s="409"/>
      <c r="F11" s="409"/>
      <c r="G11" s="409"/>
      <c r="H11" s="409"/>
      <c r="I11" s="409"/>
      <c r="J11" s="409"/>
    </row>
    <row r="12" spans="1:10" ht="63.75">
      <c r="A12" s="410"/>
      <c r="B12" s="410"/>
      <c r="C12" s="410"/>
      <c r="D12" s="410"/>
      <c r="E12" s="410"/>
      <c r="F12" s="410"/>
      <c r="G12" s="410"/>
      <c r="H12" s="410"/>
      <c r="I12" s="410"/>
      <c r="J12" s="410"/>
    </row>
  </sheetData>
  <mergeCells count="3">
    <mergeCell ref="A11:J11"/>
    <mergeCell ref="A12:J12"/>
    <mergeCell ref="A10:J10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2"/>
  <sheetViews>
    <sheetView showGridLines="0" view="pageBreakPreview" zoomScaleNormal="100" zoomScaleSheetLayoutView="100" workbookViewId="0">
      <selection activeCell="E21" sqref="E21"/>
    </sheetView>
    <sheetView topLeftCell="A7" workbookViewId="1">
      <selection sqref="A1:H1"/>
    </sheetView>
  </sheetViews>
  <sheetFormatPr defaultColWidth="9" defaultRowHeight="21"/>
  <cols>
    <col min="1" max="1" width="4" style="6" customWidth="1"/>
    <col min="2" max="2" width="26.28515625" style="6" customWidth="1"/>
    <col min="3" max="7" width="9" style="6"/>
    <col min="8" max="8" width="19.85546875" style="6" customWidth="1"/>
    <col min="9" max="9" width="14.42578125" style="6" customWidth="1"/>
    <col min="10" max="16384" width="9" style="6"/>
  </cols>
  <sheetData>
    <row r="1" spans="1:9">
      <c r="A1" s="411" t="s">
        <v>0</v>
      </c>
      <c r="B1" s="411"/>
      <c r="C1" s="411"/>
      <c r="D1" s="411"/>
      <c r="E1" s="411"/>
      <c r="F1" s="411"/>
      <c r="G1" s="411"/>
      <c r="H1" s="411"/>
      <c r="I1" s="10"/>
    </row>
    <row r="2" spans="1:9">
      <c r="A2" s="411" t="s">
        <v>1</v>
      </c>
      <c r="B2" s="411"/>
      <c r="C2" s="411"/>
      <c r="D2" s="411"/>
      <c r="E2" s="411"/>
      <c r="F2" s="411"/>
      <c r="G2" s="411"/>
      <c r="H2" s="411"/>
      <c r="I2" s="10"/>
    </row>
    <row r="4" spans="1:9">
      <c r="A4" s="52" t="s">
        <v>2</v>
      </c>
      <c r="B4" s="6" t="s">
        <v>3</v>
      </c>
      <c r="C4" s="6" t="s">
        <v>4</v>
      </c>
    </row>
    <row r="5" spans="1:9">
      <c r="A5" s="52" t="s">
        <v>5</v>
      </c>
      <c r="B5" s="6" t="s">
        <v>6</v>
      </c>
      <c r="C5" s="6" t="s">
        <v>7</v>
      </c>
    </row>
    <row r="6" spans="1:9">
      <c r="A6" s="52" t="s">
        <v>8</v>
      </c>
      <c r="B6" s="6" t="s">
        <v>9</v>
      </c>
      <c r="C6" s="6" t="s">
        <v>10</v>
      </c>
    </row>
    <row r="7" spans="1:9">
      <c r="A7" s="52" t="s">
        <v>11</v>
      </c>
      <c r="B7" s="6" t="s">
        <v>12</v>
      </c>
      <c r="C7" s="6" t="s">
        <v>13</v>
      </c>
    </row>
    <row r="8" spans="1:9">
      <c r="A8" s="52" t="s">
        <v>14</v>
      </c>
      <c r="B8" s="6" t="s">
        <v>15</v>
      </c>
      <c r="C8" s="6" t="s">
        <v>16</v>
      </c>
    </row>
    <row r="9" spans="1:9">
      <c r="A9" s="52" t="s">
        <v>17</v>
      </c>
      <c r="B9" s="6" t="s">
        <v>18</v>
      </c>
      <c r="C9" s="6" t="s">
        <v>19</v>
      </c>
    </row>
    <row r="10" spans="1:9">
      <c r="A10" s="52" t="s">
        <v>20</v>
      </c>
      <c r="B10" s="6" t="s">
        <v>21</v>
      </c>
      <c r="C10" s="6" t="s">
        <v>22</v>
      </c>
    </row>
    <row r="11" spans="1:9">
      <c r="A11" s="52" t="s">
        <v>23</v>
      </c>
      <c r="B11" s="6" t="s">
        <v>24</v>
      </c>
      <c r="C11" s="6" t="s">
        <v>25</v>
      </c>
    </row>
    <row r="12" spans="1:9">
      <c r="A12" s="61"/>
    </row>
    <row r="13" spans="1:9">
      <c r="A13" s="61"/>
    </row>
    <row r="14" spans="1:9">
      <c r="A14" s="61"/>
    </row>
    <row r="15" spans="1:9">
      <c r="A15" s="61"/>
    </row>
    <row r="16" spans="1:9">
      <c r="A16" s="127"/>
    </row>
    <row r="17" spans="1:9">
      <c r="A17" s="61"/>
    </row>
    <row r="18" spans="1:9">
      <c r="A18" s="411"/>
      <c r="B18" s="411"/>
      <c r="C18" s="411"/>
      <c r="D18" s="411"/>
      <c r="E18" s="411"/>
      <c r="F18" s="411"/>
      <c r="G18" s="411"/>
      <c r="H18" s="411"/>
      <c r="I18" s="10"/>
    </row>
    <row r="19" spans="1:9">
      <c r="A19" s="411"/>
      <c r="B19" s="411"/>
      <c r="C19" s="411"/>
      <c r="D19" s="411"/>
      <c r="E19" s="411"/>
      <c r="F19" s="411"/>
      <c r="G19" s="411"/>
      <c r="H19" s="411"/>
      <c r="I19" s="10"/>
    </row>
    <row r="20" spans="1:9">
      <c r="A20" s="411"/>
      <c r="B20" s="411"/>
      <c r="C20" s="411"/>
      <c r="D20" s="411"/>
      <c r="E20" s="411"/>
      <c r="F20" s="411"/>
      <c r="G20" s="411"/>
      <c r="H20" s="411"/>
      <c r="I20" s="10"/>
    </row>
    <row r="21" spans="1:9">
      <c r="A21" s="10"/>
      <c r="B21" s="10"/>
      <c r="C21" s="10"/>
      <c r="D21" s="10"/>
      <c r="E21" s="10"/>
      <c r="F21" s="10"/>
      <c r="G21" s="10"/>
      <c r="H21" s="10"/>
      <c r="I21" s="10"/>
    </row>
    <row r="22" spans="1:9">
      <c r="A22" s="52"/>
    </row>
  </sheetData>
  <mergeCells count="5">
    <mergeCell ref="A1:H1"/>
    <mergeCell ref="A2:H2"/>
    <mergeCell ref="A18:H18"/>
    <mergeCell ref="A19:H19"/>
    <mergeCell ref="A20:H20"/>
  </mergeCells>
  <pageMargins left="0.6692913385826772" right="0.19685039370078741" top="0.78740157480314965" bottom="0.39370078740157483" header="0.51181102362204722" footer="0.51181102362204722"/>
  <pageSetup paperSize="9" orientation="portrait" r:id="rId1"/>
  <ignoredErrors>
    <ignoredError sqref="A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3"/>
  <sheetViews>
    <sheetView showGridLines="0" view="pageBreakPreview" zoomScaleNormal="100" zoomScaleSheetLayoutView="100" workbookViewId="0">
      <selection activeCell="C35" sqref="C35"/>
    </sheetView>
    <sheetView view="pageBreakPreview" zoomScale="60" zoomScaleNormal="100" workbookViewId="1">
      <selection activeCell="D32" sqref="D32"/>
    </sheetView>
  </sheetViews>
  <sheetFormatPr defaultColWidth="9.140625" defaultRowHeight="21"/>
  <cols>
    <col min="1" max="1" width="10" style="6" customWidth="1"/>
    <col min="2" max="2" width="16.140625" style="6" customWidth="1"/>
    <col min="3" max="3" width="54.28515625" style="6" customWidth="1"/>
    <col min="4" max="4" width="21" style="6" customWidth="1"/>
    <col min="5" max="16384" width="9.140625" style="6"/>
  </cols>
  <sheetData>
    <row r="1" spans="1:4">
      <c r="D1" s="13" t="s">
        <v>3</v>
      </c>
    </row>
    <row r="2" spans="1:4" ht="28.5">
      <c r="A2" s="415" t="s">
        <v>26</v>
      </c>
      <c r="B2" s="415"/>
      <c r="C2" s="415"/>
      <c r="D2" s="415"/>
    </row>
    <row r="3" spans="1:4" ht="28.5">
      <c r="A3" s="415" t="s">
        <v>27</v>
      </c>
      <c r="B3" s="415"/>
      <c r="C3" s="415"/>
      <c r="D3" s="415"/>
    </row>
    <row r="4" spans="1:4" ht="31.5" customHeight="1">
      <c r="A4" s="422" t="s">
        <v>28</v>
      </c>
      <c r="B4" s="422"/>
      <c r="C4" s="422"/>
      <c r="D4" s="422"/>
    </row>
    <row r="5" spans="1:4" ht="35.1" customHeight="1">
      <c r="B5" s="8"/>
      <c r="D5" s="13" t="s">
        <v>29</v>
      </c>
    </row>
    <row r="6" spans="1:4" ht="29.1" customHeight="1">
      <c r="A6" s="416" t="s">
        <v>30</v>
      </c>
      <c r="B6" s="418" t="s">
        <v>31</v>
      </c>
      <c r="C6" s="419"/>
      <c r="D6" s="14" t="s">
        <v>32</v>
      </c>
    </row>
    <row r="7" spans="1:4" ht="27" customHeight="1">
      <c r="A7" s="417"/>
      <c r="B7" s="420"/>
      <c r="C7" s="421"/>
      <c r="D7" s="15" t="s">
        <v>33</v>
      </c>
    </row>
    <row r="8" spans="1:4">
      <c r="A8" s="16">
        <v>1</v>
      </c>
      <c r="B8" s="423" t="s">
        <v>34</v>
      </c>
      <c r="C8" s="424"/>
      <c r="D8" s="225">
        <f>'010-1 (2)'!H31</f>
        <v>256813242</v>
      </c>
    </row>
    <row r="9" spans="1:4">
      <c r="A9" s="16"/>
      <c r="B9" s="425"/>
      <c r="C9" s="426"/>
      <c r="D9" s="16"/>
    </row>
    <row r="10" spans="1:4">
      <c r="A10" s="16"/>
      <c r="B10" s="17" t="s">
        <v>35</v>
      </c>
      <c r="C10" s="18"/>
      <c r="D10" s="408">
        <v>8616398</v>
      </c>
    </row>
    <row r="11" spans="1:4">
      <c r="A11" s="16"/>
      <c r="B11" s="17"/>
      <c r="C11" s="18"/>
      <c r="D11" s="16"/>
    </row>
    <row r="12" spans="1:4">
      <c r="A12" s="16"/>
      <c r="B12" s="17"/>
      <c r="C12" s="18"/>
      <c r="D12" s="16"/>
    </row>
    <row r="13" spans="1:4">
      <c r="A13" s="16"/>
      <c r="B13" s="17"/>
      <c r="C13" s="18"/>
      <c r="D13" s="16"/>
    </row>
    <row r="14" spans="1:4">
      <c r="A14" s="16"/>
      <c r="B14" s="17"/>
      <c r="C14" s="18"/>
      <c r="D14" s="16"/>
    </row>
    <row r="15" spans="1:4">
      <c r="A15" s="16"/>
      <c r="B15" s="17"/>
      <c r="C15" s="18"/>
      <c r="D15" s="16"/>
    </row>
    <row r="16" spans="1:4">
      <c r="A16" s="16"/>
      <c r="B16" s="17"/>
      <c r="C16" s="18"/>
      <c r="D16" s="16"/>
    </row>
    <row r="17" spans="1:7">
      <c r="A17" s="16"/>
      <c r="B17" s="17"/>
      <c r="C17" s="18"/>
      <c r="D17" s="16"/>
    </row>
    <row r="18" spans="1:7">
      <c r="A18" s="16"/>
      <c r="B18" s="17"/>
      <c r="C18" s="18"/>
      <c r="D18" s="16"/>
    </row>
    <row r="19" spans="1:7">
      <c r="A19" s="16"/>
      <c r="B19" s="17"/>
      <c r="C19" s="18"/>
      <c r="D19" s="16"/>
    </row>
    <row r="20" spans="1:7">
      <c r="A20" s="16"/>
      <c r="B20" s="17"/>
      <c r="C20" s="18"/>
      <c r="D20" s="16"/>
    </row>
    <row r="21" spans="1:7">
      <c r="A21" s="16"/>
      <c r="B21" s="17"/>
      <c r="C21" s="18"/>
      <c r="D21" s="16"/>
    </row>
    <row r="22" spans="1:7">
      <c r="A22" s="16"/>
      <c r="B22" s="17"/>
      <c r="C22" s="18"/>
      <c r="D22" s="16"/>
    </row>
    <row r="23" spans="1:7">
      <c r="A23" s="16"/>
      <c r="B23" s="17"/>
      <c r="C23" s="18"/>
      <c r="D23" s="16"/>
    </row>
    <row r="24" spans="1:7">
      <c r="A24" s="16"/>
      <c r="B24" s="17"/>
      <c r="C24" s="18"/>
      <c r="D24" s="16"/>
    </row>
    <row r="25" spans="1:7">
      <c r="A25" s="16"/>
      <c r="B25" s="17"/>
      <c r="C25" s="18"/>
      <c r="D25" s="16"/>
    </row>
    <row r="26" spans="1:7">
      <c r="A26" s="16"/>
      <c r="B26" s="17"/>
      <c r="C26" s="18"/>
      <c r="D26" s="16"/>
    </row>
    <row r="27" spans="1:7">
      <c r="A27" s="16"/>
      <c r="B27" s="17"/>
      <c r="C27" s="18"/>
      <c r="D27" s="16"/>
    </row>
    <row r="28" spans="1:7">
      <c r="A28" s="16"/>
      <c r="B28" s="17"/>
      <c r="C28" s="18"/>
      <c r="D28" s="16"/>
    </row>
    <row r="29" spans="1:7">
      <c r="A29" s="16"/>
      <c r="B29" s="17"/>
      <c r="C29" s="18"/>
      <c r="D29" s="16"/>
    </row>
    <row r="30" spans="1:7">
      <c r="A30" s="16"/>
      <c r="B30" s="17"/>
      <c r="C30" s="18"/>
      <c r="D30" s="16"/>
    </row>
    <row r="31" spans="1:7">
      <c r="A31" s="412" t="s">
        <v>36</v>
      </c>
      <c r="B31" s="413"/>
      <c r="C31" s="414"/>
      <c r="D31" s="226">
        <f>D8+D10</f>
        <v>265429640</v>
      </c>
    </row>
    <row r="32" spans="1:7">
      <c r="A32" s="82" t="s">
        <v>37</v>
      </c>
      <c r="B32" s="181" t="s">
        <v>38</v>
      </c>
      <c r="C32" s="20"/>
      <c r="D32" s="20"/>
      <c r="E32" s="20"/>
      <c r="F32" s="20"/>
      <c r="G32" s="20"/>
    </row>
    <row r="33" spans="2:2">
      <c r="B33" s="186" t="s">
        <v>39</v>
      </c>
    </row>
  </sheetData>
  <mergeCells count="7">
    <mergeCell ref="A31:C31"/>
    <mergeCell ref="A2:D2"/>
    <mergeCell ref="A3:D3"/>
    <mergeCell ref="A6:A7"/>
    <mergeCell ref="B6:C7"/>
    <mergeCell ref="A4:D4"/>
    <mergeCell ref="B8:C9"/>
  </mergeCells>
  <phoneticPr fontId="0" type="noConversion"/>
  <printOptions horizontalCentered="1"/>
  <pageMargins left="0.6692913385826772" right="0.39370078740157483" top="0.39370078740157483" bottom="0.19685039370078741" header="0.51181102362204722" footer="0.51181102362204722"/>
  <pageSetup paperSize="9" scale="9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  <pageSetUpPr fitToPage="1"/>
  </sheetPr>
  <dimension ref="A1:T37"/>
  <sheetViews>
    <sheetView showGridLines="0" topLeftCell="A10" zoomScaleNormal="100" zoomScaleSheetLayoutView="100" workbookViewId="0">
      <selection activeCell="M19" sqref="M19"/>
    </sheetView>
    <sheetView topLeftCell="A14" workbookViewId="1">
      <selection activeCell="G35" sqref="G35"/>
    </sheetView>
  </sheetViews>
  <sheetFormatPr defaultColWidth="9.140625" defaultRowHeight="25.9" customHeight="1"/>
  <cols>
    <col min="1" max="1" width="2.85546875" style="96" customWidth="1"/>
    <col min="2" max="2" width="9.28515625" style="96" customWidth="1"/>
    <col min="3" max="3" width="5.85546875" style="97" customWidth="1"/>
    <col min="4" max="4" width="8" style="96" customWidth="1"/>
    <col min="5" max="5" width="12.5703125" style="96" customWidth="1"/>
    <col min="6" max="6" width="21.7109375" style="96" customWidth="1"/>
    <col min="7" max="7" width="7.85546875" style="96" customWidth="1"/>
    <col min="8" max="8" width="8.7109375" style="96" customWidth="1"/>
    <col min="9" max="9" width="10.5703125" style="96" customWidth="1"/>
    <col min="10" max="10" width="5.5703125" style="96" customWidth="1"/>
    <col min="11" max="11" width="4.5703125" style="96" bestFit="1" customWidth="1"/>
    <col min="12" max="12" width="16.85546875" style="96" customWidth="1"/>
    <col min="13" max="13" width="35.85546875" style="96" bestFit="1" customWidth="1"/>
    <col min="14" max="14" width="49" style="96" customWidth="1"/>
    <col min="15" max="15" width="40.5703125" style="96" customWidth="1"/>
    <col min="16" max="16" width="28.140625" style="96" customWidth="1"/>
    <col min="17" max="16384" width="9.140625" style="96"/>
  </cols>
  <sheetData>
    <row r="1" spans="1:20" ht="25.9" customHeight="1">
      <c r="K1" s="99"/>
      <c r="L1" s="131" t="s">
        <v>40</v>
      </c>
    </row>
    <row r="2" spans="1:20" ht="25.9" customHeight="1">
      <c r="A2" s="430" t="s">
        <v>7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</row>
    <row r="3" spans="1:20" ht="25.9" customHeight="1">
      <c r="A3" s="430" t="s">
        <v>41</v>
      </c>
      <c r="B3" s="430"/>
      <c r="C3" s="430"/>
      <c r="D3" s="430"/>
      <c r="E3" s="430"/>
      <c r="F3" s="430"/>
      <c r="G3" s="430"/>
      <c r="H3" s="430"/>
      <c r="I3" s="430"/>
      <c r="J3" s="430"/>
      <c r="K3" s="430"/>
    </row>
    <row r="4" spans="1:20" ht="25.9" customHeight="1">
      <c r="A4" s="97"/>
      <c r="B4" s="97"/>
      <c r="D4" s="97"/>
      <c r="E4" s="97"/>
      <c r="F4" s="97"/>
      <c r="G4" s="97"/>
      <c r="H4" s="97"/>
      <c r="I4" s="97"/>
      <c r="J4" s="97"/>
      <c r="K4" s="97"/>
    </row>
    <row r="5" spans="1:20" ht="25.9" customHeight="1">
      <c r="A5" s="98" t="s">
        <v>2</v>
      </c>
      <c r="B5" s="99" t="s">
        <v>42</v>
      </c>
      <c r="D5" s="431" t="s">
        <v>34</v>
      </c>
      <c r="E5" s="431"/>
      <c r="F5" s="431"/>
      <c r="G5" s="431"/>
      <c r="H5" s="431"/>
      <c r="I5" s="431"/>
      <c r="J5" s="431"/>
      <c r="K5" s="431"/>
    </row>
    <row r="6" spans="1:20" ht="25.9" customHeight="1">
      <c r="A6" s="98"/>
      <c r="B6" s="99"/>
      <c r="D6" s="431"/>
      <c r="E6" s="431"/>
      <c r="F6" s="431"/>
      <c r="G6" s="431"/>
      <c r="H6" s="431"/>
      <c r="I6" s="431"/>
      <c r="J6" s="431"/>
      <c r="K6" s="431"/>
    </row>
    <row r="7" spans="1:20" ht="25.9" customHeight="1">
      <c r="A7" s="99" t="s">
        <v>43</v>
      </c>
      <c r="C7" s="96"/>
      <c r="F7" s="99"/>
      <c r="H7" s="97"/>
      <c r="I7" s="97"/>
      <c r="J7" s="97"/>
      <c r="K7" s="97"/>
    </row>
    <row r="8" spans="1:20" ht="25.9" customHeight="1">
      <c r="A8" s="99"/>
      <c r="B8" s="99" t="s">
        <v>44</v>
      </c>
      <c r="C8" s="96"/>
      <c r="D8" s="101" t="s">
        <v>45</v>
      </c>
      <c r="E8" s="227" t="s">
        <v>46</v>
      </c>
      <c r="F8" s="158"/>
      <c r="G8" s="158"/>
      <c r="H8" s="157"/>
      <c r="I8" s="157"/>
      <c r="J8" s="157"/>
      <c r="K8" s="157"/>
    </row>
    <row r="9" spans="1:20" ht="25.9" customHeight="1">
      <c r="A9" s="99"/>
      <c r="C9" s="96"/>
      <c r="D9" s="100" t="s">
        <v>47</v>
      </c>
      <c r="E9" s="158" t="s">
        <v>48</v>
      </c>
      <c r="F9" s="158"/>
      <c r="G9" s="159" t="s">
        <v>49</v>
      </c>
      <c r="H9" s="158" t="s">
        <v>50</v>
      </c>
      <c r="I9" s="158"/>
      <c r="J9" s="158"/>
      <c r="K9" s="158"/>
    </row>
    <row r="10" spans="1:20" ht="25.9" customHeight="1">
      <c r="A10" s="99"/>
      <c r="C10" s="96"/>
      <c r="D10" s="101" t="s">
        <v>51</v>
      </c>
      <c r="E10" s="158" t="s">
        <v>52</v>
      </c>
      <c r="F10" s="158"/>
      <c r="G10" s="131" t="s">
        <v>53</v>
      </c>
      <c r="H10" s="158">
        <v>5467</v>
      </c>
      <c r="I10" s="158"/>
      <c r="J10" s="158"/>
      <c r="K10" s="158"/>
      <c r="L10"/>
      <c r="M10"/>
      <c r="N10"/>
      <c r="O10"/>
      <c r="P10"/>
      <c r="Q10"/>
      <c r="R10"/>
      <c r="S10"/>
      <c r="T10"/>
    </row>
    <row r="11" spans="1:20" ht="25.9" customHeight="1">
      <c r="B11" s="99" t="s">
        <v>54</v>
      </c>
      <c r="C11" s="102"/>
      <c r="D11" s="102"/>
      <c r="E11" s="102"/>
    </row>
    <row r="12" spans="1:20" ht="25.9" customHeight="1">
      <c r="B12" s="99"/>
      <c r="C12" s="97" t="s">
        <v>55</v>
      </c>
      <c r="D12" s="102" t="s">
        <v>56</v>
      </c>
      <c r="E12" s="102"/>
      <c r="I12" s="97" t="s">
        <v>57</v>
      </c>
      <c r="J12" s="96" t="s">
        <v>58</v>
      </c>
    </row>
    <row r="13" spans="1:20" ht="25.9" customHeight="1">
      <c r="B13" s="101"/>
      <c r="C13" s="97" t="s">
        <v>55</v>
      </c>
      <c r="D13" s="96" t="s">
        <v>59</v>
      </c>
      <c r="I13" s="97" t="s">
        <v>55</v>
      </c>
      <c r="J13" s="96" t="s">
        <v>60</v>
      </c>
      <c r="K13" s="158"/>
      <c r="L13" s="158"/>
    </row>
    <row r="14" spans="1:20" ht="25.9" customHeight="1">
      <c r="B14" s="99" t="s">
        <v>61</v>
      </c>
    </row>
    <row r="15" spans="1:20" ht="25.9" customHeight="1">
      <c r="C15" s="140" t="s">
        <v>62</v>
      </c>
      <c r="I15" s="97" t="s">
        <v>57</v>
      </c>
      <c r="J15" s="96" t="s">
        <v>63</v>
      </c>
    </row>
    <row r="16" spans="1:20" ht="25.9" customHeight="1">
      <c r="C16" s="140" t="s">
        <v>64</v>
      </c>
      <c r="I16" s="97" t="s">
        <v>55</v>
      </c>
      <c r="J16" s="96" t="s">
        <v>65</v>
      </c>
    </row>
    <row r="17" spans="1:12" ht="25.5" customHeight="1">
      <c r="C17" s="140" t="s">
        <v>66</v>
      </c>
      <c r="I17" s="97" t="s">
        <v>55</v>
      </c>
      <c r="J17" s="96" t="s">
        <v>67</v>
      </c>
    </row>
    <row r="18" spans="1:12" ht="21.75" customHeight="1">
      <c r="D18" s="95" t="s">
        <v>68</v>
      </c>
    </row>
    <row r="19" spans="1:12" ht="25.9" customHeight="1">
      <c r="A19" s="143" t="s">
        <v>69</v>
      </c>
      <c r="B19" s="144"/>
      <c r="C19" s="6"/>
      <c r="D19" s="6"/>
      <c r="E19" s="159" t="s">
        <v>57</v>
      </c>
      <c r="F19" s="6" t="s">
        <v>70</v>
      </c>
      <c r="G19" s="6"/>
      <c r="H19" s="6"/>
      <c r="I19" s="97" t="s">
        <v>71</v>
      </c>
      <c r="J19" s="96" t="s">
        <v>72</v>
      </c>
      <c r="K19" s="13"/>
    </row>
    <row r="20" spans="1:12" ht="25.9" customHeight="1">
      <c r="A20" s="143" t="s">
        <v>73</v>
      </c>
      <c r="B20" s="147"/>
      <c r="C20" s="5"/>
      <c r="D20" s="6"/>
      <c r="E20" s="31" t="s">
        <v>74</v>
      </c>
      <c r="F20" s="6" t="s">
        <v>75</v>
      </c>
      <c r="G20" s="6"/>
      <c r="H20" s="160"/>
      <c r="I20" s="160"/>
      <c r="J20" s="160"/>
      <c r="K20" s="161"/>
    </row>
    <row r="21" spans="1:12" ht="25.9" customHeight="1">
      <c r="A21" s="143"/>
      <c r="B21" s="143"/>
      <c r="C21" s="5"/>
      <c r="D21" s="6"/>
      <c r="E21" s="31" t="s">
        <v>74</v>
      </c>
      <c r="F21" s="6" t="s">
        <v>76</v>
      </c>
      <c r="G21" s="6"/>
      <c r="H21" s="162"/>
      <c r="I21" s="160"/>
      <c r="J21" s="160"/>
      <c r="K21" s="160"/>
    </row>
    <row r="22" spans="1:12" ht="42">
      <c r="A22" s="145"/>
      <c r="B22" s="145"/>
      <c r="C22" s="6"/>
      <c r="D22" s="6"/>
      <c r="E22" s="185" t="s">
        <v>74</v>
      </c>
      <c r="F22" s="184" t="s">
        <v>77</v>
      </c>
      <c r="G22" s="6"/>
      <c r="H22" s="160"/>
      <c r="I22" s="160"/>
      <c r="J22" s="160"/>
      <c r="K22" s="160"/>
    </row>
    <row r="23" spans="1:12" ht="25.9" customHeight="1">
      <c r="A23" s="143" t="s">
        <v>78</v>
      </c>
      <c r="B23" s="145"/>
      <c r="C23" s="6"/>
      <c r="D23" s="160"/>
      <c r="E23" s="160" t="s">
        <v>79</v>
      </c>
      <c r="F23" s="160"/>
      <c r="G23" s="160"/>
      <c r="H23" s="160"/>
      <c r="I23" s="160"/>
      <c r="J23" s="160"/>
      <c r="K23" s="160"/>
    </row>
    <row r="24" spans="1:12" ht="25.9" customHeight="1">
      <c r="A24" s="143" t="s">
        <v>80</v>
      </c>
      <c r="B24" s="145"/>
      <c r="C24" s="6"/>
      <c r="D24" s="6"/>
      <c r="E24" s="162">
        <v>3</v>
      </c>
      <c r="F24" s="10" t="s">
        <v>81</v>
      </c>
      <c r="G24" s="5" t="s">
        <v>82</v>
      </c>
      <c r="H24" s="5"/>
      <c r="I24" s="5"/>
      <c r="J24" s="6"/>
      <c r="K24" s="6"/>
    </row>
    <row r="25" spans="1:12" ht="25.9" customHeight="1">
      <c r="A25" s="143" t="s">
        <v>83</v>
      </c>
      <c r="B25" s="145"/>
      <c r="C25" s="5"/>
      <c r="D25" s="6"/>
      <c r="E25" s="6"/>
      <c r="F25" s="6"/>
      <c r="G25" s="427">
        <f>'010-1 (2)'!L33</f>
        <v>742286844</v>
      </c>
      <c r="H25" s="427"/>
      <c r="I25" s="427"/>
      <c r="J25" s="158"/>
      <c r="K25" s="5" t="s">
        <v>84</v>
      </c>
    </row>
    <row r="26" spans="1:12" ht="25.9" customHeight="1">
      <c r="A26" s="143" t="s">
        <v>85</v>
      </c>
      <c r="B26" s="143"/>
      <c r="C26" s="6"/>
      <c r="D26" s="6"/>
      <c r="E26" s="6"/>
      <c r="F26" s="6"/>
      <c r="G26" s="427">
        <f>'010-1 (2)'!H31</f>
        <v>256813242</v>
      </c>
      <c r="H26" s="427"/>
      <c r="I26" s="427"/>
      <c r="J26" s="158"/>
      <c r="K26" s="5" t="s">
        <v>84</v>
      </c>
    </row>
    <row r="27" spans="1:12" ht="25.9" customHeight="1">
      <c r="A27" s="143" t="s">
        <v>86</v>
      </c>
      <c r="B27" s="145"/>
      <c r="C27" s="6"/>
      <c r="D27" s="5"/>
      <c r="E27" s="6"/>
      <c r="F27" s="7"/>
      <c r="G27" s="427">
        <f>'007 (70)'!J77</f>
        <v>0</v>
      </c>
      <c r="H27" s="427"/>
      <c r="I27" s="427"/>
      <c r="J27" s="158"/>
      <c r="K27" s="5" t="s">
        <v>84</v>
      </c>
    </row>
    <row r="28" spans="1:12" ht="25.9" customHeight="1">
      <c r="A28" s="143" t="s">
        <v>87</v>
      </c>
      <c r="B28" s="145"/>
      <c r="C28" s="6"/>
      <c r="D28" s="6"/>
      <c r="E28" s="6"/>
      <c r="F28" s="6"/>
      <c r="G28" s="428" t="s">
        <v>88</v>
      </c>
      <c r="H28" s="427"/>
      <c r="I28" s="427"/>
      <c r="J28" s="158"/>
      <c r="K28" s="5" t="s">
        <v>84</v>
      </c>
    </row>
    <row r="29" spans="1:12" ht="25.9" customHeight="1">
      <c r="A29" s="99" t="s">
        <v>89</v>
      </c>
      <c r="B29" s="101"/>
    </row>
    <row r="30" spans="1:12" ht="21">
      <c r="B30" s="158"/>
      <c r="C30" s="163" t="s">
        <v>90</v>
      </c>
      <c r="D30" s="158"/>
      <c r="E30" s="158"/>
      <c r="F30" s="158"/>
      <c r="G30" s="158"/>
      <c r="H30" s="158"/>
      <c r="I30" s="158"/>
      <c r="J30" s="158"/>
      <c r="K30" s="158"/>
      <c r="L30" s="158"/>
    </row>
    <row r="31" spans="1:12" ht="25.9" customHeight="1">
      <c r="B31" s="158"/>
      <c r="C31" s="429" t="s">
        <v>91</v>
      </c>
      <c r="D31" s="429"/>
      <c r="E31" s="429"/>
      <c r="F31" s="429"/>
      <c r="G31" s="429"/>
      <c r="H31" s="429"/>
      <c r="I31" s="429"/>
      <c r="J31" s="429"/>
      <c r="K31" s="429"/>
      <c r="L31" s="158"/>
    </row>
    <row r="32" spans="1:12" ht="25.9" customHeight="1">
      <c r="B32" s="158"/>
      <c r="C32" s="429" t="s">
        <v>92</v>
      </c>
      <c r="D32" s="429"/>
      <c r="E32" s="429"/>
      <c r="F32" s="429"/>
      <c r="G32" s="429"/>
      <c r="H32" s="429"/>
      <c r="I32" s="429"/>
      <c r="J32" s="429"/>
      <c r="K32" s="429"/>
      <c r="L32" s="429"/>
    </row>
    <row r="33" spans="2:12" ht="25.9" customHeight="1">
      <c r="B33" s="158"/>
      <c r="C33" s="157"/>
      <c r="D33" s="158"/>
      <c r="E33" s="158"/>
      <c r="F33" s="158"/>
      <c r="G33" s="158"/>
      <c r="H33" s="158"/>
      <c r="I33" s="158"/>
      <c r="J33" s="158"/>
      <c r="K33" s="158"/>
      <c r="L33" s="158"/>
    </row>
    <row r="35" spans="2:12" ht="21">
      <c r="B35" s="136" t="s">
        <v>37</v>
      </c>
      <c r="C35" s="95" t="s">
        <v>93</v>
      </c>
    </row>
    <row r="36" spans="2:12" ht="21">
      <c r="C36" s="179" t="s">
        <v>94</v>
      </c>
    </row>
    <row r="37" spans="2:12" ht="21">
      <c r="C37" s="179" t="s">
        <v>95</v>
      </c>
    </row>
  </sheetData>
  <mergeCells count="9">
    <mergeCell ref="G27:I27"/>
    <mergeCell ref="G28:I28"/>
    <mergeCell ref="C31:K31"/>
    <mergeCell ref="C32:L32"/>
    <mergeCell ref="A2:K2"/>
    <mergeCell ref="A3:K3"/>
    <mergeCell ref="D5:K6"/>
    <mergeCell ref="G25:I25"/>
    <mergeCell ref="G26:I26"/>
  </mergeCells>
  <phoneticPr fontId="0" type="noConversion"/>
  <printOptions horizontalCentered="1"/>
  <pageMargins left="0.23622047244094488" right="0.23622047244094488" top="0.74803149606299213" bottom="0.74803149606299213" header="0.31496062992125984" footer="0.31496062992125984"/>
  <pageSetup paperSize="9" scale="82" orientation="portrait" r:id="rId1"/>
  <headerFooter alignWithMargins="0"/>
  <ignoredErrors>
    <ignoredError sqref="A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45"/>
  <sheetViews>
    <sheetView showGridLines="0" view="pageBreakPreview" zoomScaleNormal="100" zoomScaleSheetLayoutView="100" workbookViewId="0">
      <selection activeCell="E35" sqref="E35"/>
    </sheetView>
    <sheetView workbookViewId="1"/>
  </sheetViews>
  <sheetFormatPr defaultColWidth="9.140625" defaultRowHeight="21"/>
  <cols>
    <col min="1" max="1" width="3.42578125" style="6" customWidth="1"/>
    <col min="2" max="2" width="2.7109375" style="6" customWidth="1"/>
    <col min="3" max="3" width="5.28515625" style="6" customWidth="1"/>
    <col min="4" max="4" width="5.42578125" style="6" customWidth="1"/>
    <col min="5" max="5" width="16.5703125" style="6" customWidth="1"/>
    <col min="6" max="6" width="14.85546875" style="6" customWidth="1"/>
    <col min="7" max="7" width="18.140625" style="6" customWidth="1"/>
    <col min="8" max="8" width="11.7109375" style="6" customWidth="1"/>
    <col min="9" max="9" width="17.7109375" style="6" customWidth="1"/>
    <col min="10" max="10" width="12.7109375" style="6" customWidth="1"/>
    <col min="11" max="11" width="11" style="6" customWidth="1"/>
    <col min="12" max="12" width="14" style="6" customWidth="1"/>
    <col min="13" max="16384" width="9.140625" style="6"/>
  </cols>
  <sheetData>
    <row r="1" spans="2:13">
      <c r="H1" s="432" t="s">
        <v>96</v>
      </c>
      <c r="I1" s="432"/>
      <c r="L1" s="5"/>
    </row>
    <row r="2" spans="2:13" ht="10.5" customHeight="1">
      <c r="B2" s="5"/>
      <c r="C2" s="5"/>
      <c r="D2" s="5"/>
      <c r="E2" s="5"/>
      <c r="F2" s="5"/>
      <c r="G2" s="5"/>
      <c r="H2" s="5"/>
      <c r="I2" s="5"/>
      <c r="J2" s="10"/>
      <c r="K2" s="13"/>
      <c r="L2" s="13"/>
      <c r="M2" s="13"/>
    </row>
    <row r="3" spans="2:13">
      <c r="C3" s="5" t="s">
        <v>97</v>
      </c>
      <c r="D3" s="5"/>
      <c r="E3" s="5"/>
      <c r="F3" s="5"/>
      <c r="G3" s="5"/>
      <c r="H3" s="5"/>
      <c r="I3" s="5"/>
      <c r="J3" s="5"/>
      <c r="K3" s="13"/>
      <c r="L3" s="13"/>
      <c r="M3" s="13"/>
    </row>
    <row r="4" spans="2:13">
      <c r="C4" s="5"/>
      <c r="D4" s="5" t="s">
        <v>98</v>
      </c>
      <c r="F4" s="5"/>
      <c r="G4" s="5"/>
      <c r="H4" s="5"/>
      <c r="I4" s="5"/>
      <c r="J4" s="5"/>
      <c r="L4" s="13"/>
      <c r="M4" s="13"/>
    </row>
    <row r="5" spans="2:13" ht="24">
      <c r="C5" s="5"/>
      <c r="D5" s="5" t="s">
        <v>99</v>
      </c>
      <c r="F5" s="160" t="s">
        <v>100</v>
      </c>
      <c r="G5" s="160"/>
      <c r="H5" s="160"/>
      <c r="I5" s="160"/>
      <c r="J5" s="5"/>
      <c r="L5" s="13"/>
      <c r="M5" s="13"/>
    </row>
    <row r="6" spans="2:13">
      <c r="C6" s="5"/>
      <c r="D6" s="160" t="s">
        <v>101</v>
      </c>
      <c r="E6" s="160"/>
      <c r="F6" s="160"/>
      <c r="G6" s="160"/>
      <c r="H6" s="160"/>
      <c r="I6" s="160"/>
      <c r="J6" s="5"/>
      <c r="L6" s="13"/>
      <c r="M6" s="13"/>
    </row>
    <row r="7" spans="2:13" ht="24">
      <c r="C7" s="5"/>
      <c r="D7" s="5" t="s">
        <v>102</v>
      </c>
      <c r="F7" s="160" t="s">
        <v>103</v>
      </c>
      <c r="G7" s="164"/>
      <c r="H7" s="164"/>
      <c r="I7" s="164"/>
      <c r="J7" s="5"/>
      <c r="L7" s="13"/>
      <c r="M7" s="13"/>
    </row>
    <row r="8" spans="2:13">
      <c r="C8" s="5"/>
      <c r="D8" s="160" t="s">
        <v>104</v>
      </c>
      <c r="E8" s="160"/>
      <c r="F8" s="164"/>
      <c r="G8" s="164"/>
      <c r="H8" s="164"/>
      <c r="I8" s="164"/>
      <c r="J8" s="5"/>
      <c r="L8" s="13"/>
      <c r="M8" s="13"/>
    </row>
    <row r="9" spans="2:13">
      <c r="B9" s="5"/>
      <c r="C9" s="5"/>
      <c r="D9" s="5" t="s">
        <v>105</v>
      </c>
      <c r="F9" s="5"/>
      <c r="G9" s="5"/>
      <c r="H9" s="5"/>
      <c r="I9" s="5"/>
      <c r="J9" s="10"/>
      <c r="K9" s="13"/>
      <c r="L9" s="13"/>
      <c r="M9" s="13"/>
    </row>
    <row r="10" spans="2:13" ht="24">
      <c r="D10" s="5" t="s">
        <v>106</v>
      </c>
      <c r="F10" s="160" t="s">
        <v>100</v>
      </c>
      <c r="G10" s="164"/>
      <c r="H10" s="164"/>
      <c r="I10" s="164"/>
      <c r="J10" s="10"/>
      <c r="K10" s="13"/>
      <c r="L10" s="13"/>
      <c r="M10" s="13"/>
    </row>
    <row r="11" spans="2:13">
      <c r="D11" s="160" t="s">
        <v>101</v>
      </c>
      <c r="E11" s="160"/>
      <c r="F11" s="164"/>
      <c r="G11" s="164"/>
      <c r="H11" s="164"/>
      <c r="I11" s="164"/>
      <c r="J11" s="10"/>
      <c r="K11" s="13"/>
      <c r="L11" s="13"/>
      <c r="M11" s="13"/>
    </row>
    <row r="12" spans="2:13" ht="24">
      <c r="D12" s="5" t="s">
        <v>107</v>
      </c>
      <c r="F12" s="160" t="s">
        <v>103</v>
      </c>
      <c r="G12" s="164"/>
      <c r="H12" s="164"/>
      <c r="I12" s="164"/>
      <c r="J12" s="10"/>
      <c r="K12" s="13"/>
      <c r="L12" s="13"/>
      <c r="M12" s="13"/>
    </row>
    <row r="13" spans="2:13">
      <c r="D13" s="160" t="s">
        <v>104</v>
      </c>
      <c r="E13" s="160"/>
      <c r="F13" s="164"/>
      <c r="G13" s="164"/>
      <c r="H13" s="164"/>
      <c r="I13" s="164"/>
      <c r="J13" s="10"/>
      <c r="K13" s="13"/>
      <c r="L13" s="13"/>
      <c r="M13" s="13"/>
    </row>
    <row r="14" spans="2:13">
      <c r="C14" s="5"/>
      <c r="D14" s="5" t="s">
        <v>108</v>
      </c>
      <c r="F14" s="5"/>
      <c r="G14" s="5"/>
      <c r="H14" s="5"/>
      <c r="I14" s="5"/>
      <c r="J14" s="10"/>
      <c r="K14" s="13"/>
      <c r="L14" s="13"/>
      <c r="M14" s="13"/>
    </row>
    <row r="15" spans="2:13">
      <c r="D15" s="97" t="s">
        <v>57</v>
      </c>
      <c r="E15" s="6" t="s">
        <v>109</v>
      </c>
      <c r="F15" s="228" t="s">
        <v>88</v>
      </c>
      <c r="G15" s="6" t="s">
        <v>84</v>
      </c>
      <c r="H15" s="5"/>
      <c r="I15" s="5"/>
      <c r="J15" s="10"/>
      <c r="K15" s="13"/>
      <c r="L15" s="13"/>
      <c r="M15" s="13"/>
    </row>
    <row r="16" spans="2:13">
      <c r="D16" s="97" t="s">
        <v>57</v>
      </c>
      <c r="E16" s="6" t="s">
        <v>110</v>
      </c>
      <c r="F16" s="228" t="s">
        <v>88</v>
      </c>
      <c r="G16" s="6" t="s">
        <v>84</v>
      </c>
      <c r="H16" s="5"/>
      <c r="I16" s="5"/>
      <c r="J16" s="10"/>
      <c r="K16" s="13"/>
      <c r="L16" s="13"/>
      <c r="M16" s="13"/>
    </row>
    <row r="17" spans="3:13">
      <c r="D17" s="97" t="s">
        <v>55</v>
      </c>
      <c r="E17" s="6" t="s">
        <v>111</v>
      </c>
      <c r="F17" s="164"/>
      <c r="G17" s="164"/>
      <c r="H17" s="5"/>
      <c r="I17" s="5"/>
      <c r="J17" s="10"/>
      <c r="K17" s="13"/>
      <c r="L17" s="13"/>
      <c r="M17" s="13"/>
    </row>
    <row r="18" spans="3:13">
      <c r="C18" s="11" t="s">
        <v>112</v>
      </c>
      <c r="D18" s="5"/>
    </row>
    <row r="19" spans="3:13">
      <c r="C19" s="11"/>
      <c r="D19" s="1" t="s">
        <v>113</v>
      </c>
      <c r="F19" s="1"/>
      <c r="G19" s="1"/>
      <c r="H19" s="1"/>
      <c r="I19" s="50"/>
    </row>
    <row r="20" spans="3:13">
      <c r="D20" s="160" t="s">
        <v>114</v>
      </c>
      <c r="E20" s="160"/>
      <c r="F20" s="166"/>
      <c r="G20" s="166"/>
      <c r="H20" s="166"/>
      <c r="I20" s="167"/>
    </row>
    <row r="21" spans="3:13">
      <c r="D21" s="160" t="s">
        <v>115</v>
      </c>
      <c r="E21" s="160"/>
      <c r="F21" s="160"/>
      <c r="G21" s="160"/>
      <c r="H21" s="160"/>
      <c r="I21" s="160"/>
    </row>
    <row r="22" spans="3:13">
      <c r="C22" s="11"/>
      <c r="D22" s="5" t="s">
        <v>116</v>
      </c>
    </row>
    <row r="23" spans="3:13">
      <c r="D23" s="160" t="s">
        <v>117</v>
      </c>
      <c r="E23" s="160"/>
      <c r="F23" s="160"/>
      <c r="G23" s="160"/>
      <c r="H23" s="160"/>
      <c r="I23" s="160"/>
    </row>
    <row r="24" spans="3:13">
      <c r="C24" s="5" t="s">
        <v>118</v>
      </c>
      <c r="J24" s="10"/>
      <c r="K24" s="13"/>
      <c r="L24" s="13"/>
      <c r="M24" s="13"/>
    </row>
    <row r="25" spans="3:13">
      <c r="D25" s="160" t="s">
        <v>119</v>
      </c>
      <c r="E25" s="160"/>
      <c r="F25" s="160"/>
      <c r="G25" s="160"/>
      <c r="H25" s="160"/>
      <c r="I25" s="160"/>
      <c r="J25" s="10"/>
      <c r="K25" s="13"/>
      <c r="L25" s="13"/>
      <c r="M25" s="13"/>
    </row>
    <row r="26" spans="3:13">
      <c r="D26" s="160" t="s">
        <v>120</v>
      </c>
      <c r="E26" s="160"/>
      <c r="F26" s="160"/>
      <c r="G26" s="160"/>
      <c r="H26" s="160"/>
      <c r="I26" s="160"/>
      <c r="J26" s="10"/>
      <c r="K26" s="13"/>
      <c r="L26" s="13"/>
      <c r="M26" s="13"/>
    </row>
    <row r="27" spans="3:13">
      <c r="D27" s="160" t="s">
        <v>121</v>
      </c>
      <c r="E27" s="160"/>
      <c r="F27" s="160"/>
      <c r="G27" s="160"/>
      <c r="H27" s="160"/>
      <c r="I27" s="160"/>
      <c r="J27" s="10"/>
      <c r="K27" s="13"/>
      <c r="L27" s="13"/>
      <c r="M27" s="13"/>
    </row>
    <row r="28" spans="3:13">
      <c r="C28" s="5" t="s">
        <v>122</v>
      </c>
      <c r="J28" s="10"/>
      <c r="K28" s="13"/>
      <c r="L28" s="13"/>
      <c r="M28" s="13"/>
    </row>
    <row r="29" spans="3:13">
      <c r="D29" s="160" t="s">
        <v>123</v>
      </c>
      <c r="E29" s="160"/>
      <c r="F29" s="160"/>
      <c r="G29" s="160"/>
      <c r="H29" s="160"/>
      <c r="I29" s="160"/>
      <c r="J29" s="10"/>
      <c r="K29" s="13"/>
      <c r="L29" s="13"/>
      <c r="M29" s="13"/>
    </row>
    <row r="30" spans="3:13">
      <c r="D30" s="160"/>
      <c r="E30" s="160"/>
      <c r="F30" s="160"/>
      <c r="G30" s="160"/>
      <c r="H30" s="160"/>
      <c r="I30" s="160"/>
      <c r="J30" s="10"/>
      <c r="K30" s="13"/>
      <c r="L30" s="13"/>
      <c r="M30" s="13"/>
    </row>
    <row r="31" spans="3:13">
      <c r="C31" s="5" t="s">
        <v>124</v>
      </c>
      <c r="J31" s="10"/>
      <c r="K31" s="13"/>
      <c r="L31" s="13"/>
      <c r="M31" s="13"/>
    </row>
    <row r="32" spans="3:13">
      <c r="C32" s="5" t="s">
        <v>125</v>
      </c>
      <c r="J32" s="10"/>
      <c r="K32" s="13"/>
      <c r="L32" s="13"/>
      <c r="M32" s="13"/>
    </row>
    <row r="33" spans="1:13" ht="23.25">
      <c r="C33" s="5"/>
      <c r="D33" s="5" t="s">
        <v>126</v>
      </c>
      <c r="E33"/>
      <c r="F33"/>
      <c r="G33"/>
      <c r="H33"/>
      <c r="I33"/>
      <c r="J33" s="10"/>
      <c r="K33" s="13"/>
      <c r="L33" s="13"/>
      <c r="M33" s="13"/>
    </row>
    <row r="34" spans="1:13" ht="23.25">
      <c r="C34" s="130" t="s">
        <v>127</v>
      </c>
      <c r="D34" s="5"/>
      <c r="E34"/>
      <c r="F34"/>
      <c r="G34"/>
      <c r="H34"/>
      <c r="I34"/>
      <c r="J34" s="10"/>
      <c r="K34" s="13"/>
      <c r="L34" s="13"/>
      <c r="M34" s="13"/>
    </row>
    <row r="35" spans="1:13">
      <c r="C35" s="5" t="s">
        <v>128</v>
      </c>
      <c r="J35" s="10"/>
      <c r="K35" s="13"/>
      <c r="L35" s="13"/>
      <c r="M35" s="13"/>
    </row>
    <row r="36" spans="1:13" ht="28.5" customHeight="1">
      <c r="B36" s="5"/>
      <c r="C36" s="11" t="s">
        <v>129</v>
      </c>
      <c r="J36" s="10"/>
      <c r="K36" s="13"/>
      <c r="L36" s="13"/>
      <c r="M36" s="13"/>
    </row>
    <row r="37" spans="1:13">
      <c r="C37" s="30" t="s">
        <v>130</v>
      </c>
      <c r="D37" s="5" t="s">
        <v>131</v>
      </c>
      <c r="J37" s="10"/>
      <c r="K37" s="13"/>
      <c r="L37" s="13"/>
      <c r="M37" s="13"/>
    </row>
    <row r="38" spans="1:13">
      <c r="F38" s="51" t="s">
        <v>132</v>
      </c>
      <c r="G38" s="160"/>
      <c r="H38" s="8" t="s">
        <v>133</v>
      </c>
      <c r="J38" s="10"/>
      <c r="K38" s="13"/>
      <c r="L38" s="13"/>
      <c r="M38" s="13"/>
    </row>
    <row r="39" spans="1:13">
      <c r="F39" s="51" t="s">
        <v>134</v>
      </c>
      <c r="G39" s="160"/>
      <c r="H39" s="8" t="s">
        <v>135</v>
      </c>
      <c r="J39" s="10"/>
      <c r="K39" s="13"/>
      <c r="L39" s="13"/>
      <c r="M39" s="13"/>
    </row>
    <row r="40" spans="1:13">
      <c r="F40" s="51" t="s">
        <v>136</v>
      </c>
      <c r="G40" s="160"/>
      <c r="H40" s="8" t="s">
        <v>137</v>
      </c>
      <c r="J40" s="10"/>
      <c r="K40" s="13"/>
      <c r="L40" s="13"/>
      <c r="M40" s="13"/>
    </row>
    <row r="41" spans="1:13">
      <c r="F41" s="51" t="s">
        <v>138</v>
      </c>
      <c r="G41" s="160"/>
      <c r="H41" s="8" t="s">
        <v>135</v>
      </c>
      <c r="J41" s="10"/>
      <c r="K41" s="13"/>
      <c r="L41" s="13"/>
      <c r="M41" s="13"/>
    </row>
    <row r="42" spans="1:13">
      <c r="F42" s="51" t="s">
        <v>139</v>
      </c>
      <c r="G42" s="160"/>
      <c r="H42" s="8" t="s">
        <v>135</v>
      </c>
      <c r="J42" s="10"/>
      <c r="K42" s="13"/>
      <c r="L42" s="13"/>
      <c r="M42" s="13"/>
    </row>
    <row r="43" spans="1:13">
      <c r="A43" s="187" t="s">
        <v>37</v>
      </c>
      <c r="B43" s="20"/>
      <c r="C43" s="20"/>
      <c r="D43" s="188" t="s">
        <v>140</v>
      </c>
      <c r="E43" s="20"/>
    </row>
    <row r="44" spans="1:13">
      <c r="A44" s="20"/>
      <c r="B44" s="187"/>
      <c r="C44" s="20"/>
      <c r="D44" s="188" t="s">
        <v>141</v>
      </c>
      <c r="E44" s="20"/>
    </row>
    <row r="45" spans="1:13">
      <c r="A45" s="20"/>
      <c r="B45" s="20"/>
      <c r="C45" s="20"/>
      <c r="D45" s="188" t="s">
        <v>142</v>
      </c>
      <c r="E45" s="20"/>
    </row>
  </sheetData>
  <mergeCells count="1">
    <mergeCell ref="H1:I1"/>
  </mergeCells>
  <printOptions horizontalCentered="1"/>
  <pageMargins left="0.6692913385826772" right="0.39370078740157483" top="0.39370078740157483" bottom="0.19685039370078741" header="0.51181102362204722" footer="0.51181102362204722"/>
  <pageSetup paperSize="9" scale="88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8B3F-CC65-41E2-AE7F-D1AAA3B55BDF}">
  <sheetPr>
    <tabColor theme="9" tint="-0.499984740745262"/>
  </sheetPr>
  <dimension ref="A1:H45"/>
  <sheetViews>
    <sheetView topLeftCell="A31" zoomScale="120" zoomScaleNormal="120" workbookViewId="0">
      <selection activeCell="B44" sqref="B44:B45"/>
    </sheetView>
    <sheetView workbookViewId="1"/>
  </sheetViews>
  <sheetFormatPr defaultColWidth="9.140625" defaultRowHeight="21"/>
  <cols>
    <col min="1" max="1" width="5.140625" style="6" customWidth="1"/>
    <col min="2" max="2" width="151.140625" style="6" bestFit="1" customWidth="1"/>
    <col min="3" max="3" width="24.85546875" style="6" customWidth="1"/>
    <col min="4" max="4" width="24.85546875" style="6" bestFit="1" customWidth="1"/>
    <col min="5" max="5" width="34.5703125" style="6" customWidth="1"/>
    <col min="6" max="16384" width="9.140625" style="6"/>
  </cols>
  <sheetData>
    <row r="1" spans="1:8" s="90" customFormat="1">
      <c r="B1" s="90" t="s">
        <v>143</v>
      </c>
      <c r="C1" s="90" t="s">
        <v>144</v>
      </c>
      <c r="D1" s="90" t="s">
        <v>145</v>
      </c>
      <c r="H1" s="90" t="s">
        <v>146</v>
      </c>
    </row>
    <row r="2" spans="1:8">
      <c r="A2" s="8" t="s">
        <v>147</v>
      </c>
      <c r="B2" s="8" t="s">
        <v>147</v>
      </c>
      <c r="C2" s="91" t="s">
        <v>148</v>
      </c>
      <c r="H2" s="6" t="s">
        <v>149</v>
      </c>
    </row>
    <row r="3" spans="1:8">
      <c r="A3" s="8" t="s">
        <v>150</v>
      </c>
      <c r="B3" s="8" t="s">
        <v>147</v>
      </c>
      <c r="C3" s="91" t="s">
        <v>151</v>
      </c>
      <c r="H3" s="6" t="s">
        <v>152</v>
      </c>
    </row>
    <row r="4" spans="1:8">
      <c r="A4" s="8" t="s">
        <v>153</v>
      </c>
      <c r="B4" s="8" t="s">
        <v>147</v>
      </c>
      <c r="C4" s="91" t="s">
        <v>154</v>
      </c>
      <c r="H4" s="6" t="s">
        <v>155</v>
      </c>
    </row>
    <row r="5" spans="1:8">
      <c r="A5" s="8" t="s">
        <v>156</v>
      </c>
      <c r="B5" s="8" t="s">
        <v>147</v>
      </c>
      <c r="C5" s="91" t="s">
        <v>157</v>
      </c>
      <c r="H5" s="6" t="s">
        <v>158</v>
      </c>
    </row>
    <row r="6" spans="1:8">
      <c r="B6" s="8" t="s">
        <v>150</v>
      </c>
      <c r="C6" s="92" t="s">
        <v>159</v>
      </c>
    </row>
    <row r="7" spans="1:8">
      <c r="A7" s="8"/>
      <c r="B7" s="8" t="s">
        <v>150</v>
      </c>
      <c r="C7" s="92" t="s">
        <v>160</v>
      </c>
    </row>
    <row r="8" spans="1:8" ht="23.25">
      <c r="B8" s="8" t="s">
        <v>153</v>
      </c>
      <c r="C8" s="93" t="s">
        <v>161</v>
      </c>
      <c r="H8"/>
    </row>
    <row r="9" spans="1:8">
      <c r="A9" s="8"/>
      <c r="B9" s="8" t="s">
        <v>153</v>
      </c>
      <c r="C9" s="93" t="s">
        <v>162</v>
      </c>
    </row>
    <row r="10" spans="1:8">
      <c r="B10" s="8" t="s">
        <v>156</v>
      </c>
      <c r="C10" s="94" t="s">
        <v>163</v>
      </c>
    </row>
    <row r="11" spans="1:8">
      <c r="B11" s="8" t="s">
        <v>156</v>
      </c>
      <c r="C11" s="94" t="s">
        <v>164</v>
      </c>
    </row>
    <row r="12" spans="1:8">
      <c r="B12" s="8" t="s">
        <v>156</v>
      </c>
      <c r="C12" s="94" t="s">
        <v>165</v>
      </c>
    </row>
    <row r="13" spans="1:8">
      <c r="B13" s="91" t="s">
        <v>148</v>
      </c>
      <c r="C13" s="91" t="s">
        <v>166</v>
      </c>
    </row>
    <row r="14" spans="1:8">
      <c r="B14" s="91" t="s">
        <v>148</v>
      </c>
      <c r="C14" s="91" t="s">
        <v>167</v>
      </c>
    </row>
    <row r="15" spans="1:8">
      <c r="B15" s="91" t="s">
        <v>151</v>
      </c>
      <c r="C15" s="91" t="s">
        <v>168</v>
      </c>
    </row>
    <row r="16" spans="1:8">
      <c r="B16" s="91" t="s">
        <v>151</v>
      </c>
      <c r="C16" s="91" t="s">
        <v>169</v>
      </c>
    </row>
    <row r="17" spans="2:3">
      <c r="B17" s="91" t="s">
        <v>154</v>
      </c>
      <c r="C17" s="91" t="s">
        <v>170</v>
      </c>
    </row>
    <row r="18" spans="2:3">
      <c r="B18" s="91" t="s">
        <v>154</v>
      </c>
      <c r="C18" s="91" t="s">
        <v>171</v>
      </c>
    </row>
    <row r="19" spans="2:3">
      <c r="B19" s="91" t="s">
        <v>157</v>
      </c>
      <c r="C19" s="91" t="s">
        <v>172</v>
      </c>
    </row>
    <row r="20" spans="2:3">
      <c r="B20" s="92" t="s">
        <v>159</v>
      </c>
      <c r="C20" s="92" t="s">
        <v>173</v>
      </c>
    </row>
    <row r="21" spans="2:3">
      <c r="B21" s="92" t="s">
        <v>159</v>
      </c>
      <c r="C21" s="92" t="s">
        <v>174</v>
      </c>
    </row>
    <row r="22" spans="2:3">
      <c r="B22" s="92" t="s">
        <v>160</v>
      </c>
      <c r="C22" s="92" t="s">
        <v>175</v>
      </c>
    </row>
    <row r="23" spans="2:3">
      <c r="B23" s="92" t="s">
        <v>160</v>
      </c>
      <c r="C23" s="92" t="s">
        <v>176</v>
      </c>
    </row>
    <row r="24" spans="2:3">
      <c r="B24" s="92" t="s">
        <v>160</v>
      </c>
      <c r="C24" s="92" t="s">
        <v>177</v>
      </c>
    </row>
    <row r="25" spans="2:3">
      <c r="B25" s="93" t="s">
        <v>161</v>
      </c>
      <c r="C25" s="93" t="s">
        <v>178</v>
      </c>
    </row>
    <row r="26" spans="2:3">
      <c r="B26" s="93" t="s">
        <v>162</v>
      </c>
      <c r="C26" s="93" t="s">
        <v>179</v>
      </c>
    </row>
    <row r="27" spans="2:3">
      <c r="B27" s="94" t="s">
        <v>163</v>
      </c>
      <c r="C27" s="94" t="s">
        <v>180</v>
      </c>
    </row>
    <row r="28" spans="2:3">
      <c r="B28" s="94" t="s">
        <v>164</v>
      </c>
      <c r="C28" s="94" t="s">
        <v>181</v>
      </c>
    </row>
    <row r="29" spans="2:3">
      <c r="B29" s="94" t="s">
        <v>164</v>
      </c>
      <c r="C29" s="94" t="s">
        <v>182</v>
      </c>
    </row>
    <row r="30" spans="2:3">
      <c r="B30" s="94" t="s">
        <v>164</v>
      </c>
      <c r="C30" s="94" t="s">
        <v>183</v>
      </c>
    </row>
    <row r="31" spans="2:3">
      <c r="B31" s="94" t="s">
        <v>165</v>
      </c>
      <c r="C31" s="94" t="s">
        <v>184</v>
      </c>
    </row>
    <row r="35" spans="2:2" ht="21" customHeight="1">
      <c r="B35" s="133" t="s">
        <v>185</v>
      </c>
    </row>
    <row r="36" spans="2:2" ht="21" customHeight="1">
      <c r="B36" s="133" t="s">
        <v>186</v>
      </c>
    </row>
    <row r="37" spans="2:2" ht="21" customHeight="1">
      <c r="B37" s="133" t="s">
        <v>187</v>
      </c>
    </row>
    <row r="38" spans="2:2" ht="21" customHeight="1">
      <c r="B38" s="6" t="s">
        <v>188</v>
      </c>
    </row>
    <row r="39" spans="2:2">
      <c r="B39" s="6" t="s">
        <v>189</v>
      </c>
    </row>
    <row r="40" spans="2:2">
      <c r="B40" s="133" t="s">
        <v>190</v>
      </c>
    </row>
    <row r="41" spans="2:2">
      <c r="B41" s="133" t="s">
        <v>191</v>
      </c>
    </row>
    <row r="42" spans="2:2">
      <c r="B42" s="133" t="s">
        <v>192</v>
      </c>
    </row>
    <row r="43" spans="2:2">
      <c r="B43" s="133" t="s">
        <v>193</v>
      </c>
    </row>
    <row r="44" spans="2:2">
      <c r="B44" s="6" t="s">
        <v>194</v>
      </c>
    </row>
    <row r="45" spans="2:2">
      <c r="B45" s="6" t="s">
        <v>195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504B-B6F7-472C-BD5A-41C3F34CD6F6}">
  <sheetPr>
    <pageSetUpPr fitToPage="1"/>
  </sheetPr>
  <dimension ref="A1:AA25"/>
  <sheetViews>
    <sheetView showGridLines="0" view="pageBreakPreview" topLeftCell="A5" zoomScale="55" zoomScaleNormal="100" zoomScaleSheetLayoutView="55" workbookViewId="0">
      <selection activeCell="Q25" sqref="Q25"/>
    </sheetView>
    <sheetView workbookViewId="1"/>
  </sheetViews>
  <sheetFormatPr defaultColWidth="9.140625" defaultRowHeight="25.9" customHeight="1"/>
  <cols>
    <col min="1" max="1" width="4.140625" style="97" customWidth="1"/>
    <col min="2" max="2" width="27" style="134" customWidth="1"/>
    <col min="3" max="3" width="6.85546875" style="134" customWidth="1"/>
    <col min="4" max="4" width="4.85546875" style="134" customWidth="1"/>
    <col min="5" max="5" width="21" style="134" customWidth="1"/>
    <col min="6" max="7" width="5.28515625" style="134" customWidth="1"/>
    <col min="8" max="8" width="9.42578125" style="134" customWidth="1"/>
    <col min="9" max="11" width="7.28515625" style="134" customWidth="1"/>
    <col min="12" max="14" width="10.140625" style="134" customWidth="1"/>
    <col min="15" max="15" width="3.28515625" style="134" customWidth="1"/>
    <col min="16" max="17" width="5.28515625" style="134" customWidth="1"/>
    <col min="18" max="18" width="3.42578125" style="134" customWidth="1"/>
    <col min="19" max="19" width="4.140625" style="134" customWidth="1"/>
    <col min="20" max="20" width="3.7109375" style="134" customWidth="1"/>
    <col min="21" max="21" width="4.42578125" style="134" customWidth="1"/>
    <col min="22" max="22" width="3.5703125" style="134" customWidth="1"/>
    <col min="23" max="23" width="6.28515625" style="134" customWidth="1"/>
    <col min="24" max="24" width="7.140625" style="134" bestFit="1" customWidth="1"/>
    <col min="25" max="16384" width="9.140625" style="96"/>
  </cols>
  <sheetData>
    <row r="1" spans="1:27" ht="21">
      <c r="W1" s="128" t="s">
        <v>196</v>
      </c>
    </row>
    <row r="2" spans="1:27" ht="21">
      <c r="A2" s="99" t="s">
        <v>197</v>
      </c>
      <c r="B2" s="96"/>
      <c r="C2" s="96"/>
      <c r="F2" s="96"/>
      <c r="G2" s="96"/>
      <c r="H2" s="96"/>
      <c r="O2" s="96"/>
      <c r="P2" s="96"/>
      <c r="W2" s="128"/>
      <c r="X2" s="96"/>
    </row>
    <row r="3" spans="1:27" s="95" customFormat="1" ht="29.25" customHeight="1">
      <c r="A3" s="134"/>
      <c r="B3" s="129" t="s">
        <v>198</v>
      </c>
      <c r="C3" s="129"/>
      <c r="D3" s="134"/>
      <c r="E3" s="134"/>
      <c r="F3" s="129"/>
      <c r="G3" s="129"/>
      <c r="H3" s="129"/>
      <c r="I3" s="134"/>
      <c r="J3" s="134"/>
      <c r="K3" s="134"/>
      <c r="L3" s="134"/>
      <c r="M3" s="134"/>
      <c r="N3" s="134"/>
      <c r="O3" s="129"/>
      <c r="P3" s="129"/>
      <c r="Q3" s="134"/>
      <c r="R3" s="134"/>
      <c r="S3" s="134"/>
      <c r="T3" s="134"/>
      <c r="U3" s="134"/>
      <c r="V3" s="134"/>
      <c r="W3" s="128"/>
      <c r="X3" s="129"/>
    </row>
    <row r="4" spans="1:27" ht="25.9" customHeight="1">
      <c r="A4" s="441" t="s">
        <v>199</v>
      </c>
      <c r="B4" s="442"/>
      <c r="C4" s="443"/>
      <c r="D4" s="441" t="s">
        <v>200</v>
      </c>
      <c r="E4" s="442"/>
      <c r="F4" s="442"/>
      <c r="G4" s="442"/>
      <c r="H4" s="443"/>
      <c r="I4" s="441" t="s">
        <v>201</v>
      </c>
      <c r="J4" s="442"/>
      <c r="K4" s="442"/>
      <c r="L4" s="442"/>
      <c r="M4" s="442"/>
      <c r="N4" s="442"/>
      <c r="O4" s="442"/>
      <c r="P4" s="443"/>
      <c r="Q4" s="469"/>
      <c r="R4" s="470"/>
      <c r="S4" s="470"/>
      <c r="T4" s="470"/>
      <c r="U4" s="470"/>
      <c r="V4" s="470"/>
      <c r="W4" s="470"/>
      <c r="X4" s="470"/>
    </row>
    <row r="5" spans="1:27" ht="90.75" customHeight="1">
      <c r="A5" s="471" t="s">
        <v>202</v>
      </c>
      <c r="B5" s="472"/>
      <c r="C5" s="473"/>
      <c r="D5" s="471" t="s">
        <v>203</v>
      </c>
      <c r="E5" s="472"/>
      <c r="F5" s="472"/>
      <c r="G5" s="472"/>
      <c r="H5" s="473"/>
      <c r="I5" s="471" t="s">
        <v>204</v>
      </c>
      <c r="J5" s="472"/>
      <c r="K5" s="472"/>
      <c r="L5" s="472"/>
      <c r="M5" s="472"/>
      <c r="N5" s="472"/>
      <c r="O5" s="472"/>
      <c r="P5" s="473"/>
      <c r="Q5" s="474"/>
      <c r="R5" s="475"/>
      <c r="S5" s="475"/>
      <c r="T5" s="475"/>
      <c r="U5" s="475"/>
      <c r="V5" s="475"/>
      <c r="W5" s="475"/>
      <c r="X5" s="475"/>
      <c r="Y5" s="6"/>
      <c r="Z5" s="6"/>
      <c r="AA5" s="6"/>
    </row>
    <row r="6" spans="1:27" s="95" customFormat="1" ht="189">
      <c r="A6" s="139" t="s">
        <v>205</v>
      </c>
      <c r="B6" s="180" t="s">
        <v>206</v>
      </c>
      <c r="C6" s="135" t="s">
        <v>207</v>
      </c>
      <c r="D6" s="137" t="s">
        <v>205</v>
      </c>
      <c r="E6" s="485" t="s">
        <v>208</v>
      </c>
      <c r="F6" s="462"/>
      <c r="G6" s="476" t="s">
        <v>207</v>
      </c>
      <c r="H6" s="477"/>
      <c r="I6" s="229" t="s">
        <v>57</v>
      </c>
      <c r="J6" s="485" t="s">
        <v>209</v>
      </c>
      <c r="K6" s="485"/>
      <c r="L6" s="485"/>
      <c r="M6" s="485"/>
      <c r="N6" s="485"/>
      <c r="O6" s="476" t="s">
        <v>207</v>
      </c>
      <c r="P6" s="477"/>
      <c r="Q6" s="137"/>
      <c r="R6" s="464"/>
      <c r="S6" s="464"/>
      <c r="T6" s="464"/>
      <c r="U6" s="464"/>
      <c r="V6" s="464"/>
      <c r="W6" s="464"/>
      <c r="X6" s="135"/>
      <c r="Y6" s="2"/>
      <c r="Z6" s="2"/>
      <c r="AA6" s="2"/>
    </row>
    <row r="7" spans="1:27" s="95" customFormat="1" ht="152.25" customHeight="1">
      <c r="A7" s="165" t="s">
        <v>205</v>
      </c>
      <c r="B7" s="146" t="s">
        <v>210</v>
      </c>
      <c r="C7" s="146" t="s">
        <v>207</v>
      </c>
      <c r="D7" s="138"/>
      <c r="E7" s="466"/>
      <c r="F7" s="466"/>
      <c r="G7" s="478"/>
      <c r="H7" s="479"/>
      <c r="I7" s="138" t="s">
        <v>205</v>
      </c>
      <c r="J7" s="466" t="s">
        <v>211</v>
      </c>
      <c r="K7" s="466"/>
      <c r="L7" s="466"/>
      <c r="M7" s="466"/>
      <c r="N7" s="466"/>
      <c r="O7" s="478" t="s">
        <v>207</v>
      </c>
      <c r="P7" s="479"/>
      <c r="Q7" s="137"/>
      <c r="R7" s="464"/>
      <c r="S7" s="464"/>
      <c r="T7" s="464"/>
      <c r="U7" s="464"/>
      <c r="V7" s="464"/>
      <c r="W7" s="464"/>
      <c r="X7" s="135"/>
      <c r="Y7" s="2"/>
      <c r="Z7" s="2"/>
      <c r="AA7" s="2"/>
    </row>
    <row r="8" spans="1:27" s="95" customFormat="1" ht="21">
      <c r="A8" s="83"/>
      <c r="B8" s="464" t="s">
        <v>212</v>
      </c>
      <c r="C8" s="464"/>
      <c r="D8" s="464"/>
      <c r="E8" s="464"/>
      <c r="F8" s="135"/>
      <c r="G8" s="135"/>
      <c r="H8" s="135"/>
      <c r="I8" s="141"/>
      <c r="J8" s="141"/>
      <c r="K8" s="141"/>
      <c r="L8" s="135"/>
      <c r="M8" s="135"/>
      <c r="N8" s="135"/>
      <c r="O8" s="135"/>
      <c r="P8" s="135"/>
      <c r="Q8" s="110"/>
      <c r="R8" s="110"/>
      <c r="S8" s="110"/>
      <c r="T8" s="110"/>
      <c r="U8" s="110"/>
      <c r="V8" s="110"/>
      <c r="W8" s="135"/>
      <c r="X8" s="135"/>
      <c r="Y8" s="2"/>
      <c r="Z8" s="2"/>
      <c r="AA8" s="2"/>
    </row>
    <row r="9" spans="1:27" s="95" customFormat="1" ht="32.25" customHeight="1">
      <c r="A9" s="96"/>
      <c r="B9" s="101" t="s">
        <v>213</v>
      </c>
      <c r="C9" s="101"/>
      <c r="D9" s="96"/>
      <c r="E9" s="96"/>
      <c r="F9" s="101"/>
      <c r="G9" s="101"/>
      <c r="H9" s="101"/>
      <c r="I9" s="96"/>
      <c r="J9" s="96"/>
      <c r="K9" s="96"/>
      <c r="L9" s="96"/>
      <c r="M9" s="96"/>
      <c r="N9" s="96"/>
      <c r="O9" s="101"/>
      <c r="P9" s="101"/>
      <c r="Q9" s="96"/>
      <c r="R9" s="96"/>
      <c r="S9" s="96"/>
      <c r="T9" s="96"/>
      <c r="U9" s="96"/>
      <c r="V9" s="96"/>
      <c r="W9" s="96"/>
      <c r="X9" s="101"/>
      <c r="Y9" s="97"/>
      <c r="Z9" s="97"/>
      <c r="AA9" s="6"/>
    </row>
    <row r="10" spans="1:27" s="95" customFormat="1" ht="23.25">
      <c r="A10" s="96"/>
      <c r="B10" s="128" t="s">
        <v>214</v>
      </c>
      <c r="C10" s="484" t="s">
        <v>149</v>
      </c>
      <c r="D10" s="484"/>
      <c r="E10" s="484"/>
      <c r="F10" s="484"/>
      <c r="G10" s="484"/>
      <c r="H10" s="48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7" s="95" customFormat="1" ht="21">
      <c r="B11" s="128" t="s">
        <v>215</v>
      </c>
      <c r="C11" s="95" t="s">
        <v>216</v>
      </c>
      <c r="D11" s="136"/>
      <c r="E11" s="136"/>
      <c r="F11" s="128"/>
      <c r="G11" s="128"/>
      <c r="H11" s="128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spans="1:27" s="95" customFormat="1" ht="21">
      <c r="B12" s="128"/>
      <c r="C12" s="136"/>
      <c r="D12" s="136"/>
      <c r="E12" s="136"/>
      <c r="F12" s="128"/>
      <c r="G12" s="128"/>
      <c r="H12" s="128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spans="1:27" s="95" customFormat="1" ht="25.5" customHeight="1">
      <c r="A13" s="5" t="s">
        <v>217</v>
      </c>
      <c r="B13" s="6"/>
      <c r="C13" s="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10"/>
    </row>
    <row r="14" spans="1:27" s="95" customFormat="1" ht="30.75" customHeight="1">
      <c r="A14" s="8"/>
      <c r="B14" s="1" t="s">
        <v>218</v>
      </c>
      <c r="C14" s="1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7" s="95" customFormat="1" ht="30.75" customHeight="1">
      <c r="A15" s="418" t="s">
        <v>219</v>
      </c>
      <c r="B15" s="436"/>
      <c r="C15" s="436"/>
      <c r="D15" s="419"/>
      <c r="E15" s="416" t="s">
        <v>220</v>
      </c>
      <c r="F15" s="448" t="s">
        <v>221</v>
      </c>
      <c r="G15" s="449"/>
      <c r="H15" s="449"/>
      <c r="I15" s="449"/>
      <c r="J15" s="449"/>
      <c r="K15" s="449"/>
      <c r="L15" s="449"/>
      <c r="M15" s="449"/>
      <c r="N15" s="449"/>
      <c r="O15" s="418" t="s">
        <v>36</v>
      </c>
      <c r="P15" s="436"/>
      <c r="Q15" s="436"/>
      <c r="R15" s="436"/>
      <c r="S15" s="436"/>
      <c r="T15" s="419"/>
      <c r="U15" s="8"/>
      <c r="V15" s="8"/>
      <c r="W15" s="8"/>
      <c r="X15" s="8"/>
    </row>
    <row r="16" spans="1:27" s="95" customFormat="1" ht="30.75" customHeight="1">
      <c r="A16" s="444"/>
      <c r="B16" s="422"/>
      <c r="C16" s="422"/>
      <c r="D16" s="445"/>
      <c r="E16" s="446"/>
      <c r="F16" s="418" t="s">
        <v>222</v>
      </c>
      <c r="G16" s="436"/>
      <c r="H16" s="419"/>
      <c r="I16" s="418" t="s">
        <v>223</v>
      </c>
      <c r="J16" s="436"/>
      <c r="K16" s="419"/>
      <c r="L16" s="468" t="s">
        <v>224</v>
      </c>
      <c r="M16" s="436"/>
      <c r="N16" s="419"/>
      <c r="O16" s="444"/>
      <c r="P16" s="422"/>
      <c r="Q16" s="422"/>
      <c r="R16" s="422"/>
      <c r="S16" s="422"/>
      <c r="T16" s="445"/>
      <c r="U16" s="8"/>
      <c r="V16" s="8"/>
      <c r="W16" s="8"/>
      <c r="X16" s="8"/>
    </row>
    <row r="17" spans="1:24" s="95" customFormat="1" ht="30.75" customHeight="1">
      <c r="A17" s="420"/>
      <c r="B17" s="437"/>
      <c r="C17" s="437"/>
      <c r="D17" s="421"/>
      <c r="E17" s="447"/>
      <c r="F17" s="420" t="s">
        <v>225</v>
      </c>
      <c r="G17" s="437"/>
      <c r="H17" s="421"/>
      <c r="I17" s="420"/>
      <c r="J17" s="437"/>
      <c r="K17" s="421"/>
      <c r="L17" s="420"/>
      <c r="M17" s="437"/>
      <c r="N17" s="421"/>
      <c r="O17" s="420"/>
      <c r="P17" s="437"/>
      <c r="Q17" s="437"/>
      <c r="R17" s="437"/>
      <c r="S17" s="437"/>
      <c r="T17" s="421"/>
      <c r="U17" s="8"/>
      <c r="V17" s="8"/>
      <c r="W17" s="8"/>
      <c r="X17" s="8"/>
    </row>
    <row r="18" spans="1:24" s="95" customFormat="1" ht="30.75" customHeight="1">
      <c r="A18" s="54"/>
      <c r="B18" s="462" t="s">
        <v>226</v>
      </c>
      <c r="C18" s="462"/>
      <c r="D18" s="463"/>
      <c r="E18" s="450"/>
      <c r="F18" s="453">
        <f>'010-1 (2)'!F31</f>
        <v>243722692</v>
      </c>
      <c r="G18" s="454"/>
      <c r="H18" s="455"/>
      <c r="I18" s="453">
        <f>'010-1 (2)'!H31</f>
        <v>256813242</v>
      </c>
      <c r="J18" s="454"/>
      <c r="K18" s="455"/>
      <c r="L18" s="453">
        <f>'010-1 (2)'!J31</f>
        <v>219751637</v>
      </c>
      <c r="M18" s="454"/>
      <c r="N18" s="455"/>
      <c r="O18" s="453">
        <f>F18+I18+L18</f>
        <v>720287571</v>
      </c>
      <c r="P18" s="454"/>
      <c r="Q18" s="454"/>
      <c r="R18" s="454"/>
      <c r="S18" s="454"/>
      <c r="T18" s="455"/>
      <c r="U18" s="8"/>
      <c r="V18" s="8"/>
      <c r="W18" s="8"/>
      <c r="X18" s="8"/>
    </row>
    <row r="19" spans="1:24" s="95" customFormat="1" ht="30.75" customHeight="1">
      <c r="A19" s="54"/>
      <c r="B19" s="464"/>
      <c r="C19" s="464"/>
      <c r="D19" s="465"/>
      <c r="E19" s="451"/>
      <c r="F19" s="456"/>
      <c r="G19" s="457"/>
      <c r="H19" s="458"/>
      <c r="I19" s="456"/>
      <c r="J19" s="457"/>
      <c r="K19" s="458"/>
      <c r="L19" s="456"/>
      <c r="M19" s="457"/>
      <c r="N19" s="458"/>
      <c r="O19" s="456"/>
      <c r="P19" s="480"/>
      <c r="Q19" s="480"/>
      <c r="R19" s="480"/>
      <c r="S19" s="480"/>
      <c r="T19" s="458"/>
      <c r="U19" s="8"/>
      <c r="V19" s="8"/>
      <c r="W19" s="8"/>
      <c r="X19" s="8"/>
    </row>
    <row r="20" spans="1:24" s="95" customFormat="1" ht="30.75" customHeight="1">
      <c r="A20" s="54"/>
      <c r="B20" s="464"/>
      <c r="C20" s="464"/>
      <c r="D20" s="465"/>
      <c r="E20" s="451"/>
      <c r="F20" s="456"/>
      <c r="G20" s="457"/>
      <c r="H20" s="458"/>
      <c r="I20" s="456"/>
      <c r="J20" s="457"/>
      <c r="K20" s="458"/>
      <c r="L20" s="456"/>
      <c r="M20" s="457"/>
      <c r="N20" s="458"/>
      <c r="O20" s="456"/>
      <c r="P20" s="480"/>
      <c r="Q20" s="480"/>
      <c r="R20" s="480"/>
      <c r="S20" s="480"/>
      <c r="T20" s="458"/>
      <c r="U20" s="8"/>
      <c r="V20" s="8"/>
      <c r="W20" s="8"/>
      <c r="X20" s="8"/>
    </row>
    <row r="21" spans="1:24" s="95" customFormat="1" ht="30.75" customHeight="1">
      <c r="A21" s="54"/>
      <c r="B21" s="466"/>
      <c r="C21" s="466"/>
      <c r="D21" s="467"/>
      <c r="E21" s="452"/>
      <c r="F21" s="459"/>
      <c r="G21" s="460"/>
      <c r="H21" s="461"/>
      <c r="I21" s="459"/>
      <c r="J21" s="460"/>
      <c r="K21" s="461"/>
      <c r="L21" s="459"/>
      <c r="M21" s="460"/>
      <c r="N21" s="461"/>
      <c r="O21" s="456"/>
      <c r="P21" s="480"/>
      <c r="Q21" s="480"/>
      <c r="R21" s="480"/>
      <c r="S21" s="480"/>
      <c r="T21" s="458"/>
      <c r="U21" s="8"/>
      <c r="V21" s="8"/>
      <c r="W21" s="8"/>
      <c r="X21" s="8"/>
    </row>
    <row r="22" spans="1:24" ht="27.75" customHeight="1">
      <c r="A22" s="433" t="s">
        <v>227</v>
      </c>
      <c r="B22" s="434"/>
      <c r="C22" s="434"/>
      <c r="D22" s="435"/>
      <c r="E22" s="19"/>
      <c r="F22" s="438">
        <f>F18/$O$18*100</f>
        <v>33.83685930629504</v>
      </c>
      <c r="G22" s="439"/>
      <c r="H22" s="440"/>
      <c r="I22" s="438">
        <f t="shared" ref="I22" si="0">I18/$O$18*100</f>
        <v>35.654265371184643</v>
      </c>
      <c r="J22" s="439"/>
      <c r="K22" s="440"/>
      <c r="L22" s="438">
        <f t="shared" ref="L22:O22" si="1">L18/$O$18*100</f>
        <v>30.508875322520318</v>
      </c>
      <c r="M22" s="439"/>
      <c r="N22" s="440"/>
      <c r="O22" s="481">
        <f t="shared" si="1"/>
        <v>100</v>
      </c>
      <c r="P22" s="482"/>
      <c r="Q22" s="482"/>
      <c r="R22" s="482"/>
      <c r="S22" s="482"/>
      <c r="T22" s="483"/>
      <c r="U22" s="6"/>
      <c r="V22" s="6"/>
      <c r="X22" s="6"/>
    </row>
    <row r="23" spans="1:24" ht="27.75" customHeight="1">
      <c r="A23" s="13"/>
      <c r="B23" s="230" t="s">
        <v>228</v>
      </c>
      <c r="C23" s="231" t="s">
        <v>229</v>
      </c>
      <c r="D23" s="6"/>
      <c r="G23" s="6"/>
      <c r="H23" s="31"/>
      <c r="J23" s="6"/>
      <c r="K23" s="6"/>
      <c r="L23" s="6"/>
      <c r="M23" s="6"/>
      <c r="N23" s="6"/>
      <c r="O23" s="5"/>
      <c r="P23" s="5"/>
      <c r="Q23" s="6"/>
      <c r="R23" s="6"/>
      <c r="S23" s="6"/>
      <c r="T23" s="6"/>
      <c r="U23" s="6"/>
      <c r="V23" s="6"/>
      <c r="W23" s="6"/>
      <c r="X23" s="6"/>
    </row>
    <row r="24" spans="1:24" ht="25.9" customHeight="1">
      <c r="B24" s="230" t="s">
        <v>74</v>
      </c>
      <c r="C24" s="231" t="s">
        <v>230</v>
      </c>
    </row>
    <row r="25" spans="1:24" ht="25.9" customHeight="1">
      <c r="B25" s="230" t="s">
        <v>74</v>
      </c>
      <c r="C25" s="232" t="s">
        <v>231</v>
      </c>
    </row>
  </sheetData>
  <mergeCells count="39">
    <mergeCell ref="E7:F7"/>
    <mergeCell ref="C10:H10"/>
    <mergeCell ref="G6:H6"/>
    <mergeCell ref="G7:H7"/>
    <mergeCell ref="J7:N7"/>
    <mergeCell ref="B8:E8"/>
    <mergeCell ref="J6:N6"/>
    <mergeCell ref="E6:F6"/>
    <mergeCell ref="I22:K22"/>
    <mergeCell ref="R6:W6"/>
    <mergeCell ref="R7:W7"/>
    <mergeCell ref="O6:P6"/>
    <mergeCell ref="O7:P7"/>
    <mergeCell ref="O15:T17"/>
    <mergeCell ref="O18:T21"/>
    <mergeCell ref="O22:T22"/>
    <mergeCell ref="Q4:X4"/>
    <mergeCell ref="A5:C5"/>
    <mergeCell ref="Q5:X5"/>
    <mergeCell ref="D4:H4"/>
    <mergeCell ref="D5:H5"/>
    <mergeCell ref="I4:P4"/>
    <mergeCell ref="I5:P5"/>
    <mergeCell ref="A22:D22"/>
    <mergeCell ref="F16:H16"/>
    <mergeCell ref="F17:H17"/>
    <mergeCell ref="F22:H22"/>
    <mergeCell ref="A4:C4"/>
    <mergeCell ref="A15:D17"/>
    <mergeCell ref="E15:E17"/>
    <mergeCell ref="F15:N15"/>
    <mergeCell ref="E18:E21"/>
    <mergeCell ref="F18:H21"/>
    <mergeCell ref="I18:K21"/>
    <mergeCell ref="L18:N21"/>
    <mergeCell ref="B18:D21"/>
    <mergeCell ref="L22:N22"/>
    <mergeCell ref="I16:K17"/>
    <mergeCell ref="L16:N17"/>
  </mergeCells>
  <printOptions horizontalCentered="1"/>
  <pageMargins left="0.25" right="0.25" top="0.75" bottom="0.75" header="0.3" footer="0.3"/>
  <pageSetup paperSize="9" scale="59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3FC372-5B70-48DA-8C2D-1B1405A752B8}">
          <x14:formula1>
            <xm:f>S!$H$2:$H$5</xm:f>
          </x14:formula1>
          <xm:sqref>C10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J31"/>
  <sheetViews>
    <sheetView showGridLines="0" view="pageBreakPreview" topLeftCell="A4" zoomScale="85" zoomScaleNormal="100" zoomScaleSheetLayoutView="85" workbookViewId="0">
      <selection activeCell="F13" sqref="F13:G13"/>
    </sheetView>
    <sheetView view="pageBreakPreview" topLeftCell="A3" zoomScale="85" zoomScaleNormal="100" zoomScaleSheetLayoutView="85" workbookViewId="1">
      <selection activeCell="M25" sqref="M25"/>
    </sheetView>
  </sheetViews>
  <sheetFormatPr defaultColWidth="9" defaultRowHeight="25.9" customHeight="1"/>
  <cols>
    <col min="1" max="7" width="9" style="6"/>
    <col min="8" max="10" width="13.28515625" style="6" customWidth="1"/>
    <col min="11" max="16384" width="9" style="6"/>
  </cols>
  <sheetData>
    <row r="1" spans="1:10" ht="25.9" customHeight="1">
      <c r="J1" s="13" t="s">
        <v>232</v>
      </c>
    </row>
    <row r="2" spans="1:10" ht="25.9" customHeight="1">
      <c r="B2" s="5" t="s">
        <v>233</v>
      </c>
    </row>
    <row r="3" spans="1:10" ht="25.9" customHeight="1">
      <c r="G3" s="6" t="s">
        <v>234</v>
      </c>
      <c r="J3" s="13" t="s">
        <v>29</v>
      </c>
    </row>
    <row r="4" spans="1:10" ht="25.9" customHeight="1">
      <c r="A4" s="418" t="s">
        <v>235</v>
      </c>
      <c r="B4" s="436"/>
      <c r="C4" s="436"/>
      <c r="D4" s="436"/>
      <c r="E4" s="436"/>
      <c r="F4" s="486" t="s">
        <v>236</v>
      </c>
      <c r="G4" s="487"/>
      <c r="H4" s="433" t="s">
        <v>237</v>
      </c>
      <c r="I4" s="434"/>
      <c r="J4" s="435"/>
    </row>
    <row r="5" spans="1:10" ht="25.9" customHeight="1">
      <c r="A5" s="420"/>
      <c r="B5" s="437"/>
      <c r="C5" s="437"/>
      <c r="D5" s="437"/>
      <c r="E5" s="437"/>
      <c r="F5" s="488" t="s">
        <v>238</v>
      </c>
      <c r="G5" s="489"/>
      <c r="H5" s="29">
        <v>2570</v>
      </c>
      <c r="I5" s="29">
        <v>2571</v>
      </c>
      <c r="J5" s="32" t="s">
        <v>36</v>
      </c>
    </row>
    <row r="6" spans="1:10" ht="25.9" customHeight="1">
      <c r="A6" s="43" t="s">
        <v>239</v>
      </c>
      <c r="B6" s="44"/>
      <c r="C6" s="44"/>
      <c r="D6" s="44"/>
      <c r="E6" s="53"/>
      <c r="F6" s="17"/>
      <c r="G6" s="18"/>
      <c r="H6" s="16"/>
      <c r="I6" s="16"/>
      <c r="J6" s="16"/>
    </row>
    <row r="7" spans="1:10" ht="25.9" customHeight="1">
      <c r="A7" s="34" t="s">
        <v>240</v>
      </c>
      <c r="B7" s="33"/>
      <c r="C7" s="33"/>
      <c r="D7" s="33"/>
      <c r="F7" s="17"/>
      <c r="G7" s="18"/>
      <c r="H7" s="16"/>
      <c r="I7" s="16"/>
      <c r="J7" s="16"/>
    </row>
    <row r="8" spans="1:10" ht="25.9" customHeight="1">
      <c r="A8" s="34" t="s">
        <v>241</v>
      </c>
      <c r="B8" s="33"/>
      <c r="C8" s="33"/>
      <c r="D8" s="33"/>
      <c r="F8" s="17"/>
      <c r="G8" s="18"/>
      <c r="H8" s="16"/>
      <c r="I8" s="16"/>
      <c r="J8" s="16"/>
    </row>
    <row r="9" spans="1:10" ht="25.9" customHeight="1">
      <c r="A9" s="17" t="s">
        <v>242</v>
      </c>
      <c r="F9" s="17"/>
      <c r="G9" s="18"/>
      <c r="H9" s="16"/>
      <c r="I9" s="16"/>
      <c r="J9" s="16"/>
    </row>
    <row r="10" spans="1:10" ht="25.9" customHeight="1">
      <c r="A10" s="17" t="s">
        <v>243</v>
      </c>
      <c r="F10" s="17"/>
      <c r="G10" s="18"/>
      <c r="H10" s="16"/>
      <c r="I10" s="16"/>
      <c r="J10" s="16"/>
    </row>
    <row r="11" spans="1:10" ht="25.9" customHeight="1">
      <c r="A11" s="17"/>
      <c r="B11" s="6" t="s">
        <v>244</v>
      </c>
      <c r="F11" s="17"/>
      <c r="G11" s="18"/>
      <c r="H11" s="16"/>
      <c r="I11" s="16"/>
      <c r="J11" s="16"/>
    </row>
    <row r="12" spans="1:10" ht="25.9" customHeight="1">
      <c r="A12" s="490" t="s">
        <v>245</v>
      </c>
      <c r="B12" s="491"/>
      <c r="C12" s="491"/>
      <c r="D12" s="491"/>
      <c r="E12" s="492"/>
      <c r="F12" s="493"/>
      <c r="G12" s="494"/>
      <c r="H12" s="16"/>
      <c r="I12" s="16"/>
      <c r="J12" s="16"/>
    </row>
    <row r="13" spans="1:10" ht="25.9" customHeight="1">
      <c r="A13" s="490"/>
      <c r="B13" s="491"/>
      <c r="C13" s="491"/>
      <c r="D13" s="491"/>
      <c r="E13" s="492"/>
      <c r="F13" s="495">
        <f>'010-1 (2)'!H31</f>
        <v>256813242</v>
      </c>
      <c r="G13" s="494"/>
      <c r="H13" s="384">
        <f>'007 (70)'!J77</f>
        <v>0</v>
      </c>
      <c r="I13" s="384">
        <f>'007 (70)'!K77</f>
        <v>256813242</v>
      </c>
      <c r="J13" s="384">
        <f>H13+I13</f>
        <v>256813242</v>
      </c>
    </row>
    <row r="14" spans="1:10" ht="25.9" customHeight="1">
      <c r="A14" s="490"/>
      <c r="B14" s="491"/>
      <c r="C14" s="491"/>
      <c r="D14" s="491"/>
      <c r="E14" s="492"/>
      <c r="F14" s="17"/>
      <c r="G14" s="18"/>
      <c r="H14" s="16"/>
      <c r="I14" s="16"/>
      <c r="J14" s="16"/>
    </row>
    <row r="15" spans="1:10" ht="25.9" customHeight="1">
      <c r="A15" s="490"/>
      <c r="B15" s="491"/>
      <c r="C15" s="491"/>
      <c r="D15" s="491"/>
      <c r="E15" s="492"/>
      <c r="F15" s="17"/>
      <c r="G15" s="18"/>
      <c r="H15" s="16"/>
      <c r="I15" s="16"/>
      <c r="J15" s="16"/>
    </row>
    <row r="16" spans="1:10" ht="25.9" customHeight="1">
      <c r="A16" s="17"/>
      <c r="F16" s="39"/>
      <c r="G16" s="18"/>
      <c r="H16" s="16"/>
      <c r="I16" s="16"/>
      <c r="J16" s="16"/>
    </row>
    <row r="17" spans="1:10" ht="25.9" customHeight="1">
      <c r="A17" s="17"/>
      <c r="B17" s="5" t="s">
        <v>246</v>
      </c>
      <c r="C17" s="5"/>
      <c r="F17" s="496">
        <f>F13</f>
        <v>256813242</v>
      </c>
      <c r="G17" s="414"/>
      <c r="H17" s="385">
        <f>H13</f>
        <v>0</v>
      </c>
      <c r="I17" s="385">
        <f>I13</f>
        <v>256813242</v>
      </c>
      <c r="J17" s="385">
        <f>J13</f>
        <v>256813242</v>
      </c>
    </row>
    <row r="18" spans="1:10" ht="25.9" customHeight="1">
      <c r="A18" s="34" t="s">
        <v>247</v>
      </c>
      <c r="B18" s="9"/>
      <c r="C18" s="9"/>
      <c r="F18" s="36"/>
      <c r="G18" s="45"/>
      <c r="H18" s="35"/>
      <c r="I18" s="35"/>
      <c r="J18" s="16"/>
    </row>
    <row r="19" spans="1:10" ht="25.9" customHeight="1">
      <c r="A19" s="34" t="s">
        <v>248</v>
      </c>
      <c r="B19" s="9"/>
      <c r="C19" s="9"/>
      <c r="F19" s="17"/>
      <c r="G19" s="18"/>
      <c r="H19" s="16"/>
      <c r="I19" s="16"/>
      <c r="J19" s="16"/>
    </row>
    <row r="20" spans="1:10" ht="25.9" customHeight="1">
      <c r="A20" s="37" t="s">
        <v>249</v>
      </c>
      <c r="B20" s="9"/>
      <c r="C20" s="9"/>
      <c r="F20" s="17"/>
      <c r="G20" s="18"/>
      <c r="H20" s="16"/>
      <c r="I20" s="16"/>
      <c r="J20" s="16"/>
    </row>
    <row r="21" spans="1:10" ht="25.9" customHeight="1">
      <c r="A21" s="37" t="s">
        <v>250</v>
      </c>
      <c r="B21" s="9"/>
      <c r="C21" s="9"/>
      <c r="F21" s="17"/>
      <c r="G21" s="18"/>
      <c r="H21" s="16"/>
      <c r="I21" s="16"/>
      <c r="J21" s="16"/>
    </row>
    <row r="22" spans="1:10" ht="25.9" customHeight="1">
      <c r="A22" s="46" t="s">
        <v>251</v>
      </c>
      <c r="B22" s="47"/>
      <c r="C22" s="47"/>
      <c r="D22" s="40"/>
      <c r="E22" s="40"/>
      <c r="F22" s="39"/>
      <c r="G22" s="48"/>
      <c r="H22" s="38"/>
      <c r="I22" s="38"/>
      <c r="J22" s="38"/>
    </row>
    <row r="23" spans="1:10" ht="25.9" customHeight="1">
      <c r="A23" s="46" t="s">
        <v>252</v>
      </c>
      <c r="B23" s="47"/>
      <c r="C23" s="47"/>
      <c r="D23" s="40"/>
      <c r="E23" s="40"/>
      <c r="F23" s="496">
        <v>287213242</v>
      </c>
      <c r="G23" s="497"/>
      <c r="H23" s="386">
        <v>17658942</v>
      </c>
      <c r="I23" s="386">
        <v>269554300</v>
      </c>
      <c r="J23" s="386">
        <v>287213242</v>
      </c>
    </row>
    <row r="24" spans="1:10" ht="25.9" customHeight="1">
      <c r="A24" s="433" t="s">
        <v>253</v>
      </c>
      <c r="B24" s="434"/>
      <c r="C24" s="434"/>
      <c r="D24" s="434"/>
      <c r="E24" s="434"/>
      <c r="F24" s="42"/>
      <c r="G24" s="49"/>
      <c r="H24" s="41"/>
      <c r="I24" s="41"/>
      <c r="J24" s="19"/>
    </row>
    <row r="25" spans="1:10" ht="25.9" customHeight="1">
      <c r="A25" s="5" t="s">
        <v>37</v>
      </c>
      <c r="B25" s="6" t="s">
        <v>254</v>
      </c>
      <c r="C25" s="5"/>
    </row>
    <row r="26" spans="1:10" ht="25.9" customHeight="1">
      <c r="B26" s="145" t="s">
        <v>255</v>
      </c>
      <c r="D26" s="5"/>
      <c r="G26" s="7"/>
    </row>
    <row r="28" spans="1:10" ht="25.9" customHeight="1">
      <c r="D28" s="5"/>
    </row>
    <row r="30" spans="1:10" ht="25.9" customHeight="1">
      <c r="D30" s="5"/>
      <c r="E30" s="5"/>
      <c r="F30" s="5"/>
      <c r="G30" s="5"/>
      <c r="H30" s="5"/>
    </row>
    <row r="31" spans="1:10" ht="25.9" customHeight="1">
      <c r="D31" s="5"/>
      <c r="F31" s="5"/>
      <c r="G31" s="5"/>
    </row>
  </sheetData>
  <mergeCells count="10">
    <mergeCell ref="A24:E24"/>
    <mergeCell ref="H4:J4"/>
    <mergeCell ref="A4:E5"/>
    <mergeCell ref="F4:G4"/>
    <mergeCell ref="F5:G5"/>
    <mergeCell ref="A12:E15"/>
    <mergeCell ref="F12:G12"/>
    <mergeCell ref="F13:G13"/>
    <mergeCell ref="F17:G17"/>
    <mergeCell ref="F23:G23"/>
  </mergeCells>
  <pageMargins left="0.6692913385826772" right="0.39370078740157483" top="0.39370078740157483" bottom="0.19685039370078741" header="0.51181102362204722" footer="0.51181102362204722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A9074-B823-4DBA-BF17-77E515CAE818}">
  <sheetPr>
    <pageSetUpPr fitToPage="1"/>
  </sheetPr>
  <dimension ref="A1:M64"/>
  <sheetViews>
    <sheetView showGridLines="0" view="pageBreakPreview" topLeftCell="A24" zoomScale="70" zoomScaleNormal="90" zoomScaleSheetLayoutView="70" workbookViewId="0">
      <selection activeCell="F42" sqref="F42"/>
    </sheetView>
    <sheetView zoomScale="85" zoomScaleNormal="85" workbookViewId="1">
      <selection sqref="A1:L1"/>
    </sheetView>
  </sheetViews>
  <sheetFormatPr defaultColWidth="9.140625" defaultRowHeight="21"/>
  <cols>
    <col min="1" max="1" width="17.140625" style="6" customWidth="1"/>
    <col min="2" max="5" width="15.28515625" style="6" customWidth="1"/>
    <col min="6" max="6" width="13.7109375" style="6" customWidth="1"/>
    <col min="7" max="7" width="12.140625" style="6" customWidth="1"/>
    <col min="8" max="8" width="14.85546875" style="6" customWidth="1"/>
    <col min="9" max="9" width="16.85546875" style="6" customWidth="1"/>
    <col min="10" max="10" width="23.5703125" style="6" customWidth="1"/>
    <col min="11" max="11" width="33.140625" style="6" customWidth="1"/>
    <col min="12" max="12" width="17.5703125" style="6" customWidth="1"/>
    <col min="13" max="16384" width="9.140625" style="6"/>
  </cols>
  <sheetData>
    <row r="1" spans="1:12" s="2" customFormat="1">
      <c r="A1" s="521" t="s">
        <v>256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</row>
    <row r="2" spans="1:12" s="2" customForma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>
      <c r="A3" s="1" t="s">
        <v>257</v>
      </c>
    </row>
    <row r="4" spans="1:12" ht="27.75" customHeight="1">
      <c r="A4" s="468" t="s">
        <v>258</v>
      </c>
      <c r="B4" s="522"/>
      <c r="C4" s="468" t="s">
        <v>259</v>
      </c>
      <c r="D4" s="522"/>
      <c r="E4" s="501" t="s">
        <v>260</v>
      </c>
      <c r="F4" s="501"/>
      <c r="G4" s="501"/>
      <c r="H4" s="501"/>
      <c r="I4" s="501"/>
      <c r="J4" s="501"/>
      <c r="K4" s="468" t="s">
        <v>261</v>
      </c>
      <c r="L4" s="522"/>
    </row>
    <row r="5" spans="1:12" ht="30" customHeight="1">
      <c r="A5" s="523"/>
      <c r="B5" s="524"/>
      <c r="C5" s="523"/>
      <c r="D5" s="524"/>
      <c r="E5" s="501" t="s">
        <v>262</v>
      </c>
      <c r="F5" s="501"/>
      <c r="G5" s="501"/>
      <c r="H5" s="501" t="s">
        <v>263</v>
      </c>
      <c r="I5" s="501"/>
      <c r="J5" s="105" t="s">
        <v>264</v>
      </c>
      <c r="K5" s="523"/>
      <c r="L5" s="524"/>
    </row>
    <row r="6" spans="1:12" ht="24" customHeight="1">
      <c r="A6" s="528" t="s">
        <v>265</v>
      </c>
      <c r="B6" s="529"/>
      <c r="C6" s="528" t="s">
        <v>266</v>
      </c>
      <c r="D6" s="529"/>
      <c r="E6" s="511" t="s">
        <v>267</v>
      </c>
      <c r="F6" s="517"/>
      <c r="G6" s="512"/>
      <c r="H6" s="511" t="s">
        <v>268</v>
      </c>
      <c r="I6" s="512"/>
      <c r="J6" s="498" t="s">
        <v>269</v>
      </c>
      <c r="K6" s="534" t="s">
        <v>270</v>
      </c>
      <c r="L6" s="535"/>
    </row>
    <row r="7" spans="1:12" ht="24" customHeight="1">
      <c r="A7" s="530"/>
      <c r="B7" s="531"/>
      <c r="C7" s="530"/>
      <c r="D7" s="531"/>
      <c r="E7" s="513"/>
      <c r="F7" s="518"/>
      <c r="G7" s="514"/>
      <c r="H7" s="513"/>
      <c r="I7" s="514"/>
      <c r="J7" s="499"/>
      <c r="K7" s="536"/>
      <c r="L7" s="537"/>
    </row>
    <row r="8" spans="1:12" ht="24" customHeight="1">
      <c r="A8" s="532"/>
      <c r="B8" s="533"/>
      <c r="C8" s="532"/>
      <c r="D8" s="533"/>
      <c r="E8" s="515"/>
      <c r="F8" s="519"/>
      <c r="G8" s="516"/>
      <c r="H8" s="515"/>
      <c r="I8" s="516"/>
      <c r="J8" s="500"/>
      <c r="K8" s="538"/>
      <c r="L8" s="539"/>
    </row>
    <row r="9" spans="1:12" s="2" customFormat="1">
      <c r="A9" s="107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</row>
    <row r="10" spans="1:12" ht="26.25" customHeight="1">
      <c r="A10" s="525" t="s">
        <v>260</v>
      </c>
      <c r="B10" s="526"/>
      <c r="C10" s="526"/>
      <c r="D10" s="526"/>
      <c r="E10" s="526"/>
      <c r="F10" s="526"/>
      <c r="G10" s="526"/>
      <c r="H10" s="526"/>
      <c r="I10" s="526"/>
      <c r="J10" s="526"/>
      <c r="K10" s="526"/>
      <c r="L10" s="527"/>
    </row>
    <row r="11" spans="1:12" ht="25.5" customHeight="1">
      <c r="A11" s="525" t="s">
        <v>271</v>
      </c>
      <c r="B11" s="527"/>
      <c r="C11" s="525" t="s">
        <v>272</v>
      </c>
      <c r="D11" s="526"/>
      <c r="E11" s="527"/>
      <c r="F11" s="501" t="s">
        <v>273</v>
      </c>
      <c r="G11" s="501"/>
      <c r="H11" s="501"/>
      <c r="I11" s="501"/>
      <c r="J11" s="501" t="s">
        <v>274</v>
      </c>
      <c r="K11" s="501"/>
      <c r="L11" s="501"/>
    </row>
    <row r="12" spans="1:12" ht="42" customHeight="1">
      <c r="A12" s="105">
        <v>1</v>
      </c>
      <c r="B12" s="177" t="s">
        <v>275</v>
      </c>
      <c r="C12" s="541" t="s">
        <v>276</v>
      </c>
      <c r="D12" s="542"/>
      <c r="E12" s="543"/>
      <c r="F12" s="520" t="s">
        <v>277</v>
      </c>
      <c r="G12" s="520"/>
      <c r="H12" s="520"/>
      <c r="I12" s="520"/>
      <c r="J12" s="520" t="s">
        <v>278</v>
      </c>
      <c r="K12" s="520"/>
      <c r="L12" s="520"/>
    </row>
    <row r="13" spans="1:12" ht="42" customHeight="1">
      <c r="A13" s="105">
        <v>2</v>
      </c>
      <c r="B13" s="177" t="s">
        <v>279</v>
      </c>
      <c r="C13" s="541" t="s">
        <v>280</v>
      </c>
      <c r="D13" s="542"/>
      <c r="E13" s="543"/>
      <c r="F13" s="520" t="s">
        <v>281</v>
      </c>
      <c r="G13" s="520"/>
      <c r="H13" s="520"/>
      <c r="I13" s="520"/>
      <c r="J13" s="520" t="s">
        <v>282</v>
      </c>
      <c r="K13" s="520"/>
      <c r="L13" s="520"/>
    </row>
    <row r="14" spans="1:12" s="83" customFormat="1" ht="42" customHeight="1">
      <c r="A14" s="178">
        <v>3</v>
      </c>
      <c r="B14" s="177" t="s">
        <v>283</v>
      </c>
      <c r="C14" s="541" t="s">
        <v>267</v>
      </c>
      <c r="D14" s="542"/>
      <c r="E14" s="543"/>
      <c r="F14" s="520" t="s">
        <v>284</v>
      </c>
      <c r="G14" s="520"/>
      <c r="H14" s="520"/>
      <c r="I14" s="520"/>
      <c r="J14" s="520" t="s">
        <v>269</v>
      </c>
      <c r="K14" s="520"/>
      <c r="L14" s="520"/>
    </row>
    <row r="15" spans="1:12" s="83" customFormat="1" ht="42" customHeight="1">
      <c r="A15" s="178">
        <v>4</v>
      </c>
      <c r="B15" s="177" t="s">
        <v>285</v>
      </c>
      <c r="C15" s="541" t="s">
        <v>286</v>
      </c>
      <c r="D15" s="542"/>
      <c r="E15" s="543"/>
      <c r="F15" s="520" t="s">
        <v>287</v>
      </c>
      <c r="G15" s="520"/>
      <c r="H15" s="520"/>
      <c r="I15" s="520"/>
      <c r="J15" s="520" t="s">
        <v>288</v>
      </c>
      <c r="K15" s="520"/>
      <c r="L15" s="520"/>
    </row>
    <row r="16" spans="1:12" s="83" customFormat="1" ht="42" customHeight="1">
      <c r="A16" s="178">
        <v>5</v>
      </c>
      <c r="B16" s="177" t="s">
        <v>289</v>
      </c>
      <c r="C16" s="541" t="s">
        <v>290</v>
      </c>
      <c r="D16" s="542"/>
      <c r="E16" s="543"/>
      <c r="F16" s="520" t="s">
        <v>291</v>
      </c>
      <c r="G16" s="520"/>
      <c r="H16" s="520"/>
      <c r="I16" s="520"/>
      <c r="J16" s="520" t="s">
        <v>292</v>
      </c>
      <c r="K16" s="520"/>
      <c r="L16" s="520"/>
    </row>
    <row r="17" spans="1:12" s="83" customFormat="1">
      <c r="A17" s="110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s="83" customFormat="1">
      <c r="A18" s="172" t="s">
        <v>293</v>
      </c>
      <c r="B18" s="8" t="s">
        <v>294</v>
      </c>
      <c r="C18" s="171"/>
      <c r="D18" s="171"/>
      <c r="E18" s="171"/>
      <c r="F18" s="171"/>
      <c r="G18" s="171"/>
      <c r="H18" s="171"/>
      <c r="I18" s="171"/>
      <c r="J18" s="171"/>
      <c r="K18" s="171"/>
      <c r="L18" s="171"/>
    </row>
    <row r="19" spans="1:12" s="83" customFormat="1">
      <c r="A19" s="171"/>
      <c r="B19" s="8" t="s">
        <v>295</v>
      </c>
      <c r="C19" s="171"/>
      <c r="D19" s="171"/>
      <c r="E19" s="171"/>
      <c r="F19" s="171"/>
      <c r="G19" s="171"/>
      <c r="H19" s="171"/>
      <c r="I19" s="171"/>
      <c r="J19" s="171"/>
      <c r="K19" s="171"/>
      <c r="L19" s="171"/>
    </row>
    <row r="20" spans="1:12" s="83" customFormat="1" ht="21.75" customHeight="1">
      <c r="A20" s="171"/>
      <c r="B20" s="8" t="s">
        <v>296</v>
      </c>
      <c r="C20" s="171"/>
      <c r="D20" s="171"/>
      <c r="E20" s="171"/>
      <c r="F20" s="171"/>
      <c r="G20" s="171"/>
      <c r="H20" s="171"/>
      <c r="I20" s="171"/>
      <c r="J20" s="171"/>
      <c r="K20" s="171"/>
      <c r="L20" s="504" t="s">
        <v>297</v>
      </c>
    </row>
    <row r="21" spans="1:12" s="83" customFormat="1">
      <c r="A21" s="171"/>
      <c r="B21" s="8" t="s">
        <v>298</v>
      </c>
      <c r="C21" s="171"/>
      <c r="D21" s="171"/>
      <c r="E21" s="171"/>
      <c r="F21" s="171"/>
      <c r="G21" s="171"/>
      <c r="H21" s="171"/>
      <c r="I21" s="171"/>
      <c r="J21" s="171"/>
      <c r="K21" s="171"/>
      <c r="L21" s="504"/>
    </row>
    <row r="22" spans="1:12" s="83" customFormat="1">
      <c r="A22" s="109"/>
      <c r="B22" s="173" t="s">
        <v>299</v>
      </c>
      <c r="C22" s="109"/>
      <c r="D22" s="109"/>
      <c r="E22" s="109"/>
      <c r="F22" s="109"/>
      <c r="G22" s="109"/>
      <c r="H22" s="109"/>
      <c r="I22" s="109"/>
      <c r="J22" s="109"/>
      <c r="K22" s="109"/>
      <c r="L22" s="504"/>
    </row>
    <row r="23" spans="1:12" s="83" customFormat="1" ht="27" customHeight="1">
      <c r="A23" s="109"/>
      <c r="B23" s="8" t="s">
        <v>300</v>
      </c>
      <c r="C23" s="109"/>
      <c r="D23" s="109"/>
      <c r="E23" s="109"/>
      <c r="F23" s="109"/>
      <c r="G23" s="109"/>
      <c r="H23" s="109"/>
      <c r="I23" s="109"/>
      <c r="J23" s="109"/>
      <c r="K23" s="109"/>
      <c r="L23" s="504"/>
    </row>
    <row r="24" spans="1:12">
      <c r="A24" s="1" t="s">
        <v>301</v>
      </c>
    </row>
    <row r="25" spans="1:12" ht="21" customHeight="1">
      <c r="A25" s="503" t="s">
        <v>302</v>
      </c>
      <c r="B25" s="501" t="s">
        <v>303</v>
      </c>
      <c r="C25" s="501"/>
      <c r="D25" s="501"/>
      <c r="E25" s="501"/>
      <c r="F25" s="501" t="s">
        <v>304</v>
      </c>
      <c r="G25" s="501"/>
      <c r="H25" s="501"/>
      <c r="I25" s="503" t="s">
        <v>305</v>
      </c>
      <c r="J25" s="503"/>
      <c r="K25" s="503"/>
      <c r="L25" s="50"/>
    </row>
    <row r="26" spans="1:12" ht="26.25" customHeight="1">
      <c r="A26" s="505"/>
      <c r="B26" s="501"/>
      <c r="C26" s="501"/>
      <c r="D26" s="501"/>
      <c r="E26" s="501"/>
      <c r="F26" s="501"/>
      <c r="G26" s="501"/>
      <c r="H26" s="501"/>
      <c r="I26" s="502"/>
      <c r="J26" s="502"/>
      <c r="K26" s="502"/>
      <c r="L26" s="50"/>
    </row>
    <row r="27" spans="1:12" ht="21" customHeight="1">
      <c r="A27" s="505"/>
      <c r="B27" s="503" t="s">
        <v>306</v>
      </c>
      <c r="C27" s="503"/>
      <c r="D27" s="503" t="s">
        <v>307</v>
      </c>
      <c r="E27" s="503"/>
      <c r="F27" s="501"/>
      <c r="G27" s="501"/>
      <c r="H27" s="501"/>
      <c r="I27" s="168" t="s">
        <v>306</v>
      </c>
      <c r="J27" s="168" t="s">
        <v>307</v>
      </c>
      <c r="K27" s="168" t="s">
        <v>308</v>
      </c>
      <c r="L27" s="50"/>
    </row>
    <row r="28" spans="1:12">
      <c r="A28" s="502"/>
      <c r="B28" s="502" t="s">
        <v>309</v>
      </c>
      <c r="C28" s="502"/>
      <c r="D28" s="502" t="s">
        <v>310</v>
      </c>
      <c r="E28" s="502"/>
      <c r="F28" s="501"/>
      <c r="G28" s="501"/>
      <c r="H28" s="501"/>
      <c r="I28" s="169" t="s">
        <v>309</v>
      </c>
      <c r="J28" s="169" t="s">
        <v>310</v>
      </c>
      <c r="K28" s="169" t="s">
        <v>311</v>
      </c>
      <c r="L28" s="50"/>
    </row>
    <row r="29" spans="1:12">
      <c r="A29" s="498" t="s">
        <v>312</v>
      </c>
      <c r="B29" s="511">
        <v>3</v>
      </c>
      <c r="C29" s="512"/>
      <c r="D29" s="511">
        <v>3</v>
      </c>
      <c r="E29" s="512"/>
      <c r="F29" s="511" t="s">
        <v>313</v>
      </c>
      <c r="G29" s="517"/>
      <c r="H29" s="512"/>
      <c r="I29" s="498">
        <v>2</v>
      </c>
      <c r="J29" s="498">
        <v>2</v>
      </c>
      <c r="K29" s="498">
        <v>4</v>
      </c>
      <c r="L29" s="540"/>
    </row>
    <row r="30" spans="1:12">
      <c r="A30" s="499"/>
      <c r="B30" s="513"/>
      <c r="C30" s="514"/>
      <c r="D30" s="513"/>
      <c r="E30" s="514"/>
      <c r="F30" s="513"/>
      <c r="G30" s="518"/>
      <c r="H30" s="514"/>
      <c r="I30" s="499"/>
      <c r="J30" s="499"/>
      <c r="K30" s="499"/>
      <c r="L30" s="540"/>
    </row>
    <row r="31" spans="1:12" ht="58.5" customHeight="1">
      <c r="A31" s="500"/>
      <c r="B31" s="515"/>
      <c r="C31" s="516"/>
      <c r="D31" s="515"/>
      <c r="E31" s="516"/>
      <c r="F31" s="515"/>
      <c r="G31" s="519"/>
      <c r="H31" s="516"/>
      <c r="I31" s="500"/>
      <c r="J31" s="500"/>
      <c r="K31" s="500"/>
      <c r="L31" s="540"/>
    </row>
    <row r="32" spans="1:12">
      <c r="A32" s="8"/>
    </row>
    <row r="33" spans="1:12">
      <c r="A33" s="1" t="s">
        <v>314</v>
      </c>
    </row>
    <row r="34" spans="1:12">
      <c r="A34" s="506" t="s">
        <v>315</v>
      </c>
      <c r="B34" s="510" t="s">
        <v>316</v>
      </c>
      <c r="C34" s="510"/>
      <c r="D34" s="510" t="s">
        <v>317</v>
      </c>
      <c r="E34" s="510"/>
      <c r="L34" s="103"/>
    </row>
    <row r="35" spans="1:12">
      <c r="A35" s="506"/>
      <c r="B35" s="509" t="s">
        <v>318</v>
      </c>
      <c r="C35" s="509"/>
      <c r="D35" s="506" t="s">
        <v>318</v>
      </c>
      <c r="E35" s="506"/>
    </row>
    <row r="36" spans="1:12">
      <c r="A36" s="170">
        <v>1</v>
      </c>
      <c r="B36" s="508" t="s">
        <v>319</v>
      </c>
      <c r="C36" s="508"/>
      <c r="D36" s="507" t="s">
        <v>320</v>
      </c>
      <c r="E36" s="507"/>
      <c r="F36" s="1"/>
      <c r="G36" s="1"/>
      <c r="H36" s="1"/>
      <c r="I36" s="1"/>
    </row>
    <row r="37" spans="1:12">
      <c r="A37" s="170">
        <v>2</v>
      </c>
      <c r="B37" s="508" t="s">
        <v>321</v>
      </c>
      <c r="C37" s="508"/>
      <c r="D37" s="507" t="s">
        <v>322</v>
      </c>
      <c r="E37" s="507"/>
      <c r="F37" s="1"/>
      <c r="G37" s="1"/>
      <c r="H37" s="1"/>
      <c r="I37" s="1"/>
    </row>
    <row r="38" spans="1:12">
      <c r="A38" s="170">
        <v>3</v>
      </c>
      <c r="B38" s="508" t="s">
        <v>323</v>
      </c>
      <c r="C38" s="508"/>
      <c r="D38" s="507" t="s">
        <v>324</v>
      </c>
      <c r="E38" s="507"/>
      <c r="F38" s="8"/>
      <c r="G38" s="8"/>
      <c r="H38" s="8"/>
      <c r="I38" s="8"/>
    </row>
    <row r="39" spans="1:12">
      <c r="A39" s="170">
        <v>4</v>
      </c>
      <c r="B39" s="508" t="s">
        <v>325</v>
      </c>
      <c r="C39" s="508"/>
      <c r="D39" s="507" t="s">
        <v>326</v>
      </c>
      <c r="E39" s="507"/>
      <c r="F39" s="8"/>
      <c r="G39" s="8"/>
      <c r="H39" s="8"/>
      <c r="I39" s="8"/>
    </row>
    <row r="40" spans="1:12">
      <c r="A40" s="170">
        <v>5</v>
      </c>
      <c r="B40" s="508" t="s">
        <v>327</v>
      </c>
      <c r="C40" s="508"/>
      <c r="D40" s="507" t="s">
        <v>328</v>
      </c>
      <c r="E40" s="507"/>
      <c r="F40" s="8"/>
      <c r="G40" s="8"/>
      <c r="H40" s="8"/>
      <c r="I40" s="8"/>
    </row>
    <row r="41" spans="1:12">
      <c r="A41" s="44"/>
      <c r="B41" s="175"/>
      <c r="C41" s="175"/>
      <c r="D41" s="176"/>
      <c r="E41" s="174"/>
      <c r="F41" s="8"/>
      <c r="G41" s="8"/>
      <c r="H41" s="8"/>
      <c r="I41" s="8"/>
    </row>
    <row r="42" spans="1:12">
      <c r="A42" s="1" t="s">
        <v>329</v>
      </c>
      <c r="B42" s="8"/>
      <c r="C42" s="8"/>
      <c r="D42" s="8"/>
      <c r="E42" s="8"/>
      <c r="F42" s="8"/>
      <c r="G42" s="8"/>
      <c r="H42" s="8"/>
      <c r="I42" s="8"/>
    </row>
    <row r="43" spans="1:12">
      <c r="A43" s="8"/>
      <c r="B43" s="33"/>
      <c r="C43" s="33"/>
      <c r="D43" s="22"/>
      <c r="E43" s="22"/>
      <c r="F43" s="33"/>
      <c r="G43" s="33"/>
      <c r="H43" s="22"/>
      <c r="I43" s="22"/>
    </row>
    <row r="44" spans="1:12">
      <c r="A44" s="8"/>
      <c r="B44" s="63"/>
      <c r="C44" s="5"/>
      <c r="H44" s="25" t="s">
        <v>330</v>
      </c>
      <c r="I44" s="59"/>
      <c r="J44" s="25" t="s">
        <v>331</v>
      </c>
      <c r="K44" s="60"/>
    </row>
    <row r="45" spans="1:12">
      <c r="A45" s="8"/>
      <c r="B45" s="1"/>
      <c r="C45" s="1"/>
      <c r="D45" s="5"/>
      <c r="E45" s="5"/>
      <c r="F45" s="5"/>
      <c r="G45" s="5"/>
      <c r="H45" s="24" t="s">
        <v>332</v>
      </c>
      <c r="I45" s="20"/>
      <c r="J45" s="24" t="s">
        <v>333</v>
      </c>
      <c r="K45" s="23"/>
    </row>
    <row r="46" spans="1:12">
      <c r="A46" s="8"/>
      <c r="B46" s="1"/>
      <c r="C46" s="1"/>
      <c r="D46" s="5"/>
      <c r="E46" s="5"/>
      <c r="F46" s="5"/>
      <c r="G46" s="5"/>
      <c r="H46" s="24" t="s">
        <v>334</v>
      </c>
      <c r="I46" s="20"/>
      <c r="J46" s="24" t="s">
        <v>335</v>
      </c>
      <c r="K46" s="23"/>
    </row>
    <row r="47" spans="1:12">
      <c r="A47" s="8"/>
      <c r="H47" s="24" t="s">
        <v>336</v>
      </c>
      <c r="I47" s="20"/>
      <c r="J47" s="24" t="s">
        <v>337</v>
      </c>
      <c r="K47" s="23"/>
    </row>
    <row r="48" spans="1:12">
      <c r="A48" s="8"/>
      <c r="H48" s="24" t="s">
        <v>332</v>
      </c>
      <c r="I48" s="20"/>
      <c r="J48" s="24" t="s">
        <v>333</v>
      </c>
      <c r="K48" s="23"/>
    </row>
    <row r="49" spans="1:13">
      <c r="A49" s="8"/>
      <c r="H49" s="24" t="s">
        <v>338</v>
      </c>
      <c r="I49" s="20"/>
      <c r="J49" s="24" t="s">
        <v>338</v>
      </c>
      <c r="K49" s="23"/>
    </row>
    <row r="50" spans="1:13">
      <c r="A50" s="8"/>
      <c r="B50" s="9"/>
      <c r="C50" s="9"/>
      <c r="D50" s="9"/>
      <c r="E50" s="9"/>
      <c r="F50" s="9"/>
      <c r="G50" s="9"/>
      <c r="H50" s="24" t="s">
        <v>332</v>
      </c>
      <c r="I50" s="20"/>
      <c r="J50" s="24" t="s">
        <v>333</v>
      </c>
      <c r="K50" s="23"/>
    </row>
    <row r="51" spans="1:13">
      <c r="A51" s="8"/>
      <c r="B51" s="9"/>
      <c r="C51" s="9"/>
      <c r="D51" s="9"/>
      <c r="E51" s="9"/>
      <c r="F51" s="9"/>
      <c r="G51" s="9"/>
      <c r="H51" s="24" t="s">
        <v>339</v>
      </c>
      <c r="I51" s="20"/>
      <c r="J51" s="24" t="s">
        <v>339</v>
      </c>
      <c r="K51" s="23"/>
    </row>
    <row r="52" spans="1:13" ht="20.25" customHeight="1">
      <c r="H52" s="27" t="s">
        <v>332</v>
      </c>
      <c r="I52" s="28"/>
      <c r="J52" s="27" t="s">
        <v>333</v>
      </c>
      <c r="K52" s="26"/>
    </row>
    <row r="53" spans="1:13" ht="16.5" customHeight="1">
      <c r="H53" s="59"/>
      <c r="I53" s="59"/>
      <c r="J53" s="59"/>
      <c r="K53" s="59"/>
      <c r="L53" s="504" t="s">
        <v>297</v>
      </c>
    </row>
    <row r="54" spans="1:13" ht="15" customHeight="1">
      <c r="H54" s="20"/>
      <c r="I54" s="20"/>
      <c r="J54" s="20"/>
      <c r="K54" s="20"/>
      <c r="L54" s="504"/>
    </row>
    <row r="55" spans="1:13" ht="17.25" customHeight="1">
      <c r="H55" s="20"/>
      <c r="I55" s="20"/>
      <c r="J55" s="20"/>
      <c r="K55" s="20"/>
      <c r="L55" s="504"/>
    </row>
    <row r="56" spans="1:13" ht="16.5" customHeight="1">
      <c r="H56" s="20"/>
      <c r="I56" s="20"/>
      <c r="J56" s="20"/>
      <c r="K56" s="20"/>
      <c r="L56" s="504"/>
    </row>
    <row r="57" spans="1:13" ht="18" customHeight="1">
      <c r="H57" s="20"/>
      <c r="I57" s="20"/>
      <c r="J57" s="20"/>
      <c r="K57" s="20"/>
      <c r="L57" s="504"/>
    </row>
    <row r="58" spans="1:13">
      <c r="H58" s="20"/>
      <c r="I58" s="20"/>
      <c r="J58" s="20"/>
      <c r="K58" s="20"/>
    </row>
    <row r="59" spans="1:13" ht="19.5" customHeight="1">
      <c r="H59" s="20"/>
      <c r="I59" s="20"/>
      <c r="J59" s="20"/>
      <c r="K59" s="20"/>
    </row>
    <row r="60" spans="1:13" ht="17.25" customHeight="1">
      <c r="H60" s="20"/>
      <c r="I60" s="20"/>
      <c r="J60" s="20"/>
      <c r="K60" s="20"/>
      <c r="M60" s="104"/>
    </row>
    <row r="61" spans="1:13">
      <c r="H61" s="20"/>
      <c r="I61" s="20"/>
      <c r="J61" s="20"/>
      <c r="K61" s="20"/>
      <c r="M61" s="104"/>
    </row>
    <row r="62" spans="1:13">
      <c r="H62" s="20"/>
      <c r="I62" s="20"/>
      <c r="J62" s="20"/>
      <c r="K62" s="20"/>
      <c r="M62" s="104"/>
    </row>
    <row r="63" spans="1:13">
      <c r="H63" s="20"/>
      <c r="I63" s="20"/>
      <c r="J63" s="20"/>
      <c r="K63" s="20"/>
      <c r="M63" s="104"/>
    </row>
    <row r="64" spans="1:13">
      <c r="H64" s="20"/>
      <c r="I64" s="20"/>
      <c r="J64" s="20"/>
      <c r="K64" s="20"/>
      <c r="M64" s="104"/>
    </row>
  </sheetData>
  <mergeCells count="66">
    <mergeCell ref="L53:L57"/>
    <mergeCell ref="B39:C39"/>
    <mergeCell ref="D39:E39"/>
    <mergeCell ref="B40:C40"/>
    <mergeCell ref="D40:E40"/>
    <mergeCell ref="B38:C38"/>
    <mergeCell ref="D38:E38"/>
    <mergeCell ref="L29:L31"/>
    <mergeCell ref="J11:L11"/>
    <mergeCell ref="J12:L12"/>
    <mergeCell ref="J13:L13"/>
    <mergeCell ref="J14:L14"/>
    <mergeCell ref="C11:E11"/>
    <mergeCell ref="A11:B11"/>
    <mergeCell ref="C15:E15"/>
    <mergeCell ref="C16:E16"/>
    <mergeCell ref="I25:K26"/>
    <mergeCell ref="C14:E14"/>
    <mergeCell ref="C13:E13"/>
    <mergeCell ref="C12:E12"/>
    <mergeCell ref="F15:I15"/>
    <mergeCell ref="A1:L1"/>
    <mergeCell ref="A4:B5"/>
    <mergeCell ref="C4:D5"/>
    <mergeCell ref="F11:I11"/>
    <mergeCell ref="K4:L5"/>
    <mergeCell ref="E5:G5"/>
    <mergeCell ref="E4:J4"/>
    <mergeCell ref="H5:I5"/>
    <mergeCell ref="A10:L10"/>
    <mergeCell ref="A6:B8"/>
    <mergeCell ref="C6:D8"/>
    <mergeCell ref="E6:G8"/>
    <mergeCell ref="H6:I8"/>
    <mergeCell ref="J6:J8"/>
    <mergeCell ref="K6:L8"/>
    <mergeCell ref="J15:L15"/>
    <mergeCell ref="F16:I16"/>
    <mergeCell ref="J16:L16"/>
    <mergeCell ref="F12:I12"/>
    <mergeCell ref="F13:I13"/>
    <mergeCell ref="F14:I14"/>
    <mergeCell ref="L20:L23"/>
    <mergeCell ref="A25:A28"/>
    <mergeCell ref="A34:A35"/>
    <mergeCell ref="D37:E37"/>
    <mergeCell ref="D36:E36"/>
    <mergeCell ref="B36:C36"/>
    <mergeCell ref="B37:C37"/>
    <mergeCell ref="D35:E35"/>
    <mergeCell ref="B35:C35"/>
    <mergeCell ref="D34:E34"/>
    <mergeCell ref="B34:C34"/>
    <mergeCell ref="A29:A31"/>
    <mergeCell ref="B29:C31"/>
    <mergeCell ref="D29:E31"/>
    <mergeCell ref="F29:H31"/>
    <mergeCell ref="I29:I31"/>
    <mergeCell ref="J29:J31"/>
    <mergeCell ref="K29:K31"/>
    <mergeCell ref="B25:E26"/>
    <mergeCell ref="D28:E28"/>
    <mergeCell ref="D27:E27"/>
    <mergeCell ref="B28:C28"/>
    <mergeCell ref="B27:C27"/>
    <mergeCell ref="F25:H28"/>
  </mergeCells>
  <pageMargins left="0.7" right="0.7" top="0.75" bottom="0.75" header="0.3" footer="0.3"/>
  <pageSetup paperSize="9" scale="68" fitToHeight="0" orientation="landscape" r:id="rId1"/>
  <rowBreaks count="2" manualBreakCount="2">
    <brk id="23" max="11" man="1"/>
    <brk id="57" max="11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E88A-90FC-44CD-AEDD-2C3671C0EE9D}">
  <dimension ref="A1:T89"/>
  <sheetViews>
    <sheetView showGridLines="0" view="pageBreakPreview" topLeftCell="A38" zoomScaleNormal="110" zoomScaleSheetLayoutView="100" workbookViewId="0">
      <selection activeCell="E45" sqref="E45"/>
    </sheetView>
    <sheetView workbookViewId="1">
      <selection activeCell="M27" sqref="M27"/>
    </sheetView>
  </sheetViews>
  <sheetFormatPr defaultColWidth="9" defaultRowHeight="21"/>
  <cols>
    <col min="1" max="1" width="4.140625" style="33" customWidth="1"/>
    <col min="2" max="2" width="6" style="33" customWidth="1"/>
    <col min="3" max="4" width="11.140625" style="33" customWidth="1"/>
    <col min="5" max="5" width="15.85546875" style="33" customWidth="1"/>
    <col min="6" max="11" width="9" style="33"/>
    <col min="12" max="12" width="10.28515625" style="33" customWidth="1"/>
    <col min="13" max="14" width="9" style="33"/>
    <col min="15" max="15" width="5.42578125" style="33" bestFit="1" customWidth="1"/>
    <col min="16" max="16" width="37.42578125" style="33" bestFit="1" customWidth="1"/>
    <col min="17" max="16384" width="9" style="33"/>
  </cols>
  <sheetData>
    <row r="1" spans="1:12">
      <c r="A1" s="422" t="s">
        <v>340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</row>
    <row r="2" spans="1:12">
      <c r="A2" s="422" t="s">
        <v>341</v>
      </c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</row>
    <row r="4" spans="1:12">
      <c r="A4" s="55" t="s">
        <v>2</v>
      </c>
      <c r="B4" s="58" t="s">
        <v>342</v>
      </c>
      <c r="E4" s="22"/>
    </row>
    <row r="5" spans="1:12">
      <c r="A5" s="55" t="s">
        <v>343</v>
      </c>
      <c r="B5" s="58" t="s">
        <v>344</v>
      </c>
      <c r="C5" s="8"/>
      <c r="D5" s="8"/>
    </row>
    <row r="6" spans="1:12">
      <c r="A6" s="55"/>
      <c r="B6" s="90">
        <v>2.1</v>
      </c>
      <c r="C6" s="1" t="s">
        <v>345</v>
      </c>
      <c r="D6" s="8"/>
      <c r="E6" s="8"/>
      <c r="F6" s="8" t="s">
        <v>346</v>
      </c>
    </row>
    <row r="7" spans="1:12">
      <c r="B7" s="90">
        <v>2.2000000000000002</v>
      </c>
      <c r="C7" s="1" t="s">
        <v>347</v>
      </c>
      <c r="D7" s="1"/>
      <c r="E7" s="8"/>
      <c r="F7" s="8" t="s">
        <v>348</v>
      </c>
      <c r="G7" s="8"/>
      <c r="H7" s="8"/>
    </row>
    <row r="8" spans="1:12">
      <c r="B8" s="90"/>
      <c r="C8" s="1"/>
      <c r="D8" s="1"/>
      <c r="E8" s="8"/>
      <c r="F8" s="8" t="s">
        <v>349</v>
      </c>
      <c r="G8" s="8"/>
      <c r="H8" s="8"/>
    </row>
    <row r="9" spans="1:12">
      <c r="B9" s="90"/>
      <c r="C9" s="1"/>
      <c r="D9" s="1"/>
      <c r="E9" s="8"/>
      <c r="F9" s="8" t="s">
        <v>350</v>
      </c>
      <c r="G9" s="8"/>
      <c r="H9" s="8"/>
    </row>
    <row r="10" spans="1:12">
      <c r="B10" s="90"/>
      <c r="C10" s="1"/>
      <c r="D10" s="1"/>
      <c r="E10" s="8"/>
      <c r="F10" s="8" t="s">
        <v>351</v>
      </c>
      <c r="G10" s="8"/>
      <c r="H10" s="8"/>
    </row>
    <row r="11" spans="1:12">
      <c r="B11" s="90"/>
      <c r="C11" s="1"/>
      <c r="D11" s="1"/>
      <c r="E11" s="8"/>
      <c r="F11" s="8" t="s">
        <v>352</v>
      </c>
      <c r="G11" s="8"/>
      <c r="H11" s="8"/>
    </row>
    <row r="12" spans="1:12">
      <c r="B12" s="90"/>
      <c r="C12" s="1"/>
      <c r="D12" s="1"/>
      <c r="E12" s="8"/>
      <c r="F12" s="8" t="s">
        <v>353</v>
      </c>
      <c r="G12" s="8"/>
      <c r="H12" s="8"/>
    </row>
    <row r="13" spans="1:12">
      <c r="A13" s="55"/>
      <c r="B13" s="90">
        <v>2.2999999999999998</v>
      </c>
      <c r="C13" s="1" t="s">
        <v>354</v>
      </c>
      <c r="D13" s="8"/>
      <c r="E13" s="8"/>
      <c r="F13" s="8" t="s">
        <v>355</v>
      </c>
    </row>
    <row r="14" spans="1:12" s="22" customFormat="1" ht="21" customHeight="1">
      <c r="A14" s="33"/>
      <c r="B14" s="90">
        <v>2.4</v>
      </c>
      <c r="C14" s="1" t="s">
        <v>356</v>
      </c>
      <c r="F14" s="52" t="s">
        <v>357</v>
      </c>
    </row>
    <row r="15" spans="1:12" s="132" customFormat="1" ht="24.6" customHeight="1">
      <c r="A15" s="83"/>
      <c r="B15" s="83"/>
      <c r="C15" s="4"/>
      <c r="F15" s="2" t="s">
        <v>358</v>
      </c>
    </row>
    <row r="16" spans="1:12" s="132" customFormat="1" ht="24.6" customHeight="1">
      <c r="A16" s="83"/>
      <c r="B16" s="90">
        <v>2.5</v>
      </c>
      <c r="C16" s="4" t="s">
        <v>359</v>
      </c>
      <c r="F16" s="2" t="s">
        <v>360</v>
      </c>
    </row>
    <row r="17" spans="1:12" s="22" customFormat="1">
      <c r="A17" s="33"/>
      <c r="B17" s="90">
        <v>2.6</v>
      </c>
      <c r="C17" s="58" t="s">
        <v>361</v>
      </c>
      <c r="F17" s="6" t="s">
        <v>362</v>
      </c>
    </row>
    <row r="18" spans="1:12" s="22" customFormat="1">
      <c r="A18" s="33"/>
      <c r="B18" s="90">
        <v>2.7</v>
      </c>
      <c r="C18" s="58" t="s">
        <v>221</v>
      </c>
      <c r="D18" s="1"/>
      <c r="E18" s="8"/>
      <c r="F18" s="6" t="s">
        <v>363</v>
      </c>
      <c r="G18" s="8"/>
      <c r="H18" s="8"/>
      <c r="I18" s="8"/>
      <c r="J18" s="8"/>
    </row>
    <row r="19" spans="1:12" s="22" customFormat="1">
      <c r="A19" s="33"/>
      <c r="B19" s="90"/>
      <c r="C19" s="1"/>
      <c r="D19" s="1"/>
      <c r="E19" s="8"/>
      <c r="F19" s="6" t="s">
        <v>364</v>
      </c>
      <c r="G19" s="8"/>
      <c r="H19" s="8"/>
      <c r="I19" s="8"/>
      <c r="J19" s="8"/>
    </row>
    <row r="20" spans="1:12" s="22" customFormat="1">
      <c r="A20" s="33"/>
      <c r="B20" s="90">
        <v>2.8</v>
      </c>
      <c r="C20" s="1" t="s">
        <v>365</v>
      </c>
      <c r="D20" s="1"/>
      <c r="E20" s="8"/>
      <c r="F20" s="6" t="s">
        <v>366</v>
      </c>
      <c r="G20" s="8"/>
      <c r="H20" s="8"/>
      <c r="I20" s="8"/>
      <c r="J20" s="8"/>
    </row>
    <row r="21" spans="1:12" s="22" customFormat="1">
      <c r="A21" s="33"/>
      <c r="B21" s="90">
        <v>2.9</v>
      </c>
      <c r="C21" s="1" t="s">
        <v>367</v>
      </c>
      <c r="D21" s="1"/>
      <c r="E21" s="1"/>
      <c r="F21" s="6" t="s">
        <v>368</v>
      </c>
      <c r="G21" s="8"/>
      <c r="H21" s="8"/>
      <c r="I21" s="8"/>
      <c r="J21" s="8"/>
    </row>
    <row r="22" spans="1:12" s="22" customFormat="1">
      <c r="A22" s="33"/>
      <c r="B22" s="55" t="s">
        <v>369</v>
      </c>
      <c r="C22" s="1" t="s">
        <v>370</v>
      </c>
      <c r="D22" s="1"/>
      <c r="E22" s="8"/>
      <c r="F22" s="6" t="s">
        <v>371</v>
      </c>
      <c r="G22" s="8"/>
      <c r="H22" s="8"/>
      <c r="I22" s="8"/>
      <c r="J22" s="8"/>
    </row>
    <row r="23" spans="1:12" s="22" customFormat="1">
      <c r="A23" s="33"/>
      <c r="B23" s="90"/>
      <c r="C23" s="1"/>
      <c r="D23" s="1"/>
      <c r="E23" s="8"/>
      <c r="F23" s="6" t="s">
        <v>372</v>
      </c>
      <c r="G23" s="8"/>
      <c r="H23" s="8"/>
      <c r="I23" s="8"/>
      <c r="J23" s="8"/>
    </row>
    <row r="24" spans="1:12" s="22" customFormat="1">
      <c r="A24" s="33"/>
      <c r="B24" s="90">
        <v>2.11</v>
      </c>
      <c r="C24" s="1" t="s">
        <v>373</v>
      </c>
      <c r="D24" s="1"/>
      <c r="E24" s="8"/>
      <c r="F24" s="6" t="s">
        <v>374</v>
      </c>
      <c r="G24" s="8"/>
      <c r="H24" s="8"/>
      <c r="I24" s="8"/>
      <c r="J24" s="8"/>
    </row>
    <row r="25" spans="1:12" s="22" customFormat="1">
      <c r="A25" s="55" t="s">
        <v>375</v>
      </c>
      <c r="B25" s="58" t="s">
        <v>376</v>
      </c>
      <c r="C25" s="1"/>
      <c r="D25" s="1"/>
      <c r="E25" s="8"/>
      <c r="F25" s="8" t="s">
        <v>377</v>
      </c>
    </row>
    <row r="26" spans="1:12">
      <c r="A26" s="55" t="s">
        <v>378</v>
      </c>
      <c r="B26" s="1" t="s">
        <v>379</v>
      </c>
      <c r="D26" s="8"/>
      <c r="E26" s="8"/>
      <c r="F26" s="8"/>
      <c r="G26" s="8"/>
      <c r="H26" s="8"/>
      <c r="I26" s="8"/>
      <c r="J26" s="8"/>
      <c r="K26" s="22"/>
      <c r="L26" s="22"/>
    </row>
    <row r="27" spans="1:12">
      <c r="B27" s="90">
        <v>4.0999999999999996</v>
      </c>
      <c r="C27" s="1" t="s">
        <v>380</v>
      </c>
      <c r="D27" s="1"/>
      <c r="E27" s="8"/>
      <c r="F27" s="7" t="s">
        <v>381</v>
      </c>
      <c r="G27" s="8"/>
      <c r="H27" s="8"/>
      <c r="I27" s="8"/>
      <c r="J27" s="22"/>
      <c r="K27" s="22"/>
    </row>
    <row r="28" spans="1:12">
      <c r="C28" s="90" t="s">
        <v>382</v>
      </c>
      <c r="D28" s="6"/>
      <c r="E28" s="6"/>
      <c r="F28" s="7" t="s">
        <v>383</v>
      </c>
      <c r="G28" s="6"/>
      <c r="H28" s="6"/>
      <c r="I28" s="6"/>
      <c r="J28" s="6"/>
      <c r="K28" s="6"/>
    </row>
    <row r="29" spans="1:12">
      <c r="D29" s="22"/>
      <c r="E29" s="22"/>
      <c r="F29" s="22" t="s">
        <v>384</v>
      </c>
      <c r="G29" s="22"/>
      <c r="H29" s="22"/>
      <c r="I29" s="22"/>
      <c r="J29" s="22"/>
      <c r="K29" s="22"/>
    </row>
    <row r="30" spans="1:12">
      <c r="D30" s="22"/>
      <c r="E30" s="22"/>
      <c r="F30" s="147" t="s">
        <v>385</v>
      </c>
      <c r="G30" s="22"/>
      <c r="H30" s="22"/>
      <c r="I30" s="22"/>
      <c r="J30" s="22"/>
      <c r="K30" s="22"/>
    </row>
    <row r="31" spans="1:12">
      <c r="D31" s="22"/>
      <c r="E31" s="22"/>
      <c r="F31" s="7" t="s">
        <v>386</v>
      </c>
      <c r="G31" s="22"/>
      <c r="H31" s="22"/>
      <c r="I31" s="22"/>
      <c r="J31" s="22"/>
      <c r="K31" s="22"/>
    </row>
    <row r="32" spans="1:12">
      <c r="B32" s="90">
        <v>4.2</v>
      </c>
      <c r="C32" s="5" t="s">
        <v>387</v>
      </c>
      <c r="D32" s="22"/>
      <c r="E32" s="22"/>
      <c r="F32" s="6" t="s">
        <v>388</v>
      </c>
      <c r="G32" s="22"/>
      <c r="H32" s="22"/>
      <c r="I32" s="22"/>
      <c r="J32" s="22"/>
      <c r="K32" s="22"/>
    </row>
    <row r="33" spans="1:12">
      <c r="C33" s="58" t="s">
        <v>389</v>
      </c>
      <c r="D33" s="22"/>
      <c r="E33" s="22"/>
      <c r="F33" s="22" t="s">
        <v>390</v>
      </c>
      <c r="G33" s="22"/>
      <c r="H33" s="22"/>
      <c r="I33" s="22"/>
      <c r="J33" s="22"/>
      <c r="K33" s="22"/>
    </row>
    <row r="34" spans="1:12" ht="37.5" customHeight="1">
      <c r="B34" s="3">
        <v>4.3</v>
      </c>
      <c r="C34" s="72" t="s">
        <v>391</v>
      </c>
      <c r="D34" s="132"/>
      <c r="E34" s="132"/>
      <c r="F34" s="544" t="s">
        <v>392</v>
      </c>
      <c r="G34" s="544"/>
      <c r="H34" s="544"/>
      <c r="I34" s="544"/>
      <c r="J34" s="544"/>
      <c r="K34" s="544"/>
      <c r="L34" s="544"/>
    </row>
    <row r="35" spans="1:12">
      <c r="A35" s="55" t="s">
        <v>393</v>
      </c>
      <c r="B35" s="4" t="s">
        <v>394</v>
      </c>
      <c r="D35" s="4"/>
      <c r="E35" s="2"/>
      <c r="F35" s="2"/>
      <c r="G35" s="2"/>
      <c r="H35" s="2"/>
      <c r="I35" s="2"/>
    </row>
    <row r="36" spans="1:12">
      <c r="A36" s="71"/>
      <c r="B36" s="90">
        <v>5.0999999999999996</v>
      </c>
      <c r="C36" s="1" t="s">
        <v>395</v>
      </c>
      <c r="E36" s="51" t="s">
        <v>396</v>
      </c>
      <c r="F36" s="2" t="s">
        <v>397</v>
      </c>
      <c r="G36" s="2"/>
      <c r="I36" s="2"/>
    </row>
    <row r="37" spans="1:12">
      <c r="A37" s="70"/>
      <c r="B37" s="90"/>
      <c r="C37" s="1"/>
      <c r="E37" s="6"/>
      <c r="F37" s="8" t="s">
        <v>398</v>
      </c>
      <c r="G37" s="2"/>
      <c r="I37" s="2"/>
    </row>
    <row r="38" spans="1:12">
      <c r="A38" s="70"/>
      <c r="B38" s="90"/>
      <c r="C38" s="1"/>
      <c r="E38" s="6"/>
      <c r="F38" s="8" t="s">
        <v>399</v>
      </c>
      <c r="G38" s="2"/>
      <c r="I38" s="2"/>
    </row>
    <row r="39" spans="1:12">
      <c r="A39" s="70"/>
      <c r="B39" s="90">
        <v>5.2</v>
      </c>
      <c r="C39" s="1" t="s">
        <v>400</v>
      </c>
      <c r="F39" s="8" t="s">
        <v>401</v>
      </c>
      <c r="G39" s="2"/>
      <c r="I39" s="2"/>
    </row>
    <row r="40" spans="1:12">
      <c r="A40" s="70"/>
      <c r="B40" s="90"/>
      <c r="C40" s="1" t="s">
        <v>402</v>
      </c>
      <c r="F40" s="8" t="s">
        <v>403</v>
      </c>
      <c r="G40" s="2"/>
      <c r="I40" s="2"/>
    </row>
    <row r="41" spans="1:12">
      <c r="F41" s="22" t="s">
        <v>404</v>
      </c>
    </row>
    <row r="42" spans="1:12">
      <c r="A42" s="149" t="s">
        <v>405</v>
      </c>
      <c r="B42" s="58" t="s">
        <v>406</v>
      </c>
      <c r="F42" s="6" t="s">
        <v>407</v>
      </c>
    </row>
    <row r="43" spans="1:12">
      <c r="A43" s="149"/>
      <c r="B43" s="58" t="s">
        <v>408</v>
      </c>
      <c r="F43" s="6"/>
    </row>
    <row r="44" spans="1:12">
      <c r="A44" s="149" t="s">
        <v>409</v>
      </c>
      <c r="B44" s="58" t="s">
        <v>410</v>
      </c>
      <c r="F44" s="52" t="s">
        <v>411</v>
      </c>
    </row>
    <row r="45" spans="1:12">
      <c r="A45" s="90"/>
      <c r="B45" s="58" t="s">
        <v>412</v>
      </c>
      <c r="C45" s="58"/>
    </row>
    <row r="46" spans="1:12">
      <c r="A46" s="149" t="s">
        <v>23</v>
      </c>
      <c r="B46" s="5" t="s">
        <v>413</v>
      </c>
      <c r="F46" s="52" t="s">
        <v>414</v>
      </c>
      <c r="G46" s="6"/>
    </row>
    <row r="47" spans="1:12">
      <c r="A47" s="57"/>
      <c r="B47" s="5" t="s">
        <v>415</v>
      </c>
      <c r="C47" s="5"/>
      <c r="F47" s="6" t="s">
        <v>416</v>
      </c>
      <c r="G47" s="6"/>
    </row>
    <row r="48" spans="1:12">
      <c r="B48" s="57"/>
      <c r="F48" s="6" t="s">
        <v>417</v>
      </c>
      <c r="G48" s="6"/>
    </row>
    <row r="49" spans="1:9">
      <c r="B49" s="57"/>
      <c r="C49" s="5"/>
      <c r="F49" s="6" t="s">
        <v>418</v>
      </c>
      <c r="G49" s="6"/>
    </row>
    <row r="50" spans="1:9">
      <c r="A50" s="149" t="s">
        <v>419</v>
      </c>
      <c r="B50" s="68" t="s">
        <v>16</v>
      </c>
      <c r="F50" s="52" t="s">
        <v>420</v>
      </c>
    </row>
    <row r="51" spans="1:9">
      <c r="A51" s="57"/>
      <c r="B51" s="68" t="s">
        <v>421</v>
      </c>
      <c r="F51" s="6" t="s">
        <v>422</v>
      </c>
    </row>
    <row r="52" spans="1:9" s="83" customFormat="1" ht="24.75" customHeight="1">
      <c r="A52" s="3"/>
      <c r="B52" s="150" t="s">
        <v>423</v>
      </c>
      <c r="F52" s="2" t="s">
        <v>424</v>
      </c>
    </row>
    <row r="53" spans="1:9" ht="20.25" customHeight="1">
      <c r="A53" s="149" t="s">
        <v>425</v>
      </c>
      <c r="B53" s="58" t="s">
        <v>426</v>
      </c>
      <c r="F53" s="22" t="s">
        <v>427</v>
      </c>
    </row>
    <row r="54" spans="1:9" s="83" customFormat="1" ht="26.25" customHeight="1">
      <c r="B54" s="72" t="s">
        <v>428</v>
      </c>
      <c r="F54" s="132" t="s">
        <v>429</v>
      </c>
    </row>
    <row r="55" spans="1:9">
      <c r="A55" s="149" t="s">
        <v>430</v>
      </c>
      <c r="B55" s="68" t="s">
        <v>431</v>
      </c>
      <c r="F55" s="52" t="s">
        <v>432</v>
      </c>
    </row>
    <row r="56" spans="1:9">
      <c r="B56" s="57"/>
      <c r="C56" s="58"/>
      <c r="F56" s="6" t="s">
        <v>433</v>
      </c>
    </row>
    <row r="57" spans="1:9">
      <c r="B57" s="90"/>
      <c r="C57" s="90"/>
      <c r="F57" s="6" t="s">
        <v>434</v>
      </c>
    </row>
    <row r="58" spans="1:9">
      <c r="A58" s="55" t="s">
        <v>435</v>
      </c>
      <c r="B58" s="72" t="s">
        <v>436</v>
      </c>
      <c r="C58" s="69"/>
      <c r="D58" s="69"/>
      <c r="E58" s="6"/>
      <c r="F58" s="8" t="s">
        <v>437</v>
      </c>
      <c r="G58" s="6"/>
      <c r="H58" s="6"/>
      <c r="I58" s="6"/>
    </row>
    <row r="59" spans="1:9">
      <c r="A59" s="64"/>
      <c r="B59" s="58" t="s">
        <v>131</v>
      </c>
      <c r="D59" s="4"/>
      <c r="E59" s="2"/>
      <c r="F59" s="8" t="s">
        <v>438</v>
      </c>
      <c r="G59" s="6"/>
      <c r="H59" s="2"/>
      <c r="I59" s="2"/>
    </row>
    <row r="60" spans="1:9">
      <c r="A60" s="71"/>
      <c r="B60" s="3"/>
      <c r="C60" s="4"/>
      <c r="D60" s="4"/>
      <c r="E60" s="2"/>
      <c r="F60" s="8" t="s">
        <v>439</v>
      </c>
      <c r="G60" s="6"/>
      <c r="H60" s="2"/>
      <c r="I60" s="2"/>
    </row>
    <row r="61" spans="1:9" s="22" customFormat="1">
      <c r="A61" s="55" t="s">
        <v>440</v>
      </c>
      <c r="B61" s="58" t="s">
        <v>441</v>
      </c>
    </row>
    <row r="62" spans="1:9" s="22" customFormat="1">
      <c r="A62" s="55"/>
      <c r="B62" s="90">
        <v>13.1</v>
      </c>
      <c r="C62" s="1" t="s">
        <v>442</v>
      </c>
      <c r="D62" s="1"/>
      <c r="E62" s="8"/>
      <c r="F62" s="22" t="s">
        <v>443</v>
      </c>
      <c r="G62" s="8"/>
      <c r="H62" s="8"/>
    </row>
    <row r="63" spans="1:9" s="22" customFormat="1">
      <c r="A63" s="55"/>
      <c r="B63" s="90"/>
      <c r="C63" s="1" t="s">
        <v>444</v>
      </c>
      <c r="D63" s="1"/>
      <c r="E63" s="8"/>
      <c r="F63" s="6" t="s">
        <v>445</v>
      </c>
      <c r="G63" s="8"/>
      <c r="H63" s="8"/>
    </row>
    <row r="64" spans="1:9" s="22" customFormat="1">
      <c r="A64" s="55"/>
      <c r="B64" s="90">
        <v>13.2</v>
      </c>
      <c r="C64" s="1" t="s">
        <v>446</v>
      </c>
      <c r="D64" s="1"/>
      <c r="E64" s="8"/>
      <c r="F64" s="8" t="s">
        <v>447</v>
      </c>
      <c r="G64" s="8"/>
      <c r="H64" s="8"/>
    </row>
    <row r="65" spans="1:20" s="22" customFormat="1">
      <c r="A65" s="55"/>
      <c r="B65" s="90"/>
      <c r="C65" s="1" t="s">
        <v>448</v>
      </c>
      <c r="D65" s="1"/>
      <c r="E65" s="8"/>
      <c r="F65" s="8" t="s">
        <v>449</v>
      </c>
      <c r="G65" s="8"/>
      <c r="H65" s="8"/>
    </row>
    <row r="66" spans="1:20" s="22" customFormat="1">
      <c r="A66" s="55"/>
      <c r="B66" s="90"/>
      <c r="C66" s="1"/>
      <c r="D66" s="1"/>
      <c r="E66" s="8"/>
      <c r="F66" s="8" t="s">
        <v>450</v>
      </c>
      <c r="G66" s="8"/>
      <c r="H66" s="8"/>
    </row>
    <row r="67" spans="1:20" s="22" customFormat="1">
      <c r="A67" s="55" t="s">
        <v>451</v>
      </c>
      <c r="B67" s="58" t="s">
        <v>452</v>
      </c>
    </row>
    <row r="68" spans="1:20" s="22" customFormat="1">
      <c r="A68" s="33"/>
      <c r="B68" s="90">
        <v>14.1</v>
      </c>
      <c r="C68" s="58" t="s">
        <v>453</v>
      </c>
      <c r="F68" s="8" t="s">
        <v>454</v>
      </c>
    </row>
    <row r="69" spans="1:20" s="22" customFormat="1">
      <c r="A69" s="33"/>
      <c r="B69" s="33"/>
      <c r="F69" s="8" t="s">
        <v>455</v>
      </c>
    </row>
    <row r="70" spans="1:20" s="22" customFormat="1">
      <c r="A70" s="33"/>
      <c r="B70" s="90"/>
      <c r="C70" s="1"/>
      <c r="F70" s="52" t="s">
        <v>456</v>
      </c>
    </row>
    <row r="71" spans="1:20" s="22" customFormat="1">
      <c r="A71" s="33"/>
      <c r="B71" s="33"/>
      <c r="C71" s="1"/>
      <c r="F71" s="6" t="s">
        <v>457</v>
      </c>
    </row>
    <row r="72" spans="1:20" s="22" customFormat="1">
      <c r="A72" s="33"/>
      <c r="B72" s="56">
        <v>14.2</v>
      </c>
      <c r="C72" s="58" t="s">
        <v>458</v>
      </c>
      <c r="O72" s="12"/>
      <c r="P72" s="5"/>
      <c r="Q72" s="6"/>
      <c r="R72" s="6"/>
      <c r="S72" s="6"/>
      <c r="T72" s="6"/>
    </row>
    <row r="73" spans="1:20" s="22" customFormat="1">
      <c r="A73" s="33"/>
      <c r="B73" s="33"/>
      <c r="C73" s="6" t="s">
        <v>459</v>
      </c>
      <c r="G73" s="6" t="s">
        <v>460</v>
      </c>
      <c r="O73" s="9"/>
      <c r="P73" s="5"/>
      <c r="Q73" s="6"/>
      <c r="R73" s="6"/>
      <c r="S73" s="6"/>
      <c r="T73" s="6"/>
    </row>
    <row r="74" spans="1:20" s="22" customFormat="1">
      <c r="A74" s="33"/>
      <c r="B74" s="33"/>
      <c r="C74" s="6"/>
      <c r="G74" s="6" t="s">
        <v>461</v>
      </c>
      <c r="O74" s="9"/>
      <c r="P74" s="5"/>
      <c r="Q74" s="6"/>
      <c r="R74" s="6"/>
      <c r="S74" s="6"/>
      <c r="T74" s="6"/>
    </row>
    <row r="75" spans="1:20" s="22" customFormat="1">
      <c r="A75" s="33"/>
      <c r="B75" s="33"/>
      <c r="C75" s="6" t="s">
        <v>462</v>
      </c>
      <c r="G75" s="6" t="s">
        <v>463</v>
      </c>
      <c r="O75" s="9"/>
      <c r="R75" s="6"/>
      <c r="S75" s="6"/>
      <c r="T75" s="6"/>
    </row>
    <row r="76" spans="1:20">
      <c r="C76" s="6"/>
      <c r="G76" s="6" t="s">
        <v>464</v>
      </c>
      <c r="O76" s="9"/>
      <c r="R76" s="6"/>
      <c r="S76" s="6"/>
      <c r="T76" s="6"/>
    </row>
    <row r="77" spans="1:20">
      <c r="C77" s="6"/>
      <c r="G77" s="6" t="s">
        <v>465</v>
      </c>
      <c r="O77" s="9"/>
      <c r="R77" s="6"/>
      <c r="S77" s="6"/>
      <c r="T77" s="6"/>
    </row>
    <row r="78" spans="1:20">
      <c r="C78" s="6"/>
      <c r="G78" s="6" t="s">
        <v>9</v>
      </c>
      <c r="O78" s="9"/>
      <c r="R78" s="6"/>
      <c r="S78" s="6"/>
      <c r="T78" s="6"/>
    </row>
    <row r="79" spans="1:20">
      <c r="C79" s="6" t="s">
        <v>466</v>
      </c>
      <c r="G79" s="6" t="s">
        <v>467</v>
      </c>
      <c r="O79" s="9"/>
      <c r="R79" s="6"/>
      <c r="S79" s="6"/>
      <c r="T79" s="6"/>
    </row>
    <row r="80" spans="1:20">
      <c r="C80" s="6"/>
      <c r="G80" s="6" t="s">
        <v>468</v>
      </c>
      <c r="O80" s="9"/>
      <c r="R80" s="6"/>
      <c r="S80" s="6"/>
      <c r="T80" s="6"/>
    </row>
    <row r="81" spans="1:20">
      <c r="C81" s="6" t="s">
        <v>469</v>
      </c>
      <c r="G81" s="6" t="s">
        <v>470</v>
      </c>
      <c r="O81" s="9"/>
      <c r="R81" s="6"/>
      <c r="S81" s="6"/>
      <c r="T81" s="6"/>
    </row>
    <row r="82" spans="1:20">
      <c r="C82" s="6" t="s">
        <v>471</v>
      </c>
      <c r="G82" s="6" t="s">
        <v>470</v>
      </c>
      <c r="O82" s="9"/>
      <c r="R82" s="6"/>
      <c r="S82" s="6"/>
      <c r="T82" s="6"/>
    </row>
    <row r="83" spans="1:20">
      <c r="C83" s="6" t="s">
        <v>472</v>
      </c>
      <c r="G83" s="6" t="s">
        <v>473</v>
      </c>
      <c r="O83" s="9"/>
      <c r="R83" s="6"/>
      <c r="S83" s="6"/>
      <c r="T83" s="6"/>
    </row>
    <row r="84" spans="1:20">
      <c r="C84" s="6" t="s">
        <v>474</v>
      </c>
      <c r="G84" s="6" t="s">
        <v>473</v>
      </c>
      <c r="O84" s="9"/>
      <c r="R84" s="6"/>
      <c r="S84" s="6"/>
      <c r="T84" s="6"/>
    </row>
    <row r="85" spans="1:20">
      <c r="A85" s="71"/>
      <c r="B85" s="3"/>
      <c r="C85" s="4"/>
      <c r="D85" s="4"/>
      <c r="E85" s="132"/>
      <c r="F85" s="2"/>
      <c r="G85" s="2"/>
      <c r="H85" s="2"/>
      <c r="I85" s="2"/>
    </row>
    <row r="86" spans="1:20">
      <c r="A86" s="11" t="s">
        <v>475</v>
      </c>
      <c r="B86" s="148" t="s">
        <v>476</v>
      </c>
      <c r="F86" s="22" t="s">
        <v>477</v>
      </c>
    </row>
    <row r="87" spans="1:20">
      <c r="A87" s="6"/>
      <c r="B87" s="58" t="s">
        <v>478</v>
      </c>
      <c r="F87" s="22" t="s">
        <v>479</v>
      </c>
    </row>
    <row r="88" spans="1:20">
      <c r="B88" s="58" t="s">
        <v>480</v>
      </c>
      <c r="F88" s="22" t="s">
        <v>481</v>
      </c>
    </row>
    <row r="89" spans="1:20">
      <c r="B89" s="148" t="s">
        <v>482</v>
      </c>
    </row>
  </sheetData>
  <mergeCells count="3">
    <mergeCell ref="A1:L1"/>
    <mergeCell ref="A2:L2"/>
    <mergeCell ref="F34:L34"/>
  </mergeCells>
  <pageMargins left="0.27559055118110198" right="0.39370078740157499" top="0.39370078740157499" bottom="0.196850393700787" header="0.511811023622047" footer="0.511811023622047"/>
  <pageSetup paperSize="9" scale="94" orientation="portrait" r:id="rId1"/>
  <rowBreaks count="2" manualBreakCount="2">
    <brk id="41" max="11" man="1"/>
    <brk id="66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AF78-114D-4589-BD94-2B53B109A2F7}">
  <dimension ref="A1:P79"/>
  <sheetViews>
    <sheetView view="pageBreakPreview" topLeftCell="A42" zoomScaleNormal="100" zoomScaleSheetLayoutView="100" workbookViewId="0">
      <selection activeCell="F76" sqref="F76"/>
    </sheetView>
    <sheetView topLeftCell="A63" workbookViewId="1">
      <selection activeCell="N12" sqref="N12"/>
    </sheetView>
  </sheetViews>
  <sheetFormatPr defaultColWidth="9.140625" defaultRowHeight="21"/>
  <cols>
    <col min="1" max="1" width="4.28515625" style="233" customWidth="1"/>
    <col min="2" max="2" width="34.42578125" style="233" customWidth="1"/>
    <col min="3" max="3" width="8.7109375" style="233" customWidth="1"/>
    <col min="4" max="4" width="9.42578125" style="233" bestFit="1" customWidth="1"/>
    <col min="5" max="5" width="15" style="233" bestFit="1" customWidth="1"/>
    <col min="6" max="6" width="16.42578125" style="233" customWidth="1"/>
    <col min="7" max="7" width="9.42578125" style="233" customWidth="1"/>
    <col min="8" max="8" width="16" style="233" customWidth="1"/>
    <col min="9" max="9" width="9.85546875" style="233" bestFit="1" customWidth="1"/>
    <col min="10" max="10" width="9.7109375" style="233" customWidth="1"/>
    <col min="11" max="11" width="12.85546875" style="231" customWidth="1"/>
    <col min="12" max="12" width="13" style="231" bestFit="1" customWidth="1"/>
    <col min="13" max="16" width="14.140625" style="233" bestFit="1" customWidth="1"/>
    <col min="17" max="16384" width="9.140625" style="233"/>
  </cols>
  <sheetData>
    <row r="1" spans="1:16">
      <c r="K1" s="303" t="s">
        <v>9</v>
      </c>
    </row>
    <row r="2" spans="1:16" ht="26.25">
      <c r="A2" s="546" t="s">
        <v>483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</row>
    <row r="3" spans="1:16" ht="26.25">
      <c r="A3" s="546" t="s">
        <v>484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</row>
    <row r="4" spans="1:16" ht="26.25">
      <c r="A4" s="546" t="s">
        <v>485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</row>
    <row r="5" spans="1:16" ht="26.25">
      <c r="A5" s="546" t="s">
        <v>486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</row>
    <row r="6" spans="1:16">
      <c r="A6" s="547" t="s">
        <v>487</v>
      </c>
      <c r="B6" s="548"/>
      <c r="C6" s="548"/>
      <c r="D6" s="548"/>
      <c r="E6" s="548"/>
      <c r="F6" s="548"/>
      <c r="G6" s="548"/>
      <c r="H6" s="548"/>
      <c r="I6" s="548"/>
      <c r="J6" s="548"/>
      <c r="K6" s="548"/>
      <c r="L6" s="548"/>
    </row>
    <row r="7" spans="1:16">
      <c r="A7" s="224" t="s">
        <v>488</v>
      </c>
      <c r="B7" s="299"/>
      <c r="C7" s="302"/>
      <c r="D7" s="301"/>
      <c r="E7" s="301"/>
      <c r="F7" s="301"/>
      <c r="G7" s="301"/>
      <c r="H7" s="301"/>
      <c r="I7" s="301"/>
      <c r="J7" s="301"/>
      <c r="K7" s="222"/>
      <c r="L7" s="300"/>
    </row>
    <row r="8" spans="1:16" s="231" customFormat="1" ht="21" customHeight="1">
      <c r="A8" s="221" t="s">
        <v>489</v>
      </c>
      <c r="B8" s="221"/>
      <c r="C8" s="220"/>
      <c r="D8" s="219"/>
      <c r="E8" s="217"/>
      <c r="F8" s="218"/>
      <c r="G8" s="217"/>
      <c r="H8" s="217"/>
      <c r="I8" s="217"/>
      <c r="J8" s="217"/>
      <c r="K8" s="300"/>
      <c r="L8" s="217"/>
    </row>
    <row r="9" spans="1:16" ht="13.5" customHeight="1">
      <c r="A9" s="224"/>
      <c r="B9" s="299"/>
      <c r="C9" s="298"/>
      <c r="D9" s="296"/>
      <c r="E9" s="297"/>
      <c r="F9" s="296"/>
      <c r="G9" s="296"/>
      <c r="H9" s="296"/>
      <c r="I9" s="296"/>
      <c r="J9" s="296"/>
      <c r="K9" s="217"/>
      <c r="L9" s="300"/>
    </row>
    <row r="10" spans="1:16" ht="23.25" customHeight="1">
      <c r="A10" s="549" t="s">
        <v>30</v>
      </c>
      <c r="B10" s="551" t="s">
        <v>490</v>
      </c>
      <c r="C10" s="553" t="s">
        <v>491</v>
      </c>
      <c r="D10" s="294" t="s">
        <v>492</v>
      </c>
      <c r="E10" s="555" t="s">
        <v>493</v>
      </c>
      <c r="F10" s="556"/>
      <c r="G10" s="557"/>
      <c r="H10" s="558" t="s">
        <v>494</v>
      </c>
      <c r="I10" s="560" t="s">
        <v>495</v>
      </c>
      <c r="J10" s="561"/>
      <c r="K10" s="562" t="s">
        <v>496</v>
      </c>
    </row>
    <row r="11" spans="1:16" ht="36" customHeight="1">
      <c r="A11" s="550"/>
      <c r="B11" s="552"/>
      <c r="C11" s="554"/>
      <c r="D11" s="293" t="s">
        <v>497</v>
      </c>
      <c r="E11" s="292" t="s">
        <v>498</v>
      </c>
      <c r="F11" s="291" t="s">
        <v>499</v>
      </c>
      <c r="G11" s="290" t="s">
        <v>60</v>
      </c>
      <c r="H11" s="559"/>
      <c r="I11" s="290" t="s">
        <v>500</v>
      </c>
      <c r="J11" s="290" t="s">
        <v>238</v>
      </c>
      <c r="K11" s="563"/>
      <c r="L11" s="231" t="s">
        <v>501</v>
      </c>
      <c r="M11" s="233" t="s">
        <v>502</v>
      </c>
      <c r="N11" s="233" t="s">
        <v>503</v>
      </c>
      <c r="O11" s="233" t="s">
        <v>504</v>
      </c>
    </row>
    <row r="12" spans="1:16" ht="23.25" customHeight="1">
      <c r="A12" s="267">
        <v>1</v>
      </c>
      <c r="B12" s="271" t="s">
        <v>505</v>
      </c>
      <c r="C12" s="261">
        <f>'[1]010-1'!E9</f>
        <v>359</v>
      </c>
      <c r="D12" s="259">
        <f>'[1]010-1'!D9</f>
        <v>260000</v>
      </c>
      <c r="E12" s="259"/>
      <c r="F12" s="259"/>
      <c r="G12" s="545" t="s">
        <v>506</v>
      </c>
      <c r="H12" s="259">
        <f>C12*D12</f>
        <v>93340000</v>
      </c>
      <c r="I12" s="261">
        <v>0</v>
      </c>
      <c r="J12" s="261">
        <f>H12</f>
        <v>93340000</v>
      </c>
      <c r="K12" s="258" t="s">
        <v>507</v>
      </c>
      <c r="L12" s="289">
        <f>I26+I28+I52+I54</f>
        <v>8998722</v>
      </c>
      <c r="M12" s="288">
        <f>H42+H45+H48+H50</f>
        <v>8118640</v>
      </c>
      <c r="N12" s="288">
        <f>J12+J19+J58+J61+J63+J65+J67+J69+J71+J73+J75</f>
        <v>136368130</v>
      </c>
      <c r="O12" s="288">
        <f>J30+J36+J56</f>
        <v>90237200</v>
      </c>
      <c r="P12" s="288">
        <f>SUM(L12:O12)</f>
        <v>243722692</v>
      </c>
    </row>
    <row r="13" spans="1:16">
      <c r="A13" s="267"/>
      <c r="B13" s="271" t="s">
        <v>508</v>
      </c>
      <c r="C13" s="261"/>
      <c r="D13" s="259"/>
      <c r="E13" s="259"/>
      <c r="F13" s="259"/>
      <c r="G13" s="545"/>
      <c r="H13" s="259"/>
      <c r="I13" s="261"/>
      <c r="J13" s="261"/>
      <c r="K13" s="263"/>
    </row>
    <row r="14" spans="1:16">
      <c r="A14" s="267"/>
      <c r="B14" s="271" t="s">
        <v>509</v>
      </c>
      <c r="C14" s="261"/>
      <c r="D14" s="259"/>
      <c r="E14" s="259"/>
      <c r="F14" s="259"/>
      <c r="G14" s="259"/>
      <c r="H14" s="259"/>
      <c r="I14" s="261"/>
      <c r="J14" s="261"/>
      <c r="K14" s="263"/>
    </row>
    <row r="15" spans="1:16">
      <c r="A15" s="267"/>
      <c r="B15" s="287" t="s">
        <v>510</v>
      </c>
      <c r="C15" s="261"/>
      <c r="D15" s="259"/>
      <c r="E15" s="259"/>
      <c r="F15" s="259"/>
      <c r="G15" s="259"/>
      <c r="H15" s="259"/>
      <c r="I15" s="261"/>
      <c r="J15" s="261"/>
      <c r="K15" s="263"/>
    </row>
    <row r="16" spans="1:16">
      <c r="A16" s="267"/>
      <c r="B16" s="271" t="s">
        <v>511</v>
      </c>
      <c r="C16" s="261"/>
      <c r="D16" s="259"/>
      <c r="E16" s="259"/>
      <c r="F16" s="259"/>
      <c r="G16" s="259"/>
      <c r="H16" s="259"/>
      <c r="I16" s="261"/>
      <c r="J16" s="261"/>
      <c r="K16" s="263"/>
    </row>
    <row r="17" spans="1:11">
      <c r="A17" s="267"/>
      <c r="B17" s="271" t="s">
        <v>512</v>
      </c>
      <c r="C17" s="261"/>
      <c r="D17" s="259"/>
      <c r="E17" s="259"/>
      <c r="F17" s="259"/>
      <c r="G17" s="259"/>
      <c r="H17" s="259"/>
      <c r="I17" s="261"/>
      <c r="J17" s="261"/>
      <c r="K17" s="263"/>
    </row>
    <row r="18" spans="1:11" ht="31.5">
      <c r="A18" s="267"/>
      <c r="B18" s="272" t="s">
        <v>513</v>
      </c>
      <c r="C18" s="261"/>
      <c r="D18" s="259"/>
      <c r="E18" s="259"/>
      <c r="F18" s="259"/>
      <c r="G18" s="259"/>
      <c r="H18" s="259"/>
      <c r="I18" s="261"/>
      <c r="J18" s="261"/>
      <c r="K18" s="263"/>
    </row>
    <row r="19" spans="1:11" ht="20.45" customHeight="1">
      <c r="A19" s="267">
        <v>2</v>
      </c>
      <c r="B19" s="271" t="s">
        <v>505</v>
      </c>
      <c r="C19" s="261">
        <f>'[1]010-1'!E10</f>
        <v>90</v>
      </c>
      <c r="D19" s="261">
        <f>'[1]010-1'!D10</f>
        <v>260000</v>
      </c>
      <c r="E19" s="259"/>
      <c r="F19" s="259"/>
      <c r="G19" s="545" t="s">
        <v>506</v>
      </c>
      <c r="H19" s="259">
        <f>C19*D19</f>
        <v>23400000</v>
      </c>
      <c r="I19" s="261">
        <v>0</v>
      </c>
      <c r="J19" s="261">
        <f>H19</f>
        <v>23400000</v>
      </c>
      <c r="K19" s="258" t="s">
        <v>507</v>
      </c>
    </row>
    <row r="20" spans="1:11">
      <c r="A20" s="267"/>
      <c r="B20" s="271" t="s">
        <v>514</v>
      </c>
      <c r="C20" s="261"/>
      <c r="D20" s="259"/>
      <c r="E20" s="259"/>
      <c r="F20" s="259"/>
      <c r="G20" s="545"/>
      <c r="H20" s="259"/>
      <c r="I20" s="261"/>
      <c r="J20" s="261"/>
      <c r="K20" s="251"/>
    </row>
    <row r="21" spans="1:11">
      <c r="A21" s="267"/>
      <c r="B21" s="271" t="s">
        <v>515</v>
      </c>
      <c r="C21" s="261"/>
      <c r="D21" s="259"/>
      <c r="E21" s="259"/>
      <c r="F21" s="259"/>
      <c r="G21" s="259"/>
      <c r="H21" s="259"/>
      <c r="I21" s="261"/>
      <c r="J21" s="261"/>
      <c r="K21" s="283"/>
    </row>
    <row r="22" spans="1:11">
      <c r="A22" s="267"/>
      <c r="B22" s="287" t="s">
        <v>510</v>
      </c>
      <c r="C22" s="261"/>
      <c r="D22" s="259"/>
      <c r="E22" s="259"/>
      <c r="F22" s="259"/>
      <c r="G22" s="259"/>
      <c r="H22" s="259"/>
      <c r="I22" s="261"/>
      <c r="J22" s="261"/>
      <c r="K22" s="251"/>
    </row>
    <row r="23" spans="1:11">
      <c r="A23" s="267"/>
      <c r="B23" s="271" t="s">
        <v>511</v>
      </c>
      <c r="C23" s="261"/>
      <c r="D23" s="259"/>
      <c r="E23" s="259"/>
      <c r="F23" s="259"/>
      <c r="G23" s="259"/>
      <c r="H23" s="259"/>
      <c r="I23" s="261"/>
      <c r="J23" s="261"/>
      <c r="K23" s="283"/>
    </row>
    <row r="24" spans="1:11">
      <c r="A24" s="267"/>
      <c r="B24" s="271" t="s">
        <v>512</v>
      </c>
      <c r="C24" s="261"/>
      <c r="D24" s="259"/>
      <c r="E24" s="259"/>
      <c r="F24" s="259"/>
      <c r="G24" s="259"/>
      <c r="H24" s="259"/>
      <c r="I24" s="261"/>
      <c r="J24" s="261"/>
      <c r="K24" s="282"/>
    </row>
    <row r="25" spans="1:11" ht="31.5">
      <c r="A25" s="267"/>
      <c r="B25" s="272" t="s">
        <v>516</v>
      </c>
      <c r="C25" s="261"/>
      <c r="D25" s="259"/>
      <c r="E25" s="259"/>
      <c r="F25" s="259"/>
      <c r="G25" s="259"/>
      <c r="H25" s="259"/>
      <c r="I25" s="261"/>
      <c r="J25" s="261"/>
      <c r="K25" s="282"/>
    </row>
    <row r="26" spans="1:11">
      <c r="A26" s="267">
        <v>3</v>
      </c>
      <c r="B26" s="271" t="s">
        <v>517</v>
      </c>
      <c r="C26" s="261">
        <f>'[1]010-1'!E11</f>
        <v>750</v>
      </c>
      <c r="D26" s="259">
        <f>'[1]010-1'!D11</f>
        <v>9357</v>
      </c>
      <c r="E26" s="259"/>
      <c r="F26" s="259"/>
      <c r="G26" s="545" t="s">
        <v>518</v>
      </c>
      <c r="H26" s="398">
        <f>C26*D26</f>
        <v>7017750</v>
      </c>
      <c r="I26" s="261">
        <v>0</v>
      </c>
      <c r="J26" s="261">
        <v>0</v>
      </c>
      <c r="K26" s="399" t="s">
        <v>519</v>
      </c>
    </row>
    <row r="27" spans="1:11">
      <c r="A27" s="267"/>
      <c r="B27" s="273" t="s">
        <v>520</v>
      </c>
      <c r="C27" s="261"/>
      <c r="D27" s="259"/>
      <c r="E27" s="259"/>
      <c r="F27" s="259"/>
      <c r="G27" s="545"/>
      <c r="H27" s="398" t="s">
        <v>521</v>
      </c>
      <c r="I27" s="261"/>
      <c r="J27" s="261"/>
      <c r="K27" s="251"/>
    </row>
    <row r="28" spans="1:11" ht="31.5">
      <c r="A28" s="267">
        <v>4</v>
      </c>
      <c r="B28" s="271" t="s">
        <v>522</v>
      </c>
      <c r="C28" s="261">
        <f>'[1]010-1'!E12</f>
        <v>225</v>
      </c>
      <c r="D28" s="259">
        <f>'[1]010-1'!D12</f>
        <v>7886</v>
      </c>
      <c r="E28" s="259"/>
      <c r="F28" s="259"/>
      <c r="G28" s="545" t="s">
        <v>518</v>
      </c>
      <c r="H28" s="398">
        <f>C28*D28</f>
        <v>1774350</v>
      </c>
      <c r="I28" s="261">
        <v>0</v>
      </c>
      <c r="J28" s="261">
        <v>0</v>
      </c>
      <c r="K28" s="399" t="s">
        <v>519</v>
      </c>
    </row>
    <row r="29" spans="1:11">
      <c r="A29" s="267"/>
      <c r="B29" s="273" t="s">
        <v>523</v>
      </c>
      <c r="C29" s="261"/>
      <c r="D29" s="259"/>
      <c r="E29" s="259"/>
      <c r="F29" s="259"/>
      <c r="G29" s="545"/>
      <c r="H29" s="398" t="s">
        <v>521</v>
      </c>
      <c r="I29" s="261"/>
      <c r="J29" s="261"/>
      <c r="K29" s="251"/>
    </row>
    <row r="30" spans="1:11">
      <c r="A30" s="267">
        <v>5</v>
      </c>
      <c r="B30" s="271" t="s">
        <v>524</v>
      </c>
      <c r="C30" s="261">
        <f>'[1]010-1'!E13</f>
        <v>203</v>
      </c>
      <c r="D30" s="259">
        <f>'[1]010-1'!D13</f>
        <v>238400</v>
      </c>
      <c r="E30" s="259"/>
      <c r="F30" s="259"/>
      <c r="G30" s="545" t="s">
        <v>518</v>
      </c>
      <c r="H30" s="259">
        <f>C30*D30</f>
        <v>48395200</v>
      </c>
      <c r="I30" s="261"/>
      <c r="J30" s="261">
        <f>H30</f>
        <v>48395200</v>
      </c>
      <c r="K30" s="251" t="s">
        <v>525</v>
      </c>
    </row>
    <row r="31" spans="1:11">
      <c r="A31" s="267"/>
      <c r="B31" s="284" t="s">
        <v>526</v>
      </c>
      <c r="C31" s="265"/>
      <c r="D31" s="286"/>
      <c r="E31" s="285"/>
      <c r="F31" s="285"/>
      <c r="G31" s="545"/>
      <c r="H31" s="285"/>
      <c r="I31" s="265"/>
      <c r="J31" s="265"/>
      <c r="K31" s="251"/>
    </row>
    <row r="32" spans="1:11" ht="31.5">
      <c r="A32" s="267"/>
      <c r="B32" s="271" t="s">
        <v>527</v>
      </c>
      <c r="C32" s="261"/>
      <c r="D32" s="259"/>
      <c r="E32" s="259"/>
      <c r="F32" s="259"/>
      <c r="G32" s="259"/>
      <c r="H32" s="259"/>
      <c r="I32" s="261"/>
      <c r="J32" s="261"/>
      <c r="K32" s="251"/>
    </row>
    <row r="33" spans="1:11" ht="31.5">
      <c r="A33" s="267"/>
      <c r="B33" s="271" t="s">
        <v>528</v>
      </c>
      <c r="C33" s="261"/>
      <c r="D33" s="259"/>
      <c r="E33" s="259"/>
      <c r="F33" s="259"/>
      <c r="G33" s="259"/>
      <c r="H33" s="259"/>
      <c r="I33" s="261"/>
      <c r="J33" s="261"/>
      <c r="K33" s="251"/>
    </row>
    <row r="34" spans="1:11">
      <c r="A34" s="267"/>
      <c r="B34" s="271" t="s">
        <v>529</v>
      </c>
      <c r="C34" s="261"/>
      <c r="D34" s="259"/>
      <c r="E34" s="259"/>
      <c r="F34" s="259"/>
      <c r="G34" s="259"/>
      <c r="H34" s="259"/>
      <c r="I34" s="261"/>
      <c r="J34" s="261"/>
      <c r="K34" s="251"/>
    </row>
    <row r="35" spans="1:11" ht="31.5">
      <c r="A35" s="267"/>
      <c r="B35" s="272" t="s">
        <v>530</v>
      </c>
      <c r="C35" s="261"/>
      <c r="D35" s="259"/>
      <c r="E35" s="259"/>
      <c r="F35" s="259"/>
      <c r="G35" s="259"/>
      <c r="H35" s="259"/>
      <c r="I35" s="261"/>
      <c r="J35" s="261"/>
      <c r="K35" s="282"/>
    </row>
    <row r="36" spans="1:11">
      <c r="A36" s="267">
        <v>6</v>
      </c>
      <c r="B36" s="271" t="s">
        <v>524</v>
      </c>
      <c r="C36" s="261">
        <f>'[1]010-1'!E14</f>
        <v>34</v>
      </c>
      <c r="D36" s="259">
        <f>'[1]010-1'!D14</f>
        <v>313000</v>
      </c>
      <c r="E36" s="259"/>
      <c r="F36" s="259"/>
      <c r="G36" s="545" t="s">
        <v>518</v>
      </c>
      <c r="H36" s="259">
        <f>C36*D36</f>
        <v>10642000</v>
      </c>
      <c r="I36" s="261"/>
      <c r="J36" s="261">
        <f>H36</f>
        <v>10642000</v>
      </c>
      <c r="K36" s="251" t="s">
        <v>525</v>
      </c>
    </row>
    <row r="37" spans="1:11">
      <c r="A37" s="267"/>
      <c r="B37" s="284" t="s">
        <v>531</v>
      </c>
      <c r="C37" s="261"/>
      <c r="D37" s="259"/>
      <c r="E37" s="259"/>
      <c r="G37" s="545"/>
      <c r="H37" s="259"/>
      <c r="I37" s="261"/>
      <c r="J37" s="261"/>
      <c r="K37" s="283"/>
    </row>
    <row r="38" spans="1:11" ht="31.5">
      <c r="A38" s="267"/>
      <c r="B38" s="271" t="s">
        <v>527</v>
      </c>
      <c r="C38" s="261"/>
      <c r="D38" s="259"/>
      <c r="E38" s="259"/>
      <c r="F38" s="259"/>
      <c r="G38" s="259"/>
      <c r="H38" s="259"/>
      <c r="I38" s="261"/>
      <c r="J38" s="261"/>
      <c r="K38" s="283"/>
    </row>
    <row r="39" spans="1:11" ht="31.5">
      <c r="A39" s="267"/>
      <c r="B39" s="271" t="s">
        <v>528</v>
      </c>
      <c r="C39" s="261"/>
      <c r="D39" s="259"/>
      <c r="E39" s="259"/>
      <c r="F39" s="259"/>
      <c r="G39" s="259"/>
      <c r="H39" s="259"/>
      <c r="I39" s="261"/>
      <c r="J39" s="261"/>
      <c r="K39" s="282"/>
    </row>
    <row r="40" spans="1:11">
      <c r="A40" s="267"/>
      <c r="B40" s="271" t="s">
        <v>532</v>
      </c>
      <c r="C40" s="261"/>
      <c r="D40" s="259"/>
      <c r="E40" s="259"/>
      <c r="F40" s="259"/>
      <c r="G40" s="259"/>
      <c r="H40" s="259"/>
      <c r="I40" s="261"/>
      <c r="J40" s="261"/>
      <c r="K40" s="282"/>
    </row>
    <row r="41" spans="1:11" ht="31.5">
      <c r="A41" s="281"/>
      <c r="B41" s="280" t="s">
        <v>533</v>
      </c>
      <c r="C41" s="278"/>
      <c r="D41" s="279"/>
      <c r="E41" s="279"/>
      <c r="F41" s="279"/>
      <c r="G41" s="279"/>
      <c r="H41" s="279"/>
      <c r="I41" s="278"/>
      <c r="J41" s="278"/>
      <c r="K41" s="277"/>
    </row>
    <row r="42" spans="1:11" ht="21" customHeight="1">
      <c r="A42" s="400">
        <v>7</v>
      </c>
      <c r="B42" s="401" t="s">
        <v>534</v>
      </c>
      <c r="C42" s="276">
        <f>'[1]010-1'!E15</f>
        <v>65</v>
      </c>
      <c r="D42" s="402">
        <f>'[1]010-1'!D15</f>
        <v>51360</v>
      </c>
      <c r="E42" s="402"/>
      <c r="F42" s="402"/>
      <c r="G42" s="565" t="s">
        <v>535</v>
      </c>
      <c r="H42" s="402">
        <f>C42*D42</f>
        <v>3338400</v>
      </c>
      <c r="I42" s="276">
        <f>H42</f>
        <v>3338400</v>
      </c>
      <c r="J42" s="276">
        <v>0</v>
      </c>
      <c r="K42" s="275" t="s">
        <v>536</v>
      </c>
    </row>
    <row r="43" spans="1:11">
      <c r="A43" s="267"/>
      <c r="B43" s="271" t="s">
        <v>537</v>
      </c>
      <c r="C43" s="261"/>
      <c r="D43" s="259"/>
      <c r="E43" s="259"/>
      <c r="F43" s="259"/>
      <c r="G43" s="566"/>
      <c r="H43" s="259"/>
      <c r="I43" s="261"/>
      <c r="J43" s="261"/>
      <c r="K43" s="251"/>
    </row>
    <row r="44" spans="1:11">
      <c r="A44" s="267"/>
      <c r="B44" s="273" t="s">
        <v>538</v>
      </c>
      <c r="C44" s="261"/>
      <c r="D44" s="259"/>
      <c r="E44" s="259"/>
      <c r="F44" s="259"/>
      <c r="G44" s="566"/>
      <c r="H44" s="259"/>
      <c r="I44" s="261"/>
      <c r="J44" s="261"/>
      <c r="K44" s="251"/>
    </row>
    <row r="45" spans="1:11">
      <c r="A45" s="267">
        <v>8</v>
      </c>
      <c r="B45" s="271" t="s">
        <v>539</v>
      </c>
      <c r="C45" s="261">
        <f>'[1]010-1'!E16</f>
        <v>16</v>
      </c>
      <c r="D45" s="259">
        <f>'[1]010-1'!D16</f>
        <v>61030</v>
      </c>
      <c r="E45" s="259"/>
      <c r="F45" s="259"/>
      <c r="G45" s="566" t="s">
        <v>535</v>
      </c>
      <c r="H45" s="259">
        <f>C45*D45</f>
        <v>976480</v>
      </c>
      <c r="I45" s="261">
        <f>H45</f>
        <v>976480</v>
      </c>
      <c r="J45" s="261">
        <v>0</v>
      </c>
      <c r="K45" s="258" t="s">
        <v>536</v>
      </c>
    </row>
    <row r="46" spans="1:11">
      <c r="A46" s="267"/>
      <c r="B46" s="271" t="s">
        <v>537</v>
      </c>
      <c r="C46" s="261"/>
      <c r="D46" s="259"/>
      <c r="E46" s="259"/>
      <c r="F46" s="259"/>
      <c r="G46" s="566"/>
      <c r="H46" s="259"/>
      <c r="I46" s="261"/>
      <c r="J46" s="261"/>
      <c r="K46" s="274"/>
    </row>
    <row r="47" spans="1:11">
      <c r="A47" s="267"/>
      <c r="B47" s="273" t="s">
        <v>540</v>
      </c>
      <c r="C47" s="261"/>
      <c r="D47" s="259"/>
      <c r="E47" s="259"/>
      <c r="F47" s="259"/>
      <c r="G47" s="566"/>
      <c r="H47" s="259"/>
      <c r="I47" s="261"/>
      <c r="J47" s="261"/>
      <c r="K47" s="274"/>
    </row>
    <row r="48" spans="1:11" ht="21" customHeight="1">
      <c r="A48" s="267">
        <v>9</v>
      </c>
      <c r="B48" s="271" t="s">
        <v>541</v>
      </c>
      <c r="C48" s="261">
        <f>'[1]010-1'!E17</f>
        <v>164</v>
      </c>
      <c r="D48" s="259">
        <f>'[1]010-1'!D17</f>
        <v>19090</v>
      </c>
      <c r="E48" s="259"/>
      <c r="F48" s="259"/>
      <c r="G48" s="567" t="s">
        <v>535</v>
      </c>
      <c r="H48" s="259">
        <f>C48*D48</f>
        <v>3130760</v>
      </c>
      <c r="I48" s="261">
        <f>D48*C48</f>
        <v>3130760</v>
      </c>
      <c r="J48" s="261">
        <v>0</v>
      </c>
      <c r="K48" s="258" t="s">
        <v>536</v>
      </c>
    </row>
    <row r="49" spans="1:11" ht="31.5">
      <c r="A49" s="267"/>
      <c r="B49" s="273" t="s">
        <v>542</v>
      </c>
      <c r="C49" s="261"/>
      <c r="D49" s="259"/>
      <c r="E49" s="259"/>
      <c r="F49" s="259"/>
      <c r="G49" s="567"/>
      <c r="H49" s="259"/>
      <c r="I49" s="261"/>
      <c r="J49" s="261"/>
      <c r="K49" s="263"/>
    </row>
    <row r="50" spans="1:11">
      <c r="A50" s="267">
        <v>10</v>
      </c>
      <c r="B50" s="271" t="s">
        <v>543</v>
      </c>
      <c r="C50" s="261">
        <f>'[1]010-1'!E18</f>
        <v>20</v>
      </c>
      <c r="D50" s="259">
        <f>'[1]010-1'!D18</f>
        <v>33650</v>
      </c>
      <c r="E50" s="259"/>
      <c r="F50" s="259"/>
      <c r="G50" s="567" t="s">
        <v>535</v>
      </c>
      <c r="H50" s="259">
        <f>C50*D50</f>
        <v>673000</v>
      </c>
      <c r="I50" s="261">
        <f>D50*C50</f>
        <v>673000</v>
      </c>
      <c r="J50" s="261">
        <v>0</v>
      </c>
      <c r="K50" s="258" t="s">
        <v>536</v>
      </c>
    </row>
    <row r="51" spans="1:11" ht="31.5">
      <c r="A51" s="267"/>
      <c r="B51" s="273" t="s">
        <v>544</v>
      </c>
      <c r="C51" s="261"/>
      <c r="D51" s="259"/>
      <c r="E51" s="259"/>
      <c r="F51" s="259"/>
      <c r="G51" s="567"/>
      <c r="H51" s="259"/>
      <c r="I51" s="261"/>
      <c r="J51" s="261"/>
      <c r="K51" s="263"/>
    </row>
    <row r="52" spans="1:11">
      <c r="A52" s="267">
        <v>11</v>
      </c>
      <c r="B52" s="271" t="s">
        <v>545</v>
      </c>
      <c r="C52" s="261">
        <f>'[1]010-1'!E19</f>
        <v>1296</v>
      </c>
      <c r="D52" s="259">
        <f>'[1]010-1'!D19</f>
        <v>5222</v>
      </c>
      <c r="E52" s="259"/>
      <c r="F52" s="259"/>
      <c r="G52" s="545" t="s">
        <v>518</v>
      </c>
      <c r="H52" s="259">
        <f>C52*D52</f>
        <v>6767712</v>
      </c>
      <c r="I52" s="261">
        <f>H52</f>
        <v>6767712</v>
      </c>
      <c r="J52" s="261">
        <v>0</v>
      </c>
      <c r="K52" s="251" t="s">
        <v>519</v>
      </c>
    </row>
    <row r="53" spans="1:11">
      <c r="A53" s="267"/>
      <c r="B53" s="273" t="s">
        <v>546</v>
      </c>
      <c r="C53" s="261"/>
      <c r="D53" s="259"/>
      <c r="E53" s="259"/>
      <c r="F53" s="259"/>
      <c r="G53" s="545"/>
      <c r="H53" s="259"/>
      <c r="I53" s="261"/>
      <c r="J53" s="261"/>
      <c r="K53" s="251"/>
    </row>
    <row r="54" spans="1:11">
      <c r="A54" s="267">
        <v>12</v>
      </c>
      <c r="B54" s="271" t="s">
        <v>547</v>
      </c>
      <c r="C54" s="261">
        <f>'[1]010-1'!E20</f>
        <v>270</v>
      </c>
      <c r="D54" s="259">
        <f>'[1]010-1'!D20</f>
        <v>8263</v>
      </c>
      <c r="E54" s="259"/>
      <c r="F54" s="259"/>
      <c r="G54" s="545" t="s">
        <v>518</v>
      </c>
      <c r="H54" s="259">
        <f>C54*D54</f>
        <v>2231010</v>
      </c>
      <c r="I54" s="261">
        <f>H54</f>
        <v>2231010</v>
      </c>
      <c r="J54" s="261">
        <v>0</v>
      </c>
      <c r="K54" s="251" t="s">
        <v>519</v>
      </c>
    </row>
    <row r="55" spans="1:11">
      <c r="A55" s="267"/>
      <c r="B55" s="273" t="s">
        <v>548</v>
      </c>
      <c r="C55" s="261"/>
      <c r="D55" s="259"/>
      <c r="E55" s="259"/>
      <c r="F55" s="259"/>
      <c r="G55" s="545"/>
      <c r="H55" s="259"/>
      <c r="I55" s="261"/>
      <c r="J55" s="261"/>
      <c r="K55" s="251"/>
    </row>
    <row r="56" spans="1:11" ht="47.25">
      <c r="A56" s="267">
        <v>13</v>
      </c>
      <c r="B56" s="272" t="s">
        <v>549</v>
      </c>
      <c r="C56" s="261">
        <f>'[1]010-1'!E21</f>
        <v>8</v>
      </c>
      <c r="D56" s="259">
        <f>'[1]010-1'!D21</f>
        <v>3900000</v>
      </c>
      <c r="E56" s="259"/>
      <c r="F56" s="259"/>
      <c r="G56" s="567" t="s">
        <v>535</v>
      </c>
      <c r="H56" s="259">
        <f>C56*D56</f>
        <v>31200000</v>
      </c>
      <c r="I56" s="261"/>
      <c r="J56" s="261">
        <f>H56</f>
        <v>31200000</v>
      </c>
      <c r="K56" s="251" t="s">
        <v>525</v>
      </c>
    </row>
    <row r="57" spans="1:11">
      <c r="A57" s="267"/>
      <c r="B57" s="266" t="s">
        <v>550</v>
      </c>
      <c r="C57" s="261"/>
      <c r="D57" s="259"/>
      <c r="E57" s="259"/>
      <c r="F57" s="259"/>
      <c r="G57" s="567"/>
      <c r="H57" s="259"/>
      <c r="I57" s="261"/>
      <c r="J57" s="261"/>
      <c r="K57" s="251"/>
    </row>
    <row r="58" spans="1:11" ht="31.5">
      <c r="A58" s="267">
        <v>14</v>
      </c>
      <c r="B58" s="271" t="s">
        <v>551</v>
      </c>
      <c r="C58" s="265">
        <f>'[1]010-1'!E22</f>
        <v>6</v>
      </c>
      <c r="D58" s="259">
        <f>'[1]010-1'!D22</f>
        <v>406900</v>
      </c>
      <c r="E58" s="259"/>
      <c r="F58" s="259"/>
      <c r="G58" s="545" t="s">
        <v>518</v>
      </c>
      <c r="H58" s="259">
        <f>C58*D58</f>
        <v>2441400</v>
      </c>
      <c r="I58" s="265">
        <v>0</v>
      </c>
      <c r="J58" s="269">
        <f>H58</f>
        <v>2441400</v>
      </c>
      <c r="K58" s="258" t="s">
        <v>507</v>
      </c>
    </row>
    <row r="59" spans="1:11">
      <c r="A59" s="267"/>
      <c r="B59" s="271" t="s">
        <v>552</v>
      </c>
      <c r="C59" s="265"/>
      <c r="D59" s="259"/>
      <c r="E59" s="259"/>
      <c r="F59" s="259"/>
      <c r="G59" s="545"/>
      <c r="H59" s="270"/>
      <c r="I59" s="265"/>
      <c r="J59" s="269"/>
      <c r="K59" s="251"/>
    </row>
    <row r="60" spans="1:11">
      <c r="A60" s="267"/>
      <c r="B60" s="266" t="s">
        <v>553</v>
      </c>
      <c r="C60" s="265"/>
      <c r="D60" s="259"/>
      <c r="E60" s="259"/>
      <c r="F60" s="259"/>
      <c r="G60" s="259"/>
      <c r="H60" s="259"/>
      <c r="I60" s="264"/>
      <c r="J60" s="264"/>
      <c r="K60" s="251"/>
    </row>
    <row r="61" spans="1:11" s="231" customFormat="1" ht="21" customHeight="1">
      <c r="A61" s="257">
        <v>15</v>
      </c>
      <c r="B61" s="256" t="s">
        <v>554</v>
      </c>
      <c r="C61" s="255">
        <f>'[1]010-1'!E23</f>
        <v>500</v>
      </c>
      <c r="D61" s="254">
        <f>'[1]010-1'!D23</f>
        <v>650.46</v>
      </c>
      <c r="E61" s="254"/>
      <c r="F61" s="254"/>
      <c r="G61" s="564" t="s">
        <v>535</v>
      </c>
      <c r="H61" s="254">
        <f>C61*D61</f>
        <v>325230</v>
      </c>
      <c r="I61" s="255">
        <v>0</v>
      </c>
      <c r="J61" s="255">
        <f>H61</f>
        <v>325230</v>
      </c>
      <c r="K61" s="258" t="s">
        <v>507</v>
      </c>
    </row>
    <row r="62" spans="1:11" s="231" customFormat="1">
      <c r="A62" s="257"/>
      <c r="B62" s="256" t="s">
        <v>555</v>
      </c>
      <c r="C62" s="255"/>
      <c r="D62" s="254"/>
      <c r="E62" s="254"/>
      <c r="F62" s="254"/>
      <c r="G62" s="564"/>
      <c r="H62" s="254"/>
      <c r="I62" s="255"/>
      <c r="J62" s="255"/>
      <c r="K62" s="263"/>
    </row>
    <row r="63" spans="1:11" s="231" customFormat="1" ht="21" customHeight="1">
      <c r="A63" s="257">
        <v>16</v>
      </c>
      <c r="B63" s="256" t="s">
        <v>556</v>
      </c>
      <c r="C63" s="255">
        <f>'[1]010-1'!E24</f>
        <v>500</v>
      </c>
      <c r="D63" s="254">
        <f>'[1]010-1'!D24</f>
        <v>623</v>
      </c>
      <c r="E63" s="254"/>
      <c r="F63" s="254"/>
      <c r="G63" s="564" t="s">
        <v>535</v>
      </c>
      <c r="H63" s="254">
        <f>C63*D63</f>
        <v>311500</v>
      </c>
      <c r="I63" s="255">
        <v>0</v>
      </c>
      <c r="J63" s="255">
        <f>H63</f>
        <v>311500</v>
      </c>
      <c r="K63" s="258" t="s">
        <v>507</v>
      </c>
    </row>
    <row r="64" spans="1:11" s="231" customFormat="1">
      <c r="A64" s="257"/>
      <c r="B64" s="256" t="s">
        <v>557</v>
      </c>
      <c r="C64" s="255"/>
      <c r="D64" s="254"/>
      <c r="E64" s="254"/>
      <c r="F64" s="254"/>
      <c r="G64" s="564"/>
      <c r="H64" s="254"/>
      <c r="I64" s="255"/>
      <c r="J64" s="255"/>
      <c r="K64" s="263"/>
    </row>
    <row r="65" spans="1:12" s="231" customFormat="1" ht="21" customHeight="1">
      <c r="A65" s="257">
        <v>17</v>
      </c>
      <c r="B65" s="256" t="s">
        <v>558</v>
      </c>
      <c r="C65" s="255">
        <f>'[1]010-1'!E25</f>
        <v>500</v>
      </c>
      <c r="D65" s="254">
        <f>'[1]010-1'!D25</f>
        <v>700</v>
      </c>
      <c r="E65" s="254"/>
      <c r="F65" s="254"/>
      <c r="G65" s="564" t="s">
        <v>535</v>
      </c>
      <c r="H65" s="254">
        <f>C65*D65</f>
        <v>350000</v>
      </c>
      <c r="I65" s="255">
        <v>0</v>
      </c>
      <c r="J65" s="255">
        <f>H65</f>
        <v>350000</v>
      </c>
      <c r="K65" s="258" t="s">
        <v>507</v>
      </c>
    </row>
    <row r="66" spans="1:12" s="231" customFormat="1">
      <c r="A66" s="257"/>
      <c r="B66" s="256" t="s">
        <v>559</v>
      </c>
      <c r="C66" s="255"/>
      <c r="D66" s="254"/>
      <c r="E66" s="254"/>
      <c r="F66" s="254"/>
      <c r="G66" s="564"/>
      <c r="H66" s="254"/>
      <c r="I66" s="255"/>
      <c r="J66" s="255"/>
      <c r="K66" s="263"/>
    </row>
    <row r="67" spans="1:12" s="231" customFormat="1" ht="21" customHeight="1">
      <c r="A67" s="257">
        <v>18</v>
      </c>
      <c r="B67" s="256" t="s">
        <v>560</v>
      </c>
      <c r="C67" s="255">
        <f>'[1]010-1'!E26</f>
        <v>500</v>
      </c>
      <c r="D67" s="254">
        <f>'[1]010-1'!D26</f>
        <v>800</v>
      </c>
      <c r="E67" s="254"/>
      <c r="F67" s="254"/>
      <c r="G67" s="564" t="s">
        <v>535</v>
      </c>
      <c r="H67" s="254">
        <f>C67*D67</f>
        <v>400000</v>
      </c>
      <c r="I67" s="255">
        <v>0</v>
      </c>
      <c r="J67" s="255">
        <f>H67</f>
        <v>400000</v>
      </c>
      <c r="K67" s="258" t="s">
        <v>507</v>
      </c>
    </row>
    <row r="68" spans="1:12" s="231" customFormat="1">
      <c r="A68" s="257"/>
      <c r="B68" s="256" t="s">
        <v>561</v>
      </c>
      <c r="C68" s="255"/>
      <c r="D68" s="254"/>
      <c r="E68" s="254"/>
      <c r="F68" s="254"/>
      <c r="G68" s="564"/>
      <c r="H68" s="254"/>
      <c r="I68" s="255"/>
      <c r="J68" s="255"/>
      <c r="K68" s="251"/>
    </row>
    <row r="69" spans="1:12" s="250" customFormat="1" ht="21.75" customHeight="1">
      <c r="A69" s="257">
        <v>19</v>
      </c>
      <c r="B69" s="256" t="s">
        <v>562</v>
      </c>
      <c r="C69" s="255">
        <f>'[1]010-1'!E27</f>
        <v>2000</v>
      </c>
      <c r="D69" s="254">
        <f>'[1]010-1'!D27</f>
        <v>1200</v>
      </c>
      <c r="E69" s="253"/>
      <c r="F69" s="260"/>
      <c r="G69" s="545" t="s">
        <v>506</v>
      </c>
      <c r="H69" s="259">
        <f>C69*D69</f>
        <v>2400000</v>
      </c>
      <c r="I69" s="255">
        <v>0</v>
      </c>
      <c r="J69" s="255">
        <f>H69</f>
        <v>2400000</v>
      </c>
      <c r="K69" s="258" t="s">
        <v>507</v>
      </c>
      <c r="L69" s="231"/>
    </row>
    <row r="70" spans="1:12" s="250" customFormat="1">
      <c r="A70" s="257"/>
      <c r="B70" s="256" t="s">
        <v>563</v>
      </c>
      <c r="C70" s="255"/>
      <c r="D70" s="254"/>
      <c r="E70" s="253"/>
      <c r="F70" s="253"/>
      <c r="G70" s="545"/>
      <c r="H70" s="259"/>
      <c r="I70" s="261"/>
      <c r="J70" s="252"/>
      <c r="K70" s="251"/>
      <c r="L70" s="231"/>
    </row>
    <row r="71" spans="1:12" s="250" customFormat="1" ht="21" customHeight="1">
      <c r="A71" s="257">
        <v>20</v>
      </c>
      <c r="B71" s="256" t="s">
        <v>564</v>
      </c>
      <c r="C71" s="255">
        <f>'[1]010-1'!E28</f>
        <v>27000</v>
      </c>
      <c r="D71" s="254">
        <f>'[1]010-1'!D28</f>
        <v>1900</v>
      </c>
      <c r="E71" s="253"/>
      <c r="F71" s="260"/>
      <c r="G71" s="545" t="s">
        <v>506</v>
      </c>
      <c r="H71" s="398">
        <f>C71*D71</f>
        <v>51300000</v>
      </c>
      <c r="I71" s="255">
        <v>0</v>
      </c>
      <c r="J71" s="255">
        <v>0</v>
      </c>
      <c r="K71" s="403" t="s">
        <v>507</v>
      </c>
      <c r="L71" s="231"/>
    </row>
    <row r="72" spans="1:12" s="250" customFormat="1">
      <c r="A72" s="257"/>
      <c r="B72" s="256" t="s">
        <v>565</v>
      </c>
      <c r="C72" s="255"/>
      <c r="D72" s="254"/>
      <c r="E72" s="253"/>
      <c r="F72" s="253"/>
      <c r="G72" s="545"/>
      <c r="H72" s="391" t="s">
        <v>521</v>
      </c>
      <c r="I72" s="261"/>
      <c r="J72" s="252"/>
      <c r="K72" s="251"/>
      <c r="L72" s="231"/>
    </row>
    <row r="73" spans="1:12" s="250" customFormat="1" ht="21" customHeight="1">
      <c r="A73" s="257">
        <v>21</v>
      </c>
      <c r="B73" s="256" t="s">
        <v>566</v>
      </c>
      <c r="C73" s="255">
        <f>'[1]010-1'!E29</f>
        <v>6000</v>
      </c>
      <c r="D73" s="254">
        <f>'[1]010-1'!D29</f>
        <v>1500</v>
      </c>
      <c r="E73" s="253"/>
      <c r="F73" s="260"/>
      <c r="G73" s="545" t="s">
        <v>506</v>
      </c>
      <c r="H73" s="259">
        <f>C73*D73</f>
        <v>9000000</v>
      </c>
      <c r="I73" s="255">
        <v>0</v>
      </c>
      <c r="J73" s="255">
        <f>H73</f>
        <v>9000000</v>
      </c>
      <c r="K73" s="258" t="s">
        <v>507</v>
      </c>
      <c r="L73" s="231"/>
    </row>
    <row r="74" spans="1:12" s="250" customFormat="1">
      <c r="A74" s="257"/>
      <c r="B74" s="256" t="s">
        <v>567</v>
      </c>
      <c r="C74" s="255"/>
      <c r="D74" s="254"/>
      <c r="E74" s="253"/>
      <c r="F74" s="253"/>
      <c r="G74" s="545"/>
      <c r="H74" s="259"/>
      <c r="I74" s="261"/>
      <c r="J74" s="252"/>
      <c r="K74" s="251"/>
      <c r="L74" s="231"/>
    </row>
    <row r="75" spans="1:12" s="250" customFormat="1" ht="21" customHeight="1">
      <c r="A75" s="257">
        <v>22</v>
      </c>
      <c r="B75" s="256" t="s">
        <v>568</v>
      </c>
      <c r="C75" s="255">
        <f>'[1]010-1'!E30</f>
        <v>2000</v>
      </c>
      <c r="D75" s="254">
        <f>'[1]010-1'!D30</f>
        <v>2200</v>
      </c>
      <c r="E75" s="253"/>
      <c r="F75" s="260"/>
      <c r="G75" s="545" t="s">
        <v>506</v>
      </c>
      <c r="H75" s="259">
        <f>C75*D75</f>
        <v>4400000</v>
      </c>
      <c r="I75" s="255">
        <v>0</v>
      </c>
      <c r="J75" s="255">
        <f>H75</f>
        <v>4400000</v>
      </c>
      <c r="K75" s="258" t="s">
        <v>507</v>
      </c>
      <c r="L75" s="231"/>
    </row>
    <row r="76" spans="1:12" s="250" customFormat="1">
      <c r="A76" s="257"/>
      <c r="B76" s="256" t="s">
        <v>569</v>
      </c>
      <c r="C76" s="255"/>
      <c r="D76" s="254"/>
      <c r="E76" s="253"/>
      <c r="F76" s="253"/>
      <c r="G76" s="545"/>
      <c r="H76" s="253"/>
      <c r="I76" s="252"/>
      <c r="J76" s="252"/>
      <c r="K76" s="251"/>
      <c r="L76" s="231"/>
    </row>
    <row r="77" spans="1:12">
      <c r="A77" s="249"/>
      <c r="B77" s="248" t="s">
        <v>570</v>
      </c>
      <c r="C77" s="247"/>
      <c r="D77" s="246"/>
      <c r="E77" s="245"/>
      <c r="F77" s="245"/>
      <c r="G77" s="245"/>
      <c r="H77" s="245"/>
      <c r="I77" s="404">
        <f>SUM(I12:I76)</f>
        <v>17117362</v>
      </c>
      <c r="J77" s="405">
        <f>SUM(J12:J75)</f>
        <v>226605330</v>
      </c>
      <c r="K77" s="242"/>
    </row>
    <row r="78" spans="1:12">
      <c r="A78" s="240"/>
      <c r="B78" s="241" t="s">
        <v>35</v>
      </c>
      <c r="C78" s="238"/>
      <c r="D78" s="237"/>
      <c r="E78" s="236"/>
      <c r="F78" s="236"/>
      <c r="G78" s="236"/>
      <c r="H78" s="236"/>
      <c r="I78" s="568"/>
      <c r="J78" s="569"/>
      <c r="K78" s="234"/>
    </row>
    <row r="79" spans="1:12">
      <c r="A79" s="240"/>
      <c r="B79" s="239" t="s">
        <v>571</v>
      </c>
      <c r="C79" s="238"/>
      <c r="D79" s="237"/>
      <c r="E79" s="236"/>
      <c r="F79" s="236"/>
      <c r="G79" s="236"/>
      <c r="H79" s="235"/>
      <c r="I79" s="570">
        <f>I77+J77+I78</f>
        <v>243722692</v>
      </c>
      <c r="J79" s="571"/>
      <c r="K79" s="234"/>
    </row>
  </sheetData>
  <mergeCells count="36">
    <mergeCell ref="I78:J78"/>
    <mergeCell ref="I79:J79"/>
    <mergeCell ref="G65:G66"/>
    <mergeCell ref="G67:G68"/>
    <mergeCell ref="G69:G70"/>
    <mergeCell ref="G71:G72"/>
    <mergeCell ref="G73:G74"/>
    <mergeCell ref="G75:G76"/>
    <mergeCell ref="G63:G64"/>
    <mergeCell ref="G30:G31"/>
    <mergeCell ref="G36:G37"/>
    <mergeCell ref="G42:G44"/>
    <mergeCell ref="G45:G47"/>
    <mergeCell ref="G48:G49"/>
    <mergeCell ref="G50:G51"/>
    <mergeCell ref="G52:G53"/>
    <mergeCell ref="G54:G55"/>
    <mergeCell ref="G56:G57"/>
    <mergeCell ref="G58:G59"/>
    <mergeCell ref="G61:G62"/>
    <mergeCell ref="G28:G29"/>
    <mergeCell ref="A2:K2"/>
    <mergeCell ref="A3:K3"/>
    <mergeCell ref="A4:K4"/>
    <mergeCell ref="A5:K5"/>
    <mergeCell ref="A6:L6"/>
    <mergeCell ref="A10:A11"/>
    <mergeCell ref="B10:B11"/>
    <mergeCell ref="C10:C11"/>
    <mergeCell ref="E10:G10"/>
    <mergeCell ref="H10:H11"/>
    <mergeCell ref="I10:J10"/>
    <mergeCell ref="K10:K11"/>
    <mergeCell ref="G12:G13"/>
    <mergeCell ref="G19:G20"/>
    <mergeCell ref="G26:G27"/>
  </mergeCells>
  <printOptions horizontalCentered="1"/>
  <pageMargins left="0.62992125984251968" right="0.39370078740157483" top="0.78740157480314965" bottom="0.59055118110236227" header="0.51181102362204722" footer="0.51181102362204722"/>
  <pageSetup paperSize="9" scale="65" fitToWidth="0" fitToHeight="0" orientation="portrait" r:id="rId1"/>
  <headerFooter alignWithMargins="0"/>
  <rowBreaks count="1" manualBreakCount="1">
    <brk id="41" max="10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0E49-00FF-4410-BBC5-6568F94F0E85}">
  <sheetPr>
    <tabColor rgb="FFFFFF00"/>
  </sheetPr>
  <dimension ref="A1:Q79"/>
  <sheetViews>
    <sheetView view="pageBreakPreview" zoomScale="55" zoomScaleNormal="100" zoomScaleSheetLayoutView="55" workbookViewId="0">
      <selection activeCell="I30" sqref="I30"/>
    </sheetView>
    <sheetView view="pageBreakPreview" topLeftCell="A65" zoomScale="95" zoomScaleNormal="100" zoomScaleSheetLayoutView="95" workbookViewId="1">
      <selection activeCell="K78" sqref="J78:K78"/>
    </sheetView>
  </sheetViews>
  <sheetFormatPr defaultColWidth="9.140625" defaultRowHeight="21"/>
  <cols>
    <col min="1" max="1" width="4.28515625" style="233" customWidth="1"/>
    <col min="2" max="2" width="59.140625" style="233" customWidth="1"/>
    <col min="3" max="4" width="8.7109375" style="233" customWidth="1"/>
    <col min="5" max="5" width="9.42578125" style="233" bestFit="1" customWidth="1"/>
    <col min="6" max="6" width="15" style="233" bestFit="1" customWidth="1"/>
    <col min="7" max="7" width="16.42578125" style="233" customWidth="1"/>
    <col min="8" max="8" width="9.42578125" style="233" customWidth="1"/>
    <col min="9" max="9" width="16" style="233" customWidth="1"/>
    <col min="10" max="10" width="9.7109375" style="233" customWidth="1"/>
    <col min="11" max="11" width="12.140625" style="233" customWidth="1"/>
    <col min="12" max="12" width="14.140625" style="231" customWidth="1"/>
    <col min="13" max="13" width="13" style="233" bestFit="1" customWidth="1"/>
    <col min="14" max="16" width="13.7109375" style="233" bestFit="1" customWidth="1"/>
    <col min="17" max="17" width="14.140625" style="233" bestFit="1" customWidth="1"/>
    <col min="18" max="16384" width="9.140625" style="233"/>
  </cols>
  <sheetData>
    <row r="1" spans="1:17">
      <c r="L1" s="303" t="s">
        <v>9</v>
      </c>
    </row>
    <row r="2" spans="1:17" ht="26.25">
      <c r="A2" s="546" t="s">
        <v>483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7" ht="26.25">
      <c r="A3" s="546" t="s">
        <v>484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</row>
    <row r="4" spans="1:17" ht="26.25">
      <c r="A4" s="546" t="s">
        <v>485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546"/>
    </row>
    <row r="5" spans="1:17" ht="26.25">
      <c r="A5" s="546" t="s">
        <v>572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7">
      <c r="A6" s="547" t="s">
        <v>487</v>
      </c>
      <c r="B6" s="548"/>
      <c r="C6" s="548"/>
      <c r="D6" s="548"/>
      <c r="E6" s="548"/>
      <c r="F6" s="548"/>
      <c r="G6" s="548"/>
      <c r="H6" s="548"/>
      <c r="I6" s="548"/>
      <c r="J6" s="548"/>
      <c r="K6" s="548"/>
      <c r="L6" s="548"/>
      <c r="M6" s="548"/>
    </row>
    <row r="7" spans="1:17">
      <c r="A7" s="224" t="s">
        <v>488</v>
      </c>
      <c r="B7" s="299"/>
      <c r="C7" s="302"/>
      <c r="D7" s="302"/>
      <c r="E7" s="301"/>
      <c r="F7" s="301"/>
      <c r="G7" s="301"/>
      <c r="H7" s="301"/>
      <c r="I7" s="301"/>
      <c r="J7" s="301"/>
      <c r="K7" s="301"/>
      <c r="L7" s="222"/>
      <c r="M7" s="295"/>
    </row>
    <row r="8" spans="1:17" s="231" customFormat="1" ht="21" customHeight="1">
      <c r="A8" s="221" t="s">
        <v>489</v>
      </c>
      <c r="B8" s="221"/>
      <c r="C8" s="220"/>
      <c r="D8" s="220"/>
      <c r="E8" s="219"/>
      <c r="F8" s="217"/>
      <c r="G8" s="218"/>
      <c r="H8" s="217"/>
      <c r="I8" s="217"/>
      <c r="J8" s="217"/>
      <c r="K8" s="217"/>
      <c r="L8" s="300"/>
      <c r="M8" s="217"/>
    </row>
    <row r="9" spans="1:17" ht="13.5" customHeight="1">
      <c r="A9" s="224"/>
      <c r="B9" s="299"/>
      <c r="C9" s="298"/>
      <c r="D9" s="298"/>
      <c r="E9" s="296"/>
      <c r="F9" s="297"/>
      <c r="G9" s="296"/>
      <c r="H9" s="296"/>
      <c r="I9" s="296"/>
      <c r="J9" s="296"/>
      <c r="K9" s="296"/>
      <c r="L9" s="217"/>
      <c r="M9" s="295"/>
    </row>
    <row r="10" spans="1:17" ht="23.25" customHeight="1">
      <c r="A10" s="549" t="s">
        <v>30</v>
      </c>
      <c r="B10" s="551" t="s">
        <v>490</v>
      </c>
      <c r="C10" s="553" t="s">
        <v>491</v>
      </c>
      <c r="D10" s="572" t="s">
        <v>497</v>
      </c>
      <c r="E10" s="294" t="s">
        <v>492</v>
      </c>
      <c r="F10" s="555" t="s">
        <v>493</v>
      </c>
      <c r="G10" s="556"/>
      <c r="H10" s="557"/>
      <c r="I10" s="558" t="s">
        <v>494</v>
      </c>
      <c r="J10" s="560" t="s">
        <v>495</v>
      </c>
      <c r="K10" s="561"/>
      <c r="L10" s="562" t="s">
        <v>496</v>
      </c>
    </row>
    <row r="11" spans="1:17" ht="36" customHeight="1">
      <c r="A11" s="550"/>
      <c r="B11" s="552"/>
      <c r="C11" s="554"/>
      <c r="D11" s="573"/>
      <c r="E11" s="293" t="s">
        <v>497</v>
      </c>
      <c r="F11" s="292" t="s">
        <v>498</v>
      </c>
      <c r="G11" s="291" t="s">
        <v>499</v>
      </c>
      <c r="H11" s="290" t="s">
        <v>60</v>
      </c>
      <c r="I11" s="559"/>
      <c r="J11" s="290" t="s">
        <v>238</v>
      </c>
      <c r="K11" s="290" t="s">
        <v>573</v>
      </c>
      <c r="L11" s="563"/>
      <c r="M11" s="392">
        <v>25812</v>
      </c>
      <c r="N11" s="393">
        <v>25903</v>
      </c>
      <c r="O11" s="393">
        <v>26085</v>
      </c>
      <c r="P11" s="393">
        <v>26268</v>
      </c>
    </row>
    <row r="12" spans="1:17" ht="23.25" customHeight="1">
      <c r="A12" s="267">
        <v>1</v>
      </c>
      <c r="B12" s="271" t="s">
        <v>505</v>
      </c>
      <c r="C12" s="261">
        <f>'010-1 (2)'!G9</f>
        <v>362</v>
      </c>
      <c r="D12" s="261" t="s">
        <v>574</v>
      </c>
      <c r="E12" s="259">
        <f>'010-1 (2)'!D9</f>
        <v>260000</v>
      </c>
      <c r="F12" s="259"/>
      <c r="G12" s="259"/>
      <c r="H12" s="545" t="s">
        <v>506</v>
      </c>
      <c r="I12" s="259">
        <f>C12*E12</f>
        <v>94120000</v>
      </c>
      <c r="J12" s="261">
        <v>0</v>
      </c>
      <c r="K12" s="261">
        <f>I12</f>
        <v>94120000</v>
      </c>
      <c r="L12" s="258" t="s">
        <v>575</v>
      </c>
      <c r="M12" s="289">
        <f>J26+J28+J52+J54</f>
        <v>0</v>
      </c>
      <c r="N12" s="288">
        <v>0</v>
      </c>
      <c r="O12" s="288">
        <f>K12+K19+K58+K61+K63+K65+K67+K69+K71+K73+K75+K26+K28+K52</f>
        <v>166841452</v>
      </c>
      <c r="P12" s="288">
        <f>K30+K36+K56+K42+K45+K48+K50</f>
        <v>89971790</v>
      </c>
      <c r="Q12" s="288">
        <f>SUM(M12:P12)</f>
        <v>256813242</v>
      </c>
    </row>
    <row r="13" spans="1:17" ht="24">
      <c r="A13" s="267"/>
      <c r="B13" s="271" t="s">
        <v>508</v>
      </c>
      <c r="C13" s="261"/>
      <c r="D13" s="261"/>
      <c r="E13" s="259"/>
      <c r="F13" s="259"/>
      <c r="G13" s="259"/>
      <c r="H13" s="545"/>
      <c r="I13" s="259"/>
      <c r="J13" s="261"/>
      <c r="K13" s="261"/>
      <c r="L13" s="263"/>
      <c r="M13" s="268"/>
    </row>
    <row r="14" spans="1:17">
      <c r="A14" s="267"/>
      <c r="B14" s="271" t="s">
        <v>509</v>
      </c>
      <c r="C14" s="261"/>
      <c r="D14" s="261"/>
      <c r="E14" s="259"/>
      <c r="F14" s="259"/>
      <c r="G14" s="259"/>
      <c r="H14" s="259"/>
      <c r="I14" s="259"/>
      <c r="J14" s="261"/>
      <c r="K14" s="261"/>
      <c r="L14" s="263"/>
      <c r="M14" s="268"/>
    </row>
    <row r="15" spans="1:17">
      <c r="A15" s="267"/>
      <c r="B15" s="287" t="s">
        <v>510</v>
      </c>
      <c r="C15" s="261"/>
      <c r="D15" s="261"/>
      <c r="E15" s="259"/>
      <c r="F15" s="259"/>
      <c r="G15" s="259"/>
      <c r="H15" s="259"/>
      <c r="I15" s="259"/>
      <c r="J15" s="261"/>
      <c r="K15" s="261"/>
      <c r="L15" s="263"/>
      <c r="M15" s="268"/>
    </row>
    <row r="16" spans="1:17">
      <c r="A16" s="267"/>
      <c r="B16" s="271" t="s">
        <v>511</v>
      </c>
      <c r="C16" s="261"/>
      <c r="D16" s="261"/>
      <c r="E16" s="259"/>
      <c r="F16" s="259"/>
      <c r="G16" s="259"/>
      <c r="H16" s="259"/>
      <c r="I16" s="259"/>
      <c r="J16" s="261"/>
      <c r="K16" s="261"/>
      <c r="L16" s="263"/>
      <c r="M16" s="268"/>
    </row>
    <row r="17" spans="1:13">
      <c r="A17" s="267"/>
      <c r="B17" s="271" t="s">
        <v>512</v>
      </c>
      <c r="C17" s="261"/>
      <c r="D17" s="261"/>
      <c r="E17" s="259"/>
      <c r="F17" s="259"/>
      <c r="G17" s="259"/>
      <c r="H17" s="259"/>
      <c r="I17" s="259"/>
      <c r="J17" s="261"/>
      <c r="K17" s="261"/>
      <c r="L17" s="263"/>
      <c r="M17" s="268"/>
    </row>
    <row r="18" spans="1:13" ht="31.5">
      <c r="A18" s="267"/>
      <c r="B18" s="272" t="s">
        <v>513</v>
      </c>
      <c r="C18" s="261"/>
      <c r="D18" s="261"/>
      <c r="E18" s="259"/>
      <c r="F18" s="259"/>
      <c r="G18" s="259"/>
      <c r="H18" s="259"/>
      <c r="I18" s="259"/>
      <c r="J18" s="261"/>
      <c r="K18" s="261"/>
      <c r="L18" s="263"/>
      <c r="M18" s="268"/>
    </row>
    <row r="19" spans="1:13" ht="20.45" customHeight="1">
      <c r="A19" s="267">
        <v>2</v>
      </c>
      <c r="B19" s="271" t="s">
        <v>505</v>
      </c>
      <c r="C19" s="261">
        <f>'010-1 (2)'!G10</f>
        <v>89</v>
      </c>
      <c r="D19" s="261" t="s">
        <v>574</v>
      </c>
      <c r="E19" s="261">
        <f>'010-1 (2)'!D10</f>
        <v>260000</v>
      </c>
      <c r="F19" s="259"/>
      <c r="G19" s="259"/>
      <c r="H19" s="545" t="s">
        <v>506</v>
      </c>
      <c r="I19" s="259">
        <f>C19*E19</f>
        <v>23140000</v>
      </c>
      <c r="J19" s="261">
        <v>0</v>
      </c>
      <c r="K19" s="261">
        <f>I19</f>
        <v>23140000</v>
      </c>
      <c r="L19" s="258" t="s">
        <v>575</v>
      </c>
      <c r="M19" s="268"/>
    </row>
    <row r="20" spans="1:13" ht="24">
      <c r="A20" s="267"/>
      <c r="B20" s="271" t="s">
        <v>514</v>
      </c>
      <c r="C20" s="261"/>
      <c r="D20" s="261"/>
      <c r="E20" s="259"/>
      <c r="F20" s="259"/>
      <c r="G20" s="259"/>
      <c r="H20" s="545"/>
      <c r="I20" s="259"/>
      <c r="J20" s="261"/>
      <c r="K20" s="261"/>
      <c r="L20" s="251"/>
      <c r="M20" s="268"/>
    </row>
    <row r="21" spans="1:13">
      <c r="A21" s="267"/>
      <c r="B21" s="271" t="s">
        <v>515</v>
      </c>
      <c r="C21" s="261"/>
      <c r="D21" s="261"/>
      <c r="E21" s="259"/>
      <c r="F21" s="259"/>
      <c r="G21" s="259"/>
      <c r="H21" s="259"/>
      <c r="I21" s="259"/>
      <c r="J21" s="261"/>
      <c r="K21" s="261"/>
      <c r="L21" s="283"/>
      <c r="M21" s="268"/>
    </row>
    <row r="22" spans="1:13">
      <c r="A22" s="267"/>
      <c r="B22" s="287" t="s">
        <v>510</v>
      </c>
      <c r="C22" s="261"/>
      <c r="D22" s="261"/>
      <c r="E22" s="259"/>
      <c r="F22" s="259"/>
      <c r="G22" s="259"/>
      <c r="H22" s="259"/>
      <c r="I22" s="259"/>
      <c r="J22" s="261"/>
      <c r="K22" s="261"/>
      <c r="L22" s="251"/>
      <c r="M22" s="268"/>
    </row>
    <row r="23" spans="1:13">
      <c r="A23" s="267"/>
      <c r="B23" s="271" t="s">
        <v>511</v>
      </c>
      <c r="C23" s="261"/>
      <c r="D23" s="261"/>
      <c r="E23" s="259"/>
      <c r="F23" s="259"/>
      <c r="G23" s="259"/>
      <c r="H23" s="259"/>
      <c r="I23" s="259"/>
      <c r="J23" s="261"/>
      <c r="K23" s="261"/>
      <c r="L23" s="283"/>
      <c r="M23" s="268"/>
    </row>
    <row r="24" spans="1:13">
      <c r="A24" s="267"/>
      <c r="B24" s="271" t="s">
        <v>512</v>
      </c>
      <c r="C24" s="261"/>
      <c r="D24" s="261"/>
      <c r="E24" s="259"/>
      <c r="F24" s="259"/>
      <c r="G24" s="259"/>
      <c r="H24" s="259"/>
      <c r="I24" s="259"/>
      <c r="J24" s="261"/>
      <c r="K24" s="261"/>
      <c r="L24" s="282"/>
      <c r="M24" s="268"/>
    </row>
    <row r="25" spans="1:13" ht="31.5">
      <c r="A25" s="267"/>
      <c r="B25" s="272" t="s">
        <v>516</v>
      </c>
      <c r="C25" s="261"/>
      <c r="D25" s="261"/>
      <c r="E25" s="259"/>
      <c r="F25" s="259"/>
      <c r="G25" s="259"/>
      <c r="H25" s="259"/>
      <c r="I25" s="259"/>
      <c r="J25" s="261"/>
      <c r="K25" s="261"/>
      <c r="L25" s="282"/>
      <c r="M25" s="268"/>
    </row>
    <row r="26" spans="1:13">
      <c r="A26" s="267">
        <v>3</v>
      </c>
      <c r="B26" s="271" t="s">
        <v>517</v>
      </c>
      <c r="C26" s="261">
        <f>'010-1 (2)'!G11</f>
        <v>750</v>
      </c>
      <c r="D26" s="261" t="s">
        <v>576</v>
      </c>
      <c r="E26" s="259">
        <f>'010-1 (2)'!D11</f>
        <v>9357</v>
      </c>
      <c r="F26" s="259"/>
      <c r="G26" s="259"/>
      <c r="H26" s="545" t="s">
        <v>518</v>
      </c>
      <c r="I26" s="259">
        <f>C26*E26</f>
        <v>7017750</v>
      </c>
      <c r="J26" s="261">
        <v>0</v>
      </c>
      <c r="K26" s="261">
        <f>I26</f>
        <v>7017750</v>
      </c>
      <c r="L26" s="388" t="s">
        <v>577</v>
      </c>
      <c r="M26" s="258" t="s">
        <v>575</v>
      </c>
    </row>
    <row r="27" spans="1:13">
      <c r="A27" s="267"/>
      <c r="B27" s="273" t="s">
        <v>520</v>
      </c>
      <c r="C27" s="261"/>
      <c r="D27" s="261"/>
      <c r="E27" s="259"/>
      <c r="F27" s="259"/>
      <c r="G27" s="259"/>
      <c r="H27" s="545"/>
      <c r="I27" s="259"/>
      <c r="J27" s="261"/>
      <c r="K27" s="261"/>
      <c r="L27" s="251"/>
      <c r="M27" s="268"/>
    </row>
    <row r="28" spans="1:13" ht="31.5">
      <c r="A28" s="267">
        <v>4</v>
      </c>
      <c r="B28" s="271" t="s">
        <v>522</v>
      </c>
      <c r="C28" s="261">
        <f>'010-1 (2)'!G12</f>
        <v>225</v>
      </c>
      <c r="D28" s="261" t="s">
        <v>576</v>
      </c>
      <c r="E28" s="259">
        <f>'010-1 (2)'!D12</f>
        <v>7886</v>
      </c>
      <c r="F28" s="259"/>
      <c r="G28" s="259"/>
      <c r="H28" s="545" t="s">
        <v>518</v>
      </c>
      <c r="I28" s="259">
        <f>C28*E28</f>
        <v>1774350</v>
      </c>
      <c r="J28" s="261">
        <v>0</v>
      </c>
      <c r="K28" s="261">
        <f>I28</f>
        <v>1774350</v>
      </c>
      <c r="L28" s="388" t="s">
        <v>577</v>
      </c>
      <c r="M28" s="258" t="s">
        <v>575</v>
      </c>
    </row>
    <row r="29" spans="1:13">
      <c r="A29" s="267"/>
      <c r="B29" s="273" t="s">
        <v>523</v>
      </c>
      <c r="C29" s="261"/>
      <c r="D29" s="261"/>
      <c r="E29" s="259"/>
      <c r="F29" s="259"/>
      <c r="G29" s="259"/>
      <c r="H29" s="545"/>
      <c r="I29" s="259"/>
      <c r="J29" s="261"/>
      <c r="K29" s="261"/>
      <c r="L29" s="251"/>
      <c r="M29" s="268"/>
    </row>
    <row r="30" spans="1:13">
      <c r="A30" s="267">
        <v>5</v>
      </c>
      <c r="B30" s="271" t="s">
        <v>524</v>
      </c>
      <c r="C30" s="261">
        <f>'010-1 (2)'!G13</f>
        <v>212</v>
      </c>
      <c r="D30" s="261" t="s">
        <v>574</v>
      </c>
      <c r="E30" s="259">
        <f>'010-1 (2)'!D13</f>
        <v>238400</v>
      </c>
      <c r="F30" s="259"/>
      <c r="G30" s="259"/>
      <c r="H30" s="545" t="s">
        <v>518</v>
      </c>
      <c r="I30" s="259">
        <f>C30*E30</f>
        <v>50540800</v>
      </c>
      <c r="J30" s="261"/>
      <c r="K30" s="261">
        <f>I30</f>
        <v>50540800</v>
      </c>
      <c r="L30" s="251" t="s">
        <v>578</v>
      </c>
      <c r="M30" s="268"/>
    </row>
    <row r="31" spans="1:13">
      <c r="A31" s="267"/>
      <c r="B31" s="284" t="s">
        <v>526</v>
      </c>
      <c r="C31" s="265"/>
      <c r="D31" s="265"/>
      <c r="E31" s="286"/>
      <c r="F31" s="285"/>
      <c r="G31" s="285"/>
      <c r="H31" s="545"/>
      <c r="I31" s="285"/>
      <c r="J31" s="265"/>
      <c r="K31" s="265"/>
      <c r="L31" s="251"/>
      <c r="M31" s="268"/>
    </row>
    <row r="32" spans="1:13" ht="31.5">
      <c r="A32" s="267"/>
      <c r="B32" s="271" t="s">
        <v>527</v>
      </c>
      <c r="C32" s="261"/>
      <c r="D32" s="261"/>
      <c r="E32" s="259"/>
      <c r="F32" s="259"/>
      <c r="G32" s="259"/>
      <c r="H32" s="259"/>
      <c r="I32" s="259"/>
      <c r="J32" s="261"/>
      <c r="K32" s="261"/>
      <c r="L32" s="251"/>
      <c r="M32" s="268"/>
    </row>
    <row r="33" spans="1:13" ht="31.5">
      <c r="A33" s="267"/>
      <c r="B33" s="271" t="s">
        <v>528</v>
      </c>
      <c r="C33" s="261"/>
      <c r="D33" s="261"/>
      <c r="E33" s="259"/>
      <c r="F33" s="259"/>
      <c r="G33" s="259"/>
      <c r="H33" s="259"/>
      <c r="I33" s="259"/>
      <c r="J33" s="261"/>
      <c r="K33" s="261"/>
      <c r="L33" s="251"/>
      <c r="M33" s="268"/>
    </row>
    <row r="34" spans="1:13">
      <c r="A34" s="267"/>
      <c r="B34" s="271" t="s">
        <v>529</v>
      </c>
      <c r="C34" s="261"/>
      <c r="D34" s="261"/>
      <c r="E34" s="259"/>
      <c r="F34" s="259"/>
      <c r="G34" s="259"/>
      <c r="H34" s="259"/>
      <c r="I34" s="259"/>
      <c r="J34" s="261"/>
      <c r="K34" s="261"/>
      <c r="L34" s="251"/>
      <c r="M34" s="268"/>
    </row>
    <row r="35" spans="1:13" ht="31.5">
      <c r="A35" s="267"/>
      <c r="B35" s="272" t="s">
        <v>530</v>
      </c>
      <c r="C35" s="261"/>
      <c r="D35" s="261"/>
      <c r="E35" s="259"/>
      <c r="F35" s="259"/>
      <c r="G35" s="259"/>
      <c r="H35" s="259"/>
      <c r="I35" s="259"/>
      <c r="J35" s="261"/>
      <c r="K35" s="261"/>
      <c r="L35" s="282"/>
      <c r="M35" s="268"/>
    </row>
    <row r="36" spans="1:13">
      <c r="A36" s="267">
        <v>6</v>
      </c>
      <c r="B36" s="271" t="s">
        <v>524</v>
      </c>
      <c r="C36" s="261">
        <f>'010-1 (2)'!G14</f>
        <v>34</v>
      </c>
      <c r="D36" s="261" t="s">
        <v>574</v>
      </c>
      <c r="E36" s="259">
        <f>'010-1 (2)'!D14</f>
        <v>313000</v>
      </c>
      <c r="F36" s="259"/>
      <c r="G36" s="259"/>
      <c r="H36" s="545" t="s">
        <v>518</v>
      </c>
      <c r="I36" s="259">
        <f>C36*E36</f>
        <v>10642000</v>
      </c>
      <c r="J36" s="261"/>
      <c r="K36" s="261">
        <f>I36</f>
        <v>10642000</v>
      </c>
      <c r="L36" s="251" t="s">
        <v>578</v>
      </c>
      <c r="M36" s="268"/>
    </row>
    <row r="37" spans="1:13">
      <c r="A37" s="267"/>
      <c r="B37" s="284" t="s">
        <v>531</v>
      </c>
      <c r="C37" s="261"/>
      <c r="D37" s="261"/>
      <c r="E37" s="259"/>
      <c r="F37" s="259"/>
      <c r="H37" s="545"/>
      <c r="I37" s="259"/>
      <c r="J37" s="261"/>
      <c r="K37" s="261"/>
      <c r="L37" s="283"/>
      <c r="M37" s="268"/>
    </row>
    <row r="38" spans="1:13" ht="31.5">
      <c r="A38" s="267"/>
      <c r="B38" s="271" t="s">
        <v>527</v>
      </c>
      <c r="C38" s="261"/>
      <c r="D38" s="261"/>
      <c r="E38" s="259"/>
      <c r="F38" s="259"/>
      <c r="G38" s="259"/>
      <c r="H38" s="259"/>
      <c r="I38" s="259"/>
      <c r="J38" s="261"/>
      <c r="K38" s="261"/>
      <c r="L38" s="283"/>
      <c r="M38" s="268"/>
    </row>
    <row r="39" spans="1:13" ht="31.5">
      <c r="A39" s="267"/>
      <c r="B39" s="271" t="s">
        <v>528</v>
      </c>
      <c r="C39" s="261"/>
      <c r="D39" s="261"/>
      <c r="E39" s="259"/>
      <c r="F39" s="259"/>
      <c r="G39" s="259"/>
      <c r="H39" s="259"/>
      <c r="I39" s="259"/>
      <c r="J39" s="261"/>
      <c r="K39" s="261"/>
      <c r="L39" s="282"/>
      <c r="M39" s="268"/>
    </row>
    <row r="40" spans="1:13">
      <c r="A40" s="267"/>
      <c r="B40" s="271" t="s">
        <v>532</v>
      </c>
      <c r="C40" s="261"/>
      <c r="D40" s="261"/>
      <c r="E40" s="259"/>
      <c r="F40" s="259"/>
      <c r="G40" s="259"/>
      <c r="H40" s="259"/>
      <c r="I40" s="259"/>
      <c r="J40" s="261"/>
      <c r="K40" s="261"/>
      <c r="L40" s="282"/>
      <c r="M40" s="268"/>
    </row>
    <row r="41" spans="1:13" ht="31.5">
      <c r="A41" s="281"/>
      <c r="B41" s="280" t="s">
        <v>533</v>
      </c>
      <c r="C41" s="278"/>
      <c r="D41" s="278"/>
      <c r="E41" s="279"/>
      <c r="F41" s="279"/>
      <c r="G41" s="279"/>
      <c r="H41" s="279"/>
      <c r="I41" s="279"/>
      <c r="J41" s="278"/>
      <c r="K41" s="278"/>
      <c r="L41" s="277"/>
      <c r="M41" s="268"/>
    </row>
    <row r="42" spans="1:13">
      <c r="A42" s="267">
        <v>7</v>
      </c>
      <c r="B42" s="271" t="s">
        <v>534</v>
      </c>
      <c r="C42" s="261">
        <f>'010-1 (2)'!G15</f>
        <v>70</v>
      </c>
      <c r="D42" s="261" t="s">
        <v>579</v>
      </c>
      <c r="E42" s="259">
        <f>'010-1 (2)'!D15</f>
        <v>51360</v>
      </c>
      <c r="F42" s="259"/>
      <c r="G42" s="259"/>
      <c r="H42" s="566" t="s">
        <v>535</v>
      </c>
      <c r="I42" s="259">
        <f>C42*E42</f>
        <v>3595200</v>
      </c>
      <c r="J42" s="276"/>
      <c r="K42" s="261">
        <f>I42</f>
        <v>3595200</v>
      </c>
      <c r="L42" s="389" t="s">
        <v>525</v>
      </c>
      <c r="M42" s="251" t="s">
        <v>578</v>
      </c>
    </row>
    <row r="43" spans="1:13">
      <c r="A43" s="267"/>
      <c r="B43" s="271" t="s">
        <v>537</v>
      </c>
      <c r="C43" s="261"/>
      <c r="D43" s="261"/>
      <c r="E43" s="259"/>
      <c r="F43" s="259"/>
      <c r="G43" s="259"/>
      <c r="H43" s="566"/>
      <c r="I43" s="259"/>
      <c r="J43" s="261"/>
      <c r="K43" s="261"/>
      <c r="L43" s="251"/>
      <c r="M43" s="268"/>
    </row>
    <row r="44" spans="1:13">
      <c r="A44" s="267"/>
      <c r="B44" s="273" t="s">
        <v>538</v>
      </c>
      <c r="C44" s="261"/>
      <c r="D44" s="261"/>
      <c r="E44" s="259"/>
      <c r="F44" s="259"/>
      <c r="G44" s="259"/>
      <c r="H44" s="566"/>
      <c r="I44" s="259"/>
      <c r="J44" s="261"/>
      <c r="K44" s="261"/>
      <c r="L44" s="251"/>
      <c r="M44" s="268"/>
    </row>
    <row r="45" spans="1:13">
      <c r="A45" s="267">
        <v>8</v>
      </c>
      <c r="B45" s="271" t="s">
        <v>539</v>
      </c>
      <c r="C45" s="261">
        <f>'010-1 (2)'!G16</f>
        <v>16</v>
      </c>
      <c r="D45" s="261" t="s">
        <v>579</v>
      </c>
      <c r="E45" s="259">
        <f>'010-1 (2)'!D16</f>
        <v>61030</v>
      </c>
      <c r="F45" s="259"/>
      <c r="G45" s="259"/>
      <c r="H45" s="566" t="s">
        <v>535</v>
      </c>
      <c r="I45" s="259">
        <f>C45*E45</f>
        <v>976480</v>
      </c>
      <c r="J45" s="261"/>
      <c r="K45" s="261">
        <f>I45</f>
        <v>976480</v>
      </c>
      <c r="L45" s="389" t="s">
        <v>525</v>
      </c>
      <c r="M45" s="251" t="s">
        <v>578</v>
      </c>
    </row>
    <row r="46" spans="1:13">
      <c r="A46" s="267"/>
      <c r="B46" s="271" t="s">
        <v>537</v>
      </c>
      <c r="C46" s="261"/>
      <c r="D46" s="261"/>
      <c r="E46" s="259"/>
      <c r="F46" s="259"/>
      <c r="G46" s="259"/>
      <c r="H46" s="566"/>
      <c r="I46" s="259"/>
      <c r="J46" s="261"/>
      <c r="K46" s="261"/>
      <c r="L46" s="274"/>
      <c r="M46" s="268"/>
    </row>
    <row r="47" spans="1:13">
      <c r="A47" s="267"/>
      <c r="B47" s="273" t="s">
        <v>540</v>
      </c>
      <c r="C47" s="261"/>
      <c r="D47" s="261"/>
      <c r="E47" s="259"/>
      <c r="F47" s="259"/>
      <c r="G47" s="259"/>
      <c r="H47" s="566"/>
      <c r="I47" s="259"/>
      <c r="J47" s="261"/>
      <c r="K47" s="261"/>
      <c r="L47" s="274"/>
      <c r="M47" s="268"/>
    </row>
    <row r="48" spans="1:13">
      <c r="A48" s="267">
        <v>9</v>
      </c>
      <c r="B48" s="271" t="s">
        <v>541</v>
      </c>
      <c r="C48" s="261">
        <f>'010-1 (2)'!G17</f>
        <v>34</v>
      </c>
      <c r="D48" s="261" t="s">
        <v>579</v>
      </c>
      <c r="E48" s="259">
        <f>'010-1 (2)'!D17</f>
        <v>19090</v>
      </c>
      <c r="F48" s="259"/>
      <c r="G48" s="259"/>
      <c r="H48" s="567" t="s">
        <v>535</v>
      </c>
      <c r="I48" s="259">
        <f>C48*E48</f>
        <v>649060</v>
      </c>
      <c r="J48" s="261"/>
      <c r="K48" s="261">
        <f>I48</f>
        <v>649060</v>
      </c>
      <c r="L48" s="389" t="s">
        <v>525</v>
      </c>
      <c r="M48" s="251" t="s">
        <v>578</v>
      </c>
    </row>
    <row r="49" spans="1:13" ht="31.5">
      <c r="A49" s="267"/>
      <c r="B49" s="273" t="s">
        <v>542</v>
      </c>
      <c r="C49" s="261"/>
      <c r="D49" s="261"/>
      <c r="E49" s="259"/>
      <c r="F49" s="259"/>
      <c r="G49" s="259"/>
      <c r="H49" s="567"/>
      <c r="I49" s="259"/>
      <c r="J49" s="261"/>
      <c r="K49" s="261"/>
      <c r="L49" s="263"/>
      <c r="M49" s="268"/>
    </row>
    <row r="50" spans="1:13">
      <c r="A50" s="267">
        <v>10</v>
      </c>
      <c r="B50" s="271" t="s">
        <v>543</v>
      </c>
      <c r="C50" s="261">
        <f>'010-1 (2)'!G18</f>
        <v>5</v>
      </c>
      <c r="D50" s="261" t="s">
        <v>579</v>
      </c>
      <c r="E50" s="259">
        <f>'010-1 (2)'!D18</f>
        <v>33650</v>
      </c>
      <c r="F50" s="259"/>
      <c r="G50" s="259"/>
      <c r="H50" s="567" t="s">
        <v>535</v>
      </c>
      <c r="I50" s="259">
        <f>C50*E50</f>
        <v>168250</v>
      </c>
      <c r="J50" s="261"/>
      <c r="K50" s="261">
        <f>I50</f>
        <v>168250</v>
      </c>
      <c r="L50" s="389" t="s">
        <v>525</v>
      </c>
      <c r="M50" s="251" t="s">
        <v>578</v>
      </c>
    </row>
    <row r="51" spans="1:13" ht="31.5">
      <c r="A51" s="267"/>
      <c r="B51" s="273" t="s">
        <v>544</v>
      </c>
      <c r="C51" s="261"/>
      <c r="D51" s="261"/>
      <c r="E51" s="259"/>
      <c r="F51" s="259"/>
      <c r="G51" s="259"/>
      <c r="H51" s="567"/>
      <c r="I51" s="259"/>
      <c r="J51" s="261"/>
      <c r="K51" s="261"/>
      <c r="L51" s="263"/>
      <c r="M51" s="268"/>
    </row>
    <row r="52" spans="1:13">
      <c r="A52" s="267">
        <v>11</v>
      </c>
      <c r="B52" s="271" t="s">
        <v>545</v>
      </c>
      <c r="C52" s="261">
        <f>'010-1 (2)'!G19</f>
        <v>666</v>
      </c>
      <c r="D52" s="261" t="s">
        <v>576</v>
      </c>
      <c r="E52" s="259">
        <f>'010-1 (2)'!D19</f>
        <v>5222</v>
      </c>
      <c r="F52" s="259"/>
      <c r="G52" s="259"/>
      <c r="H52" s="545" t="s">
        <v>518</v>
      </c>
      <c r="I52" s="259">
        <f>C52*E52</f>
        <v>3477852</v>
      </c>
      <c r="J52" s="261"/>
      <c r="K52" s="261">
        <f>I52</f>
        <v>3477852</v>
      </c>
      <c r="L52" s="388" t="s">
        <v>577</v>
      </c>
      <c r="M52" s="258" t="s">
        <v>575</v>
      </c>
    </row>
    <row r="53" spans="1:13">
      <c r="A53" s="267"/>
      <c r="B53" s="273" t="s">
        <v>546</v>
      </c>
      <c r="C53" s="261"/>
      <c r="D53" s="261"/>
      <c r="E53" s="259"/>
      <c r="F53" s="259"/>
      <c r="G53" s="259"/>
      <c r="H53" s="545"/>
      <c r="I53" s="259"/>
      <c r="J53" s="261"/>
      <c r="K53" s="261"/>
      <c r="L53" s="251"/>
      <c r="M53" s="268"/>
    </row>
    <row r="54" spans="1:13" hidden="1">
      <c r="A54" s="267">
        <v>12</v>
      </c>
      <c r="B54" s="271" t="s">
        <v>547</v>
      </c>
      <c r="C54" s="261">
        <v>0</v>
      </c>
      <c r="D54" s="261" t="s">
        <v>576</v>
      </c>
      <c r="E54" s="259">
        <f>'010-1 (2)'!D20</f>
        <v>8263</v>
      </c>
      <c r="F54" s="259"/>
      <c r="G54" s="259"/>
      <c r="H54" s="545" t="s">
        <v>518</v>
      </c>
      <c r="I54" s="259">
        <f>C54*E54</f>
        <v>0</v>
      </c>
      <c r="J54" s="261">
        <f>I54</f>
        <v>0</v>
      </c>
      <c r="K54" s="261">
        <v>0</v>
      </c>
      <c r="L54" s="251" t="s">
        <v>519</v>
      </c>
      <c r="M54" s="268"/>
    </row>
    <row r="55" spans="1:13" hidden="1">
      <c r="A55" s="267"/>
      <c r="B55" s="273" t="s">
        <v>548</v>
      </c>
      <c r="C55" s="261"/>
      <c r="D55" s="261"/>
      <c r="E55" s="259"/>
      <c r="F55" s="259"/>
      <c r="G55" s="259"/>
      <c r="H55" s="545"/>
      <c r="I55" s="259"/>
      <c r="J55" s="261"/>
      <c r="K55" s="261"/>
      <c r="L55" s="251"/>
      <c r="M55" s="268"/>
    </row>
    <row r="56" spans="1:13" ht="47.25">
      <c r="A56" s="267">
        <v>13</v>
      </c>
      <c r="B56" s="272" t="s">
        <v>549</v>
      </c>
      <c r="C56" s="261">
        <f>'010-1 (2)'!G21</f>
        <v>6</v>
      </c>
      <c r="D56" s="261" t="s">
        <v>574</v>
      </c>
      <c r="E56" s="259">
        <f>'010-1 (2)'!D21</f>
        <v>3900000</v>
      </c>
      <c r="F56" s="259"/>
      <c r="G56" s="259"/>
      <c r="H56" s="567" t="s">
        <v>535</v>
      </c>
      <c r="I56" s="259">
        <f>C56*E56</f>
        <v>23400000</v>
      </c>
      <c r="J56" s="261"/>
      <c r="K56" s="261">
        <f>I56</f>
        <v>23400000</v>
      </c>
      <c r="L56" s="251" t="s">
        <v>578</v>
      </c>
      <c r="M56" s="268"/>
    </row>
    <row r="57" spans="1:13">
      <c r="A57" s="267"/>
      <c r="B57" s="266" t="s">
        <v>550</v>
      </c>
      <c r="C57" s="261"/>
      <c r="D57" s="261"/>
      <c r="E57" s="259"/>
      <c r="F57" s="259"/>
      <c r="G57" s="259"/>
      <c r="H57" s="567"/>
      <c r="I57" s="259"/>
      <c r="J57" s="261"/>
      <c r="K57" s="261"/>
      <c r="L57" s="251"/>
      <c r="M57" s="268"/>
    </row>
    <row r="58" spans="1:13" ht="31.5">
      <c r="A58" s="267">
        <v>14</v>
      </c>
      <c r="B58" s="271" t="s">
        <v>551</v>
      </c>
      <c r="C58" s="265">
        <f>'010-1 (2)'!G22</f>
        <v>0</v>
      </c>
      <c r="D58" s="261" t="s">
        <v>574</v>
      </c>
      <c r="E58" s="259">
        <f>'010-1 (2)'!D22</f>
        <v>406900</v>
      </c>
      <c r="F58" s="259"/>
      <c r="G58" s="259"/>
      <c r="H58" s="545" t="s">
        <v>518</v>
      </c>
      <c r="I58" s="259">
        <f>C58*E58</f>
        <v>0</v>
      </c>
      <c r="J58" s="265">
        <v>0</v>
      </c>
      <c r="K58" s="269">
        <f>I58</f>
        <v>0</v>
      </c>
      <c r="L58" s="258" t="s">
        <v>575</v>
      </c>
      <c r="M58" s="268"/>
    </row>
    <row r="59" spans="1:13">
      <c r="A59" s="267"/>
      <c r="B59" s="271" t="s">
        <v>552</v>
      </c>
      <c r="C59" s="265"/>
      <c r="D59" s="265"/>
      <c r="E59" s="259"/>
      <c r="F59" s="259"/>
      <c r="G59" s="259"/>
      <c r="H59" s="545"/>
      <c r="I59" s="270"/>
      <c r="J59" s="265"/>
      <c r="K59" s="269"/>
      <c r="L59" s="251"/>
      <c r="M59" s="268"/>
    </row>
    <row r="60" spans="1:13">
      <c r="A60" s="267"/>
      <c r="B60" s="266" t="s">
        <v>553</v>
      </c>
      <c r="C60" s="265"/>
      <c r="D60" s="265"/>
      <c r="E60" s="259"/>
      <c r="F60" s="259"/>
      <c r="G60" s="259"/>
      <c r="H60" s="259"/>
      <c r="I60" s="259"/>
      <c r="J60" s="264"/>
      <c r="K60" s="264"/>
      <c r="L60" s="251"/>
    </row>
    <row r="61" spans="1:13" s="231" customFormat="1" ht="21" customHeight="1">
      <c r="A61" s="257">
        <v>15</v>
      </c>
      <c r="B61" s="256" t="s">
        <v>554</v>
      </c>
      <c r="C61" s="255">
        <f>'010-1 (2)'!G23</f>
        <v>0</v>
      </c>
      <c r="D61" s="255" t="s">
        <v>580</v>
      </c>
      <c r="E61" s="254">
        <f>'010-1 (2)'!D23</f>
        <v>650.46</v>
      </c>
      <c r="F61" s="254"/>
      <c r="G61" s="254"/>
      <c r="H61" s="567" t="s">
        <v>535</v>
      </c>
      <c r="I61" s="254">
        <f>C61*E61</f>
        <v>0</v>
      </c>
      <c r="J61" s="255">
        <v>0</v>
      </c>
      <c r="K61" s="255">
        <f>I61</f>
        <v>0</v>
      </c>
      <c r="L61" s="258" t="s">
        <v>575</v>
      </c>
    </row>
    <row r="62" spans="1:13" s="231" customFormat="1">
      <c r="A62" s="257"/>
      <c r="B62" s="256" t="s">
        <v>555</v>
      </c>
      <c r="C62" s="255"/>
      <c r="D62" s="255"/>
      <c r="E62" s="254"/>
      <c r="F62" s="254"/>
      <c r="G62" s="254"/>
      <c r="H62" s="567"/>
      <c r="I62" s="254"/>
      <c r="J62" s="255"/>
      <c r="K62" s="255"/>
      <c r="L62" s="263"/>
    </row>
    <row r="63" spans="1:13" s="250" customFormat="1" ht="21" customHeight="1">
      <c r="A63" s="257">
        <v>16</v>
      </c>
      <c r="B63" s="256" t="s">
        <v>556</v>
      </c>
      <c r="C63" s="255">
        <f>'010-1 (2)'!G24</f>
        <v>500</v>
      </c>
      <c r="D63" s="255" t="s">
        <v>580</v>
      </c>
      <c r="E63" s="254">
        <f>'010-1 (2)'!D24</f>
        <v>623</v>
      </c>
      <c r="F63" s="253"/>
      <c r="G63" s="253"/>
      <c r="H63" s="567" t="s">
        <v>535</v>
      </c>
      <c r="I63" s="259">
        <f>C63*E63</f>
        <v>311500</v>
      </c>
      <c r="J63" s="255">
        <v>0</v>
      </c>
      <c r="K63" s="255">
        <f>I63</f>
        <v>311500</v>
      </c>
      <c r="L63" s="258" t="s">
        <v>575</v>
      </c>
      <c r="M63" s="231"/>
    </row>
    <row r="64" spans="1:13" s="250" customFormat="1">
      <c r="A64" s="257"/>
      <c r="B64" s="256" t="s">
        <v>557</v>
      </c>
      <c r="C64" s="255"/>
      <c r="D64" s="255"/>
      <c r="E64" s="254"/>
      <c r="F64" s="253"/>
      <c r="G64" s="253"/>
      <c r="H64" s="567"/>
      <c r="I64" s="259"/>
      <c r="J64" s="261"/>
      <c r="K64" s="252"/>
      <c r="L64" s="263"/>
      <c r="M64" s="231"/>
    </row>
    <row r="65" spans="1:13" s="250" customFormat="1" ht="21" customHeight="1">
      <c r="A65" s="257">
        <v>17</v>
      </c>
      <c r="B65" s="256" t="s">
        <v>558</v>
      </c>
      <c r="C65" s="255">
        <f>'010-1 (2)'!G25</f>
        <v>0</v>
      </c>
      <c r="D65" s="255" t="s">
        <v>580</v>
      </c>
      <c r="E65" s="254">
        <f>'010-1 (2)'!D25</f>
        <v>700</v>
      </c>
      <c r="F65" s="253"/>
      <c r="G65" s="253"/>
      <c r="H65" s="567" t="s">
        <v>535</v>
      </c>
      <c r="I65" s="259">
        <f>C65*E65</f>
        <v>0</v>
      </c>
      <c r="J65" s="255">
        <v>0</v>
      </c>
      <c r="K65" s="255">
        <f>I65</f>
        <v>0</v>
      </c>
      <c r="L65" s="258" t="s">
        <v>575</v>
      </c>
      <c r="M65" s="231"/>
    </row>
    <row r="66" spans="1:13" s="250" customFormat="1">
      <c r="A66" s="257"/>
      <c r="B66" s="256" t="s">
        <v>559</v>
      </c>
      <c r="C66" s="255"/>
      <c r="D66" s="255"/>
      <c r="E66" s="254"/>
      <c r="F66" s="253"/>
      <c r="G66" s="253"/>
      <c r="H66" s="567"/>
      <c r="I66" s="259"/>
      <c r="J66" s="261"/>
      <c r="K66" s="252"/>
      <c r="L66" s="263"/>
      <c r="M66" s="231"/>
    </row>
    <row r="67" spans="1:13" s="250" customFormat="1" ht="21" customHeight="1">
      <c r="A67" s="257">
        <v>18</v>
      </c>
      <c r="B67" s="256" t="s">
        <v>560</v>
      </c>
      <c r="C67" s="255">
        <f>'010-1 (2)'!G26</f>
        <v>0</v>
      </c>
      <c r="D67" s="255" t="s">
        <v>580</v>
      </c>
      <c r="E67" s="254">
        <f>'010-1 (2)'!D26</f>
        <v>800</v>
      </c>
      <c r="F67" s="253"/>
      <c r="G67" s="253"/>
      <c r="H67" s="567" t="s">
        <v>535</v>
      </c>
      <c r="I67" s="259">
        <f>C67*E67</f>
        <v>0</v>
      </c>
      <c r="J67" s="255">
        <v>0</v>
      </c>
      <c r="K67" s="255">
        <f>I67</f>
        <v>0</v>
      </c>
      <c r="L67" s="258" t="s">
        <v>575</v>
      </c>
      <c r="M67" s="231"/>
    </row>
    <row r="68" spans="1:13" s="250" customFormat="1">
      <c r="A68" s="262"/>
      <c r="B68" s="256" t="s">
        <v>561</v>
      </c>
      <c r="C68" s="252"/>
      <c r="D68" s="252"/>
      <c r="E68" s="253"/>
      <c r="F68" s="253"/>
      <c r="G68" s="253"/>
      <c r="H68" s="567"/>
      <c r="I68" s="253"/>
      <c r="J68" s="252"/>
      <c r="K68" s="252"/>
      <c r="L68" s="251"/>
      <c r="M68" s="231"/>
    </row>
    <row r="69" spans="1:13" s="250" customFormat="1" ht="21.75" customHeight="1">
      <c r="A69" s="257">
        <v>19</v>
      </c>
      <c r="B69" s="256" t="s">
        <v>562</v>
      </c>
      <c r="C69" s="255">
        <f>'010-1 (2)'!G27</f>
        <v>2000</v>
      </c>
      <c r="D69" s="255" t="s">
        <v>580</v>
      </c>
      <c r="E69" s="254">
        <f>'010-1 (2)'!D27</f>
        <v>1200</v>
      </c>
      <c r="F69" s="253"/>
      <c r="G69" s="260"/>
      <c r="H69" s="545" t="s">
        <v>506</v>
      </c>
      <c r="I69" s="259">
        <f>C69*E69</f>
        <v>2400000</v>
      </c>
      <c r="J69" s="255">
        <v>0</v>
      </c>
      <c r="K69" s="255">
        <f>I69</f>
        <v>2400000</v>
      </c>
      <c r="L69" s="258" t="s">
        <v>575</v>
      </c>
      <c r="M69" s="231"/>
    </row>
    <row r="70" spans="1:13" s="250" customFormat="1">
      <c r="A70" s="257"/>
      <c r="B70" s="256" t="s">
        <v>563</v>
      </c>
      <c r="C70" s="255"/>
      <c r="D70" s="255"/>
      <c r="E70" s="254"/>
      <c r="F70" s="253"/>
      <c r="G70" s="253"/>
      <c r="H70" s="545"/>
      <c r="I70" s="259"/>
      <c r="J70" s="261"/>
      <c r="K70" s="252"/>
      <c r="L70" s="251"/>
      <c r="M70" s="231"/>
    </row>
    <row r="71" spans="1:13" s="250" customFormat="1" ht="21" customHeight="1">
      <c r="A71" s="257">
        <v>20</v>
      </c>
      <c r="B71" s="256" t="s">
        <v>564</v>
      </c>
      <c r="C71" s="255">
        <f>'010-1 (2)'!G28</f>
        <v>16000</v>
      </c>
      <c r="D71" s="255" t="s">
        <v>580</v>
      </c>
      <c r="E71" s="254">
        <f>'010-1 (2)'!D28</f>
        <v>1900</v>
      </c>
      <c r="F71" s="253"/>
      <c r="G71" s="260"/>
      <c r="H71" s="545" t="s">
        <v>506</v>
      </c>
      <c r="I71" s="391">
        <f>C71*E71</f>
        <v>30400000</v>
      </c>
      <c r="J71" s="255">
        <v>0</v>
      </c>
      <c r="K71" s="255">
        <v>0</v>
      </c>
      <c r="L71" s="258" t="s">
        <v>575</v>
      </c>
      <c r="M71" s="231"/>
    </row>
    <row r="72" spans="1:13" s="250" customFormat="1">
      <c r="A72" s="257"/>
      <c r="B72" s="256" t="s">
        <v>565</v>
      </c>
      <c r="C72" s="255"/>
      <c r="D72" s="255"/>
      <c r="E72" s="254"/>
      <c r="F72" s="253"/>
      <c r="G72" s="253"/>
      <c r="H72" s="545"/>
      <c r="I72" s="390" t="s">
        <v>521</v>
      </c>
      <c r="J72" s="261"/>
      <c r="K72" s="252"/>
      <c r="L72" s="251"/>
      <c r="M72" s="231"/>
    </row>
    <row r="73" spans="1:13" s="250" customFormat="1" ht="21" customHeight="1">
      <c r="A73" s="257">
        <v>21</v>
      </c>
      <c r="B73" s="256" t="s">
        <v>566</v>
      </c>
      <c r="C73" s="255">
        <f>'010-1 (2)'!G29</f>
        <v>4000</v>
      </c>
      <c r="D73" s="255" t="s">
        <v>580</v>
      </c>
      <c r="E73" s="254">
        <f>'010-1 (2)'!D29</f>
        <v>1500</v>
      </c>
      <c r="F73" s="253"/>
      <c r="G73" s="260"/>
      <c r="H73" s="545" t="s">
        <v>506</v>
      </c>
      <c r="I73" s="259">
        <f>C73*E73</f>
        <v>6000000</v>
      </c>
      <c r="J73" s="255">
        <v>0</v>
      </c>
      <c r="K73" s="255">
        <f>I73</f>
        <v>6000000</v>
      </c>
      <c r="L73" s="258" t="s">
        <v>575</v>
      </c>
      <c r="M73" s="231"/>
    </row>
    <row r="74" spans="1:13" s="250" customFormat="1">
      <c r="A74" s="257"/>
      <c r="B74" s="256" t="s">
        <v>567</v>
      </c>
      <c r="C74" s="255"/>
      <c r="D74" s="255"/>
      <c r="E74" s="254"/>
      <c r="F74" s="253"/>
      <c r="G74" s="253"/>
      <c r="H74" s="545"/>
      <c r="I74" s="259"/>
      <c r="J74" s="261"/>
      <c r="K74" s="252"/>
      <c r="L74" s="251"/>
      <c r="M74" s="231"/>
    </row>
    <row r="75" spans="1:13" s="250" customFormat="1" ht="21" customHeight="1">
      <c r="A75" s="257">
        <v>22</v>
      </c>
      <c r="B75" s="256" t="s">
        <v>568</v>
      </c>
      <c r="C75" s="255">
        <f>'010-1 (2)'!G30</f>
        <v>13000</v>
      </c>
      <c r="D75" s="255" t="s">
        <v>580</v>
      </c>
      <c r="E75" s="254">
        <f>'010-1 (2)'!D30</f>
        <v>2200</v>
      </c>
      <c r="F75" s="253"/>
      <c r="G75" s="260"/>
      <c r="H75" s="545" t="s">
        <v>506</v>
      </c>
      <c r="I75" s="259">
        <f>C75*E75</f>
        <v>28600000</v>
      </c>
      <c r="J75" s="255">
        <v>0</v>
      </c>
      <c r="K75" s="255">
        <f>I75</f>
        <v>28600000</v>
      </c>
      <c r="L75" s="258" t="s">
        <v>575</v>
      </c>
      <c r="M75" s="231"/>
    </row>
    <row r="76" spans="1:13" s="250" customFormat="1">
      <c r="A76" s="257"/>
      <c r="B76" s="256" t="s">
        <v>569</v>
      </c>
      <c r="C76" s="255"/>
      <c r="D76" s="255"/>
      <c r="E76" s="254"/>
      <c r="F76" s="253"/>
      <c r="G76" s="253"/>
      <c r="H76" s="545"/>
      <c r="I76" s="253"/>
      <c r="J76" s="252"/>
      <c r="K76" s="252"/>
      <c r="L76" s="251"/>
      <c r="M76" s="231"/>
    </row>
    <row r="77" spans="1:13">
      <c r="A77" s="249"/>
      <c r="B77" s="248" t="s">
        <v>570</v>
      </c>
      <c r="C77" s="247"/>
      <c r="D77" s="247"/>
      <c r="E77" s="246"/>
      <c r="F77" s="245"/>
      <c r="G77" s="245"/>
      <c r="H77" s="245"/>
      <c r="I77" s="245"/>
      <c r="J77" s="244">
        <f>SUM(J12:J76)</f>
        <v>0</v>
      </c>
      <c r="K77" s="243">
        <f>SUM(K12:K76)</f>
        <v>256813242</v>
      </c>
      <c r="L77" s="242"/>
    </row>
    <row r="78" spans="1:13">
      <c r="A78" s="240"/>
      <c r="B78" s="241" t="s">
        <v>35</v>
      </c>
      <c r="C78" s="238"/>
      <c r="D78" s="238"/>
      <c r="E78" s="237"/>
      <c r="F78" s="236"/>
      <c r="G78" s="236"/>
      <c r="H78" s="236"/>
      <c r="I78" s="236"/>
      <c r="J78" s="568">
        <f>'010-1 (2)'!H32</f>
        <v>8616398</v>
      </c>
      <c r="K78" s="569"/>
      <c r="L78" s="234"/>
    </row>
    <row r="79" spans="1:13">
      <c r="A79" s="240"/>
      <c r="B79" s="239" t="s">
        <v>571</v>
      </c>
      <c r="C79" s="238"/>
      <c r="D79" s="238"/>
      <c r="E79" s="237"/>
      <c r="F79" s="236"/>
      <c r="G79" s="236"/>
      <c r="H79" s="236"/>
      <c r="I79" s="235"/>
      <c r="J79" s="570">
        <f>J77+K77+J78</f>
        <v>265429640</v>
      </c>
      <c r="K79" s="571"/>
      <c r="L79" s="234"/>
    </row>
  </sheetData>
  <mergeCells count="37">
    <mergeCell ref="I10:I11"/>
    <mergeCell ref="L10:L11"/>
    <mergeCell ref="H12:H13"/>
    <mergeCell ref="A10:A11"/>
    <mergeCell ref="B10:B11"/>
    <mergeCell ref="C10:C11"/>
    <mergeCell ref="F10:H10"/>
    <mergeCell ref="J10:K10"/>
    <mergeCell ref="D10:D11"/>
    <mergeCell ref="A2:L2"/>
    <mergeCell ref="A3:L3"/>
    <mergeCell ref="A4:L4"/>
    <mergeCell ref="A5:L5"/>
    <mergeCell ref="A6:M6"/>
    <mergeCell ref="J79:K79"/>
    <mergeCell ref="H50:H51"/>
    <mergeCell ref="H52:H53"/>
    <mergeCell ref="H54:H55"/>
    <mergeCell ref="H56:H57"/>
    <mergeCell ref="H58:H59"/>
    <mergeCell ref="H61:H62"/>
    <mergeCell ref="H63:H64"/>
    <mergeCell ref="H65:H66"/>
    <mergeCell ref="H67:H68"/>
    <mergeCell ref="J78:K78"/>
    <mergeCell ref="H69:H70"/>
    <mergeCell ref="H71:H72"/>
    <mergeCell ref="H73:H74"/>
    <mergeCell ref="H75:H76"/>
    <mergeCell ref="H48:H49"/>
    <mergeCell ref="H19:H20"/>
    <mergeCell ref="H30:H31"/>
    <mergeCell ref="H36:H37"/>
    <mergeCell ref="H26:H27"/>
    <mergeCell ref="H28:H29"/>
    <mergeCell ref="H42:H44"/>
    <mergeCell ref="H45:H47"/>
  </mergeCells>
  <printOptions horizontalCentered="1"/>
  <pageMargins left="0.62992125984251968" right="0.39370078740157483" top="0.78740157480314965" bottom="0.59055118110236227" header="0.51181102362204722" footer="0.51181102362204722"/>
  <pageSetup paperSize="9" scale="63" fitToWidth="0" fitToHeight="0" orientation="portrait" r:id="rId1"/>
  <headerFooter alignWithMargins="0"/>
  <rowBreaks count="1" manualBreakCount="1">
    <brk id="41" max="10" man="1"/>
  </row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979D-6C2D-4A93-9C77-1D90FACE63A7}">
  <dimension ref="A1:Q79"/>
  <sheetViews>
    <sheetView view="pageBreakPreview" topLeftCell="A52" zoomScale="87" zoomScaleNormal="100" zoomScaleSheetLayoutView="87" workbookViewId="0">
      <selection activeCell="D10" sqref="D10:D76"/>
    </sheetView>
    <sheetView view="pageBreakPreview" topLeftCell="A6" zoomScaleNormal="100" zoomScaleSheetLayoutView="100" workbookViewId="1"/>
  </sheetViews>
  <sheetFormatPr defaultColWidth="9.140625" defaultRowHeight="21"/>
  <cols>
    <col min="1" max="1" width="4.28515625" style="233" customWidth="1"/>
    <col min="2" max="2" width="34.42578125" style="233" customWidth="1"/>
    <col min="3" max="4" width="8.7109375" style="233" customWidth="1"/>
    <col min="5" max="5" width="9.42578125" style="233" bestFit="1" customWidth="1"/>
    <col min="6" max="6" width="15" style="233" bestFit="1" customWidth="1"/>
    <col min="7" max="7" width="16.42578125" style="233" customWidth="1"/>
    <col min="8" max="8" width="9.42578125" style="233" customWidth="1"/>
    <col min="9" max="9" width="16" style="233" customWidth="1"/>
    <col min="10" max="10" width="9.7109375" style="233" customWidth="1"/>
    <col min="11" max="11" width="10" style="233" customWidth="1"/>
    <col min="12" max="12" width="13.85546875" style="231" customWidth="1"/>
    <col min="13" max="13" width="13" style="233" bestFit="1" customWidth="1"/>
    <col min="14" max="14" width="14.140625" style="233" bestFit="1" customWidth="1"/>
    <col min="15" max="15" width="16" style="233" customWidth="1"/>
    <col min="16" max="16" width="14.140625" style="233" bestFit="1" customWidth="1"/>
    <col min="17" max="17" width="16.140625" style="233" customWidth="1"/>
    <col min="18" max="16384" width="9.140625" style="233"/>
  </cols>
  <sheetData>
    <row r="1" spans="1:17">
      <c r="L1" s="303" t="s">
        <v>9</v>
      </c>
    </row>
    <row r="2" spans="1:17" ht="26.25">
      <c r="A2" s="546" t="s">
        <v>483</v>
      </c>
      <c r="B2" s="546"/>
      <c r="C2" s="546"/>
      <c r="D2" s="546"/>
      <c r="E2" s="546"/>
      <c r="F2" s="546"/>
      <c r="G2" s="546"/>
      <c r="H2" s="546"/>
      <c r="I2" s="546"/>
      <c r="J2" s="546"/>
      <c r="K2" s="546"/>
      <c r="L2" s="546"/>
    </row>
    <row r="3" spans="1:17" ht="26.25">
      <c r="A3" s="546" t="s">
        <v>484</v>
      </c>
      <c r="B3" s="546"/>
      <c r="C3" s="546"/>
      <c r="D3" s="546"/>
      <c r="E3" s="546"/>
      <c r="F3" s="546"/>
      <c r="G3" s="546"/>
      <c r="H3" s="546"/>
      <c r="I3" s="546"/>
      <c r="J3" s="546"/>
      <c r="K3" s="546"/>
      <c r="L3" s="546"/>
    </row>
    <row r="4" spans="1:17" ht="26.25">
      <c r="A4" s="546" t="s">
        <v>485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546"/>
    </row>
    <row r="5" spans="1:17" ht="26.25">
      <c r="A5" s="546" t="s">
        <v>581</v>
      </c>
      <c r="B5" s="546"/>
      <c r="C5" s="546"/>
      <c r="D5" s="546"/>
      <c r="E5" s="546"/>
      <c r="F5" s="546"/>
      <c r="G5" s="546"/>
      <c r="H5" s="546"/>
      <c r="I5" s="546"/>
      <c r="J5" s="546"/>
      <c r="K5" s="546"/>
      <c r="L5" s="546"/>
    </row>
    <row r="6" spans="1:17">
      <c r="A6" s="547" t="s">
        <v>487</v>
      </c>
      <c r="B6" s="548"/>
      <c r="C6" s="548"/>
      <c r="D6" s="548"/>
      <c r="E6" s="548"/>
      <c r="F6" s="548"/>
      <c r="G6" s="548"/>
      <c r="H6" s="548"/>
      <c r="I6" s="548"/>
      <c r="J6" s="548"/>
      <c r="K6" s="548"/>
      <c r="L6" s="548"/>
      <c r="M6" s="548"/>
    </row>
    <row r="7" spans="1:17">
      <c r="A7" s="224" t="s">
        <v>488</v>
      </c>
      <c r="B7" s="299"/>
      <c r="C7" s="302"/>
      <c r="D7" s="302"/>
      <c r="E7" s="301"/>
      <c r="F7" s="301"/>
      <c r="G7" s="301"/>
      <c r="H7" s="301"/>
      <c r="I7" s="301"/>
      <c r="J7" s="301"/>
      <c r="K7" s="301"/>
      <c r="L7" s="222"/>
      <c r="M7" s="295"/>
    </row>
    <row r="8" spans="1:17" s="231" customFormat="1" ht="21" customHeight="1">
      <c r="A8" s="221" t="s">
        <v>489</v>
      </c>
      <c r="B8" s="221"/>
      <c r="C8" s="220"/>
      <c r="D8" s="220"/>
      <c r="E8" s="219"/>
      <c r="F8" s="217"/>
      <c r="G8" s="218"/>
      <c r="H8" s="217"/>
      <c r="I8" s="217"/>
      <c r="J8" s="217"/>
      <c r="K8" s="217"/>
      <c r="L8" s="300"/>
      <c r="M8" s="217"/>
    </row>
    <row r="9" spans="1:17" ht="13.5" customHeight="1">
      <c r="A9" s="224"/>
      <c r="B9" s="299"/>
      <c r="C9" s="298"/>
      <c r="D9" s="298"/>
      <c r="E9" s="296"/>
      <c r="F9" s="297"/>
      <c r="G9" s="296"/>
      <c r="H9" s="296"/>
      <c r="I9" s="296"/>
      <c r="J9" s="296"/>
      <c r="K9" s="296"/>
      <c r="L9" s="217"/>
      <c r="M9" s="295"/>
    </row>
    <row r="10" spans="1:17" ht="23.25" customHeight="1">
      <c r="A10" s="549" t="s">
        <v>30</v>
      </c>
      <c r="B10" s="551" t="s">
        <v>490</v>
      </c>
      <c r="C10" s="553" t="s">
        <v>491</v>
      </c>
      <c r="D10" s="572" t="s">
        <v>497</v>
      </c>
      <c r="E10" s="294" t="s">
        <v>492</v>
      </c>
      <c r="F10" s="555" t="s">
        <v>493</v>
      </c>
      <c r="G10" s="556"/>
      <c r="H10" s="557"/>
      <c r="I10" s="558" t="s">
        <v>494</v>
      </c>
      <c r="J10" s="560" t="s">
        <v>495</v>
      </c>
      <c r="K10" s="561"/>
      <c r="L10" s="562" t="s">
        <v>496</v>
      </c>
    </row>
    <row r="11" spans="1:17" ht="36" customHeight="1">
      <c r="A11" s="550"/>
      <c r="B11" s="552"/>
      <c r="C11" s="554"/>
      <c r="D11" s="573"/>
      <c r="E11" s="293" t="s">
        <v>497</v>
      </c>
      <c r="F11" s="292" t="s">
        <v>498</v>
      </c>
      <c r="G11" s="291" t="s">
        <v>499</v>
      </c>
      <c r="H11" s="290" t="s">
        <v>60</v>
      </c>
      <c r="I11" s="559"/>
      <c r="J11" s="290" t="s">
        <v>573</v>
      </c>
      <c r="K11" s="290" t="s">
        <v>582</v>
      </c>
      <c r="L11" s="563"/>
      <c r="M11" s="231" t="s">
        <v>501</v>
      </c>
      <c r="N11" s="233" t="s">
        <v>502</v>
      </c>
      <c r="O11" s="233" t="s">
        <v>503</v>
      </c>
      <c r="P11" s="233" t="s">
        <v>504</v>
      </c>
    </row>
    <row r="12" spans="1:17" ht="23.25" customHeight="1">
      <c r="A12" s="267">
        <v>1</v>
      </c>
      <c r="B12" s="271" t="s">
        <v>505</v>
      </c>
      <c r="C12" s="261">
        <f>'[2]010-1'!I9</f>
        <v>315</v>
      </c>
      <c r="D12" s="261" t="s">
        <v>574</v>
      </c>
      <c r="E12" s="259">
        <f>'[2]010-1'!D9</f>
        <v>260000</v>
      </c>
      <c r="F12" s="259"/>
      <c r="G12" s="259"/>
      <c r="H12" s="545" t="s">
        <v>506</v>
      </c>
      <c r="I12" s="259">
        <f>C12*E12</f>
        <v>81900000</v>
      </c>
      <c r="J12" s="261">
        <v>0</v>
      </c>
      <c r="K12" s="261">
        <f>I12</f>
        <v>81900000</v>
      </c>
      <c r="L12" s="258" t="s">
        <v>507</v>
      </c>
      <c r="M12" s="289">
        <f>J26+J28+J52+J54</f>
        <v>15265377</v>
      </c>
      <c r="N12" s="288">
        <f>I42+I45+I48+I50</f>
        <v>5767430</v>
      </c>
      <c r="O12" s="288">
        <f>K12+K19+K58+K61+K63+K65+K67+K69+K71+K73+K75</f>
        <v>149665230</v>
      </c>
      <c r="P12" s="288">
        <f>K30+K36+K56</f>
        <v>49053600</v>
      </c>
      <c r="Q12" s="288">
        <f>SUM(M12:P12)</f>
        <v>219751637</v>
      </c>
    </row>
    <row r="13" spans="1:17">
      <c r="A13" s="267"/>
      <c r="B13" s="271" t="s">
        <v>508</v>
      </c>
      <c r="C13" s="261"/>
      <c r="D13" s="261"/>
      <c r="E13" s="259"/>
      <c r="F13" s="259"/>
      <c r="G13" s="259"/>
      <c r="H13" s="545"/>
      <c r="I13" s="259"/>
      <c r="J13" s="261"/>
      <c r="K13" s="261"/>
      <c r="L13" s="263"/>
      <c r="M13" s="268"/>
    </row>
    <row r="14" spans="1:17">
      <c r="A14" s="267"/>
      <c r="B14" s="271" t="s">
        <v>509</v>
      </c>
      <c r="C14" s="261"/>
      <c r="D14" s="261"/>
      <c r="E14" s="259"/>
      <c r="F14" s="259"/>
      <c r="G14" s="259"/>
      <c r="H14" s="259"/>
      <c r="I14" s="259"/>
      <c r="J14" s="261"/>
      <c r="K14" s="261"/>
      <c r="L14" s="263"/>
      <c r="M14" s="268"/>
    </row>
    <row r="15" spans="1:17">
      <c r="A15" s="267"/>
      <c r="B15" s="287" t="s">
        <v>510</v>
      </c>
      <c r="C15" s="261"/>
      <c r="D15" s="261"/>
      <c r="E15" s="259"/>
      <c r="F15" s="259"/>
      <c r="G15" s="259"/>
      <c r="H15" s="259"/>
      <c r="I15" s="259"/>
      <c r="J15" s="261"/>
      <c r="K15" s="261"/>
      <c r="L15" s="263"/>
      <c r="M15" s="268"/>
    </row>
    <row r="16" spans="1:17">
      <c r="A16" s="267"/>
      <c r="B16" s="271" t="s">
        <v>511</v>
      </c>
      <c r="C16" s="261"/>
      <c r="D16" s="261"/>
      <c r="E16" s="259"/>
      <c r="F16" s="259"/>
      <c r="G16" s="259"/>
      <c r="H16" s="259"/>
      <c r="I16" s="259"/>
      <c r="J16" s="261"/>
      <c r="K16" s="261"/>
      <c r="L16" s="263"/>
      <c r="M16" s="268"/>
    </row>
    <row r="17" spans="1:13">
      <c r="A17" s="267"/>
      <c r="B17" s="271" t="s">
        <v>512</v>
      </c>
      <c r="C17" s="261"/>
      <c r="D17" s="261"/>
      <c r="E17" s="259"/>
      <c r="F17" s="259"/>
      <c r="G17" s="259"/>
      <c r="H17" s="259"/>
      <c r="I17" s="259"/>
      <c r="J17" s="261"/>
      <c r="K17" s="261"/>
      <c r="L17" s="263"/>
      <c r="M17" s="268"/>
    </row>
    <row r="18" spans="1:13" ht="31.5">
      <c r="A18" s="267"/>
      <c r="B18" s="272" t="s">
        <v>513</v>
      </c>
      <c r="C18" s="261"/>
      <c r="D18" s="261"/>
      <c r="E18" s="259"/>
      <c r="F18" s="259"/>
      <c r="G18" s="259"/>
      <c r="H18" s="259"/>
      <c r="I18" s="259"/>
      <c r="J18" s="261"/>
      <c r="K18" s="261"/>
      <c r="L18" s="263"/>
      <c r="M18" s="268"/>
    </row>
    <row r="19" spans="1:13" ht="20.45" customHeight="1">
      <c r="A19" s="267">
        <v>2</v>
      </c>
      <c r="B19" s="271" t="s">
        <v>505</v>
      </c>
      <c r="C19" s="261">
        <f>'[2]010-1'!I10</f>
        <v>84</v>
      </c>
      <c r="D19" s="261" t="s">
        <v>574</v>
      </c>
      <c r="E19" s="261">
        <f>'[2]010-1'!D10</f>
        <v>260000</v>
      </c>
      <c r="F19" s="259"/>
      <c r="G19" s="259"/>
      <c r="H19" s="545" t="s">
        <v>506</v>
      </c>
      <c r="I19" s="259">
        <f>C19*E19</f>
        <v>21840000</v>
      </c>
      <c r="J19" s="261">
        <v>0</v>
      </c>
      <c r="K19" s="261">
        <f>I19</f>
        <v>21840000</v>
      </c>
      <c r="L19" s="258" t="s">
        <v>507</v>
      </c>
      <c r="M19" s="268"/>
    </row>
    <row r="20" spans="1:13">
      <c r="A20" s="267"/>
      <c r="B20" s="271" t="s">
        <v>514</v>
      </c>
      <c r="C20" s="261"/>
      <c r="D20" s="261"/>
      <c r="E20" s="259"/>
      <c r="F20" s="259"/>
      <c r="G20" s="259"/>
      <c r="H20" s="545"/>
      <c r="I20" s="259"/>
      <c r="J20" s="261"/>
      <c r="K20" s="261"/>
      <c r="L20" s="251"/>
      <c r="M20" s="268"/>
    </row>
    <row r="21" spans="1:13">
      <c r="A21" s="267"/>
      <c r="B21" s="271" t="s">
        <v>515</v>
      </c>
      <c r="C21" s="261"/>
      <c r="D21" s="261"/>
      <c r="E21" s="259"/>
      <c r="F21" s="259"/>
      <c r="G21" s="259"/>
      <c r="H21" s="259"/>
      <c r="I21" s="259"/>
      <c r="J21" s="261"/>
      <c r="K21" s="261"/>
      <c r="L21" s="283"/>
      <c r="M21" s="268"/>
    </row>
    <row r="22" spans="1:13">
      <c r="A22" s="267"/>
      <c r="B22" s="287" t="s">
        <v>510</v>
      </c>
      <c r="C22" s="261"/>
      <c r="D22" s="261"/>
      <c r="E22" s="259"/>
      <c r="F22" s="259"/>
      <c r="G22" s="259"/>
      <c r="H22" s="259"/>
      <c r="I22" s="259"/>
      <c r="J22" s="261"/>
      <c r="K22" s="261"/>
      <c r="L22" s="251"/>
      <c r="M22" s="268"/>
    </row>
    <row r="23" spans="1:13">
      <c r="A23" s="267"/>
      <c r="B23" s="271" t="s">
        <v>511</v>
      </c>
      <c r="C23" s="261"/>
      <c r="D23" s="261"/>
      <c r="E23" s="259"/>
      <c r="F23" s="259"/>
      <c r="G23" s="259"/>
      <c r="H23" s="259"/>
      <c r="I23" s="259"/>
      <c r="J23" s="261"/>
      <c r="K23" s="261"/>
      <c r="L23" s="283"/>
      <c r="M23" s="268"/>
    </row>
    <row r="24" spans="1:13">
      <c r="A24" s="267"/>
      <c r="B24" s="271" t="s">
        <v>512</v>
      </c>
      <c r="C24" s="261"/>
      <c r="D24" s="261"/>
      <c r="E24" s="259"/>
      <c r="F24" s="259"/>
      <c r="G24" s="259"/>
      <c r="H24" s="259"/>
      <c r="I24" s="259"/>
      <c r="J24" s="261"/>
      <c r="K24" s="261"/>
      <c r="L24" s="282"/>
      <c r="M24" s="268"/>
    </row>
    <row r="25" spans="1:13" ht="31.5">
      <c r="A25" s="267"/>
      <c r="B25" s="272" t="s">
        <v>516</v>
      </c>
      <c r="C25" s="261"/>
      <c r="D25" s="261"/>
      <c r="E25" s="259"/>
      <c r="F25" s="259"/>
      <c r="G25" s="259"/>
      <c r="H25" s="259"/>
      <c r="I25" s="259"/>
      <c r="J25" s="261"/>
      <c r="K25" s="261"/>
      <c r="L25" s="282"/>
      <c r="M25" s="268"/>
    </row>
    <row r="26" spans="1:13">
      <c r="A26" s="267">
        <v>3</v>
      </c>
      <c r="B26" s="271" t="s">
        <v>517</v>
      </c>
      <c r="C26" s="261">
        <f>'[2]010-1'!I11</f>
        <v>750</v>
      </c>
      <c r="D26" s="261" t="s">
        <v>576</v>
      </c>
      <c r="E26" s="259">
        <f>'[2]010-1'!D11</f>
        <v>9357</v>
      </c>
      <c r="F26" s="259"/>
      <c r="G26" s="259"/>
      <c r="H26" s="545" t="s">
        <v>518</v>
      </c>
      <c r="I26" s="259">
        <f>C26*E26</f>
        <v>7017750</v>
      </c>
      <c r="J26" s="261">
        <f>C26*E26</f>
        <v>7017750</v>
      </c>
      <c r="K26" s="261">
        <v>0</v>
      </c>
      <c r="L26" s="251" t="s">
        <v>519</v>
      </c>
      <c r="M26" s="268"/>
    </row>
    <row r="27" spans="1:13">
      <c r="A27" s="267"/>
      <c r="B27" s="273" t="s">
        <v>520</v>
      </c>
      <c r="C27" s="261"/>
      <c r="D27" s="261"/>
      <c r="E27" s="259"/>
      <c r="F27" s="259"/>
      <c r="G27" s="259"/>
      <c r="H27" s="545"/>
      <c r="I27" s="259"/>
      <c r="J27" s="261"/>
      <c r="K27" s="261"/>
      <c r="L27" s="251"/>
      <c r="M27" s="268"/>
    </row>
    <row r="28" spans="1:13" ht="31.5">
      <c r="A28" s="267">
        <v>4</v>
      </c>
      <c r="B28" s="271" t="s">
        <v>522</v>
      </c>
      <c r="C28" s="261">
        <f>'[2]010-1'!I12</f>
        <v>225</v>
      </c>
      <c r="D28" s="261" t="s">
        <v>576</v>
      </c>
      <c r="E28" s="259">
        <f>'[2]010-1'!D12</f>
        <v>7886</v>
      </c>
      <c r="F28" s="259"/>
      <c r="G28" s="259"/>
      <c r="H28" s="545" t="s">
        <v>518</v>
      </c>
      <c r="I28" s="259">
        <f>C28*E28</f>
        <v>1774350</v>
      </c>
      <c r="J28" s="261">
        <f>I28</f>
        <v>1774350</v>
      </c>
      <c r="K28" s="261">
        <v>0</v>
      </c>
      <c r="L28" s="251" t="s">
        <v>519</v>
      </c>
      <c r="M28" s="268"/>
    </row>
    <row r="29" spans="1:13">
      <c r="A29" s="267"/>
      <c r="B29" s="273" t="s">
        <v>523</v>
      </c>
      <c r="C29" s="261"/>
      <c r="D29" s="261"/>
      <c r="E29" s="259"/>
      <c r="F29" s="259"/>
      <c r="G29" s="259"/>
      <c r="H29" s="545"/>
      <c r="I29" s="259"/>
      <c r="J29" s="261"/>
      <c r="K29" s="261"/>
      <c r="L29" s="251"/>
      <c r="M29" s="268"/>
    </row>
    <row r="30" spans="1:13">
      <c r="A30" s="267">
        <v>5</v>
      </c>
      <c r="B30" s="271" t="s">
        <v>524</v>
      </c>
      <c r="C30" s="261">
        <f>'[2]010-1'!I13</f>
        <v>169</v>
      </c>
      <c r="D30" s="261" t="s">
        <v>574</v>
      </c>
      <c r="E30" s="259">
        <f>'[2]010-1'!D13</f>
        <v>238400</v>
      </c>
      <c r="F30" s="259"/>
      <c r="G30" s="259"/>
      <c r="H30" s="545" t="s">
        <v>518</v>
      </c>
      <c r="I30" s="259">
        <f>C30*E30</f>
        <v>40289600</v>
      </c>
      <c r="J30" s="261"/>
      <c r="K30" s="261">
        <f>I30</f>
        <v>40289600</v>
      </c>
      <c r="L30" s="251" t="s">
        <v>525</v>
      </c>
      <c r="M30" s="268"/>
    </row>
    <row r="31" spans="1:13">
      <c r="A31" s="267"/>
      <c r="B31" s="284" t="s">
        <v>526</v>
      </c>
      <c r="C31" s="265"/>
      <c r="D31" s="265"/>
      <c r="E31" s="286"/>
      <c r="F31" s="285"/>
      <c r="G31" s="285"/>
      <c r="H31" s="545"/>
      <c r="I31" s="285"/>
      <c r="J31" s="265"/>
      <c r="K31" s="265"/>
      <c r="L31" s="251"/>
      <c r="M31" s="268"/>
    </row>
    <row r="32" spans="1:13" ht="31.5">
      <c r="A32" s="267"/>
      <c r="B32" s="271" t="s">
        <v>527</v>
      </c>
      <c r="C32" s="261"/>
      <c r="D32" s="261"/>
      <c r="E32" s="259"/>
      <c r="F32" s="259"/>
      <c r="G32" s="259"/>
      <c r="H32" s="259"/>
      <c r="I32" s="259"/>
      <c r="J32" s="261"/>
      <c r="K32" s="261"/>
      <c r="L32" s="251"/>
      <c r="M32" s="268"/>
    </row>
    <row r="33" spans="1:13" ht="31.5">
      <c r="A33" s="267"/>
      <c r="B33" s="271" t="s">
        <v>528</v>
      </c>
      <c r="C33" s="261"/>
      <c r="D33" s="261"/>
      <c r="E33" s="259"/>
      <c r="F33" s="259"/>
      <c r="G33" s="259"/>
      <c r="H33" s="259"/>
      <c r="I33" s="259"/>
      <c r="J33" s="261"/>
      <c r="K33" s="261"/>
      <c r="L33" s="251"/>
      <c r="M33" s="268"/>
    </row>
    <row r="34" spans="1:13">
      <c r="A34" s="267"/>
      <c r="B34" s="271" t="s">
        <v>529</v>
      </c>
      <c r="C34" s="261"/>
      <c r="D34" s="261"/>
      <c r="E34" s="259"/>
      <c r="F34" s="259"/>
      <c r="G34" s="259"/>
      <c r="H34" s="259"/>
      <c r="I34" s="259"/>
      <c r="J34" s="261"/>
      <c r="K34" s="261"/>
      <c r="L34" s="251"/>
      <c r="M34" s="268"/>
    </row>
    <row r="35" spans="1:13" ht="31.5">
      <c r="A35" s="267"/>
      <c r="B35" s="272" t="s">
        <v>530</v>
      </c>
      <c r="C35" s="261"/>
      <c r="D35" s="261"/>
      <c r="E35" s="259"/>
      <c r="F35" s="259"/>
      <c r="G35" s="259"/>
      <c r="H35" s="259"/>
      <c r="I35" s="259"/>
      <c r="J35" s="261"/>
      <c r="K35" s="261"/>
      <c r="L35" s="282"/>
      <c r="M35" s="268"/>
    </row>
    <row r="36" spans="1:13">
      <c r="A36" s="267">
        <v>6</v>
      </c>
      <c r="B36" s="271" t="s">
        <v>524</v>
      </c>
      <c r="C36" s="261">
        <f>'[2]010-1'!I14</f>
        <v>28</v>
      </c>
      <c r="D36" s="261" t="s">
        <v>574</v>
      </c>
      <c r="E36" s="259">
        <f>'[2]010-1'!D14</f>
        <v>313000</v>
      </c>
      <c r="F36" s="259"/>
      <c r="G36" s="259"/>
      <c r="H36" s="545" t="s">
        <v>518</v>
      </c>
      <c r="I36" s="259">
        <f>C36*E36</f>
        <v>8764000</v>
      </c>
      <c r="J36" s="261"/>
      <c r="K36" s="261">
        <f>I36</f>
        <v>8764000</v>
      </c>
      <c r="L36" s="251" t="s">
        <v>525</v>
      </c>
      <c r="M36" s="268"/>
    </row>
    <row r="37" spans="1:13">
      <c r="A37" s="267"/>
      <c r="B37" s="284" t="s">
        <v>531</v>
      </c>
      <c r="C37" s="261"/>
      <c r="D37" s="261"/>
      <c r="E37" s="259"/>
      <c r="F37" s="259"/>
      <c r="H37" s="545"/>
      <c r="I37" s="259"/>
      <c r="J37" s="261"/>
      <c r="K37" s="261"/>
      <c r="L37" s="283"/>
      <c r="M37" s="268"/>
    </row>
    <row r="38" spans="1:13" ht="31.5">
      <c r="A38" s="267"/>
      <c r="B38" s="271" t="s">
        <v>527</v>
      </c>
      <c r="C38" s="261"/>
      <c r="D38" s="261"/>
      <c r="E38" s="259"/>
      <c r="F38" s="259"/>
      <c r="G38" s="259"/>
      <c r="H38" s="259"/>
      <c r="I38" s="259"/>
      <c r="J38" s="261"/>
      <c r="K38" s="261"/>
      <c r="L38" s="283"/>
      <c r="M38" s="268"/>
    </row>
    <row r="39" spans="1:13" ht="31.5">
      <c r="A39" s="267"/>
      <c r="B39" s="271" t="s">
        <v>528</v>
      </c>
      <c r="C39" s="261"/>
      <c r="D39" s="261"/>
      <c r="E39" s="259"/>
      <c r="F39" s="259"/>
      <c r="G39" s="259"/>
      <c r="H39" s="259"/>
      <c r="I39" s="259"/>
      <c r="J39" s="261"/>
      <c r="K39" s="261"/>
      <c r="L39" s="282"/>
      <c r="M39" s="268"/>
    </row>
    <row r="40" spans="1:13">
      <c r="A40" s="267"/>
      <c r="B40" s="271" t="s">
        <v>532</v>
      </c>
      <c r="C40" s="261"/>
      <c r="D40" s="261"/>
      <c r="E40" s="259"/>
      <c r="F40" s="259"/>
      <c r="G40" s="259"/>
      <c r="H40" s="259"/>
      <c r="I40" s="259"/>
      <c r="J40" s="261"/>
      <c r="K40" s="261"/>
      <c r="L40" s="282"/>
      <c r="M40" s="268"/>
    </row>
    <row r="41" spans="1:13" ht="31.5">
      <c r="A41" s="281"/>
      <c r="B41" s="280" t="s">
        <v>533</v>
      </c>
      <c r="C41" s="278"/>
      <c r="D41" s="278"/>
      <c r="E41" s="279"/>
      <c r="F41" s="279"/>
      <c r="G41" s="279"/>
      <c r="H41" s="279"/>
      <c r="I41" s="279"/>
      <c r="J41" s="278"/>
      <c r="K41" s="278"/>
      <c r="L41" s="277"/>
      <c r="M41" s="268"/>
    </row>
    <row r="42" spans="1:13">
      <c r="A42" s="267">
        <v>7</v>
      </c>
      <c r="B42" s="271" t="s">
        <v>534</v>
      </c>
      <c r="C42" s="261">
        <f>'[2]010-1'!I15</f>
        <v>70</v>
      </c>
      <c r="D42" s="261" t="s">
        <v>579</v>
      </c>
      <c r="E42" s="259">
        <f>'[2]010-1'!D15</f>
        <v>51360</v>
      </c>
      <c r="F42" s="259"/>
      <c r="G42" s="259"/>
      <c r="H42" s="566" t="s">
        <v>535</v>
      </c>
      <c r="I42" s="259">
        <f>C42*E42</f>
        <v>3595200</v>
      </c>
      <c r="J42" s="276">
        <f>I42</f>
        <v>3595200</v>
      </c>
      <c r="K42" s="276">
        <v>0</v>
      </c>
      <c r="L42" s="275" t="s">
        <v>536</v>
      </c>
      <c r="M42" s="268"/>
    </row>
    <row r="43" spans="1:13">
      <c r="A43" s="267"/>
      <c r="B43" s="271" t="s">
        <v>537</v>
      </c>
      <c r="C43" s="261"/>
      <c r="D43" s="261"/>
      <c r="E43" s="259"/>
      <c r="F43" s="259"/>
      <c r="G43" s="259"/>
      <c r="H43" s="566"/>
      <c r="I43" s="259"/>
      <c r="J43" s="261"/>
      <c r="K43" s="261"/>
      <c r="L43" s="251"/>
      <c r="M43" s="268"/>
    </row>
    <row r="44" spans="1:13">
      <c r="A44" s="267"/>
      <c r="B44" s="273" t="s">
        <v>538</v>
      </c>
      <c r="C44" s="261"/>
      <c r="D44" s="261"/>
      <c r="E44" s="259"/>
      <c r="F44" s="259"/>
      <c r="G44" s="259"/>
      <c r="H44" s="566"/>
      <c r="I44" s="259"/>
      <c r="J44" s="261"/>
      <c r="K44" s="261"/>
      <c r="L44" s="251"/>
      <c r="M44" s="268"/>
    </row>
    <row r="45" spans="1:13">
      <c r="A45" s="267">
        <v>8</v>
      </c>
      <c r="B45" s="271" t="s">
        <v>539</v>
      </c>
      <c r="C45" s="261">
        <f>'[2]010-1'!I16</f>
        <v>17</v>
      </c>
      <c r="D45" s="261" t="s">
        <v>579</v>
      </c>
      <c r="E45" s="259">
        <f>'[2]010-1'!D16</f>
        <v>61030</v>
      </c>
      <c r="F45" s="259"/>
      <c r="G45" s="259"/>
      <c r="H45" s="566" t="s">
        <v>535</v>
      </c>
      <c r="I45" s="259">
        <f>C45*E45</f>
        <v>1037510</v>
      </c>
      <c r="J45" s="261">
        <f>I45</f>
        <v>1037510</v>
      </c>
      <c r="K45" s="261">
        <v>0</v>
      </c>
      <c r="L45" s="258" t="s">
        <v>536</v>
      </c>
      <c r="M45" s="268"/>
    </row>
    <row r="46" spans="1:13">
      <c r="A46" s="267"/>
      <c r="B46" s="271" t="s">
        <v>537</v>
      </c>
      <c r="C46" s="261"/>
      <c r="D46" s="261"/>
      <c r="E46" s="259"/>
      <c r="F46" s="259"/>
      <c r="G46" s="259"/>
      <c r="H46" s="566"/>
      <c r="I46" s="259"/>
      <c r="J46" s="261"/>
      <c r="K46" s="261"/>
      <c r="L46" s="274"/>
      <c r="M46" s="268"/>
    </row>
    <row r="47" spans="1:13">
      <c r="A47" s="267"/>
      <c r="B47" s="273" t="s">
        <v>540</v>
      </c>
      <c r="C47" s="261"/>
      <c r="D47" s="261"/>
      <c r="E47" s="259"/>
      <c r="F47" s="259"/>
      <c r="G47" s="259"/>
      <c r="H47" s="566"/>
      <c r="I47" s="259"/>
      <c r="J47" s="261"/>
      <c r="K47" s="261"/>
      <c r="L47" s="274"/>
      <c r="M47" s="268"/>
    </row>
    <row r="48" spans="1:13">
      <c r="A48" s="267">
        <v>9</v>
      </c>
      <c r="B48" s="271" t="s">
        <v>541</v>
      </c>
      <c r="C48" s="261">
        <f>'[2]010-1'!I17</f>
        <v>33</v>
      </c>
      <c r="D48" s="261" t="s">
        <v>579</v>
      </c>
      <c r="E48" s="259">
        <f>'[2]010-1'!D17</f>
        <v>19090</v>
      </c>
      <c r="F48" s="259"/>
      <c r="G48" s="259"/>
      <c r="H48" s="567" t="s">
        <v>535</v>
      </c>
      <c r="I48" s="259">
        <f>C48*E48</f>
        <v>629970</v>
      </c>
      <c r="J48" s="261">
        <f>E48*C48</f>
        <v>629970</v>
      </c>
      <c r="K48" s="261">
        <v>0</v>
      </c>
      <c r="L48" s="258" t="s">
        <v>536</v>
      </c>
      <c r="M48" s="268"/>
    </row>
    <row r="49" spans="1:13" ht="31.5">
      <c r="A49" s="267"/>
      <c r="B49" s="273" t="s">
        <v>542</v>
      </c>
      <c r="C49" s="261"/>
      <c r="D49" s="261"/>
      <c r="E49" s="259"/>
      <c r="F49" s="259"/>
      <c r="G49" s="259"/>
      <c r="H49" s="567"/>
      <c r="I49" s="259"/>
      <c r="J49" s="261"/>
      <c r="K49" s="261"/>
      <c r="L49" s="263"/>
      <c r="M49" s="268"/>
    </row>
    <row r="50" spans="1:13">
      <c r="A50" s="267">
        <v>10</v>
      </c>
      <c r="B50" s="271" t="s">
        <v>543</v>
      </c>
      <c r="C50" s="261">
        <f>'[2]010-1'!I18</f>
        <v>15</v>
      </c>
      <c r="D50" s="261" t="s">
        <v>579</v>
      </c>
      <c r="E50" s="259">
        <f>'[2]010-1'!D18</f>
        <v>33650</v>
      </c>
      <c r="F50" s="259"/>
      <c r="G50" s="259"/>
      <c r="H50" s="567" t="s">
        <v>535</v>
      </c>
      <c r="I50" s="259">
        <f>C50*E50</f>
        <v>504750</v>
      </c>
      <c r="J50" s="261">
        <f>E50*C50</f>
        <v>504750</v>
      </c>
      <c r="K50" s="261">
        <v>0</v>
      </c>
      <c r="L50" s="258" t="s">
        <v>536</v>
      </c>
      <c r="M50" s="268"/>
    </row>
    <row r="51" spans="1:13" ht="31.5">
      <c r="A51" s="267"/>
      <c r="B51" s="273" t="s">
        <v>544</v>
      </c>
      <c r="C51" s="261"/>
      <c r="D51" s="261"/>
      <c r="E51" s="259"/>
      <c r="F51" s="259"/>
      <c r="G51" s="259"/>
      <c r="H51" s="567"/>
      <c r="I51" s="259"/>
      <c r="J51" s="261"/>
      <c r="K51" s="261"/>
      <c r="L51" s="263"/>
      <c r="M51" s="268"/>
    </row>
    <row r="52" spans="1:13">
      <c r="A52" s="267">
        <v>11</v>
      </c>
      <c r="B52" s="271" t="s">
        <v>545</v>
      </c>
      <c r="C52" s="261">
        <f>'[2]010-1'!I19</f>
        <v>1026</v>
      </c>
      <c r="D52" s="261" t="s">
        <v>576</v>
      </c>
      <c r="E52" s="259">
        <f>'[2]010-1'!D19</f>
        <v>5222</v>
      </c>
      <c r="F52" s="259"/>
      <c r="G52" s="259"/>
      <c r="H52" s="545" t="s">
        <v>518</v>
      </c>
      <c r="I52" s="259">
        <f>C52*E52</f>
        <v>5357772</v>
      </c>
      <c r="J52" s="261">
        <f>I52</f>
        <v>5357772</v>
      </c>
      <c r="K52" s="261">
        <v>0</v>
      </c>
      <c r="L52" s="251" t="s">
        <v>519</v>
      </c>
      <c r="M52" s="268"/>
    </row>
    <row r="53" spans="1:13">
      <c r="A53" s="267"/>
      <c r="B53" s="273" t="s">
        <v>546</v>
      </c>
      <c r="C53" s="261"/>
      <c r="D53" s="261"/>
      <c r="E53" s="259"/>
      <c r="F53" s="259"/>
      <c r="G53" s="259"/>
      <c r="H53" s="545"/>
      <c r="I53" s="259"/>
      <c r="J53" s="261"/>
      <c r="K53" s="261"/>
      <c r="L53" s="251"/>
      <c r="M53" s="268"/>
    </row>
    <row r="54" spans="1:13">
      <c r="A54" s="267">
        <v>12</v>
      </c>
      <c r="B54" s="271" t="s">
        <v>547</v>
      </c>
      <c r="C54" s="261">
        <f>'[2]010-1'!I20</f>
        <v>135</v>
      </c>
      <c r="D54" s="261" t="s">
        <v>576</v>
      </c>
      <c r="E54" s="259">
        <f>'[2]010-1'!D20</f>
        <v>8263</v>
      </c>
      <c r="F54" s="259"/>
      <c r="G54" s="259"/>
      <c r="H54" s="545" t="s">
        <v>518</v>
      </c>
      <c r="I54" s="259">
        <f>C54*E54</f>
        <v>1115505</v>
      </c>
      <c r="J54" s="261">
        <f>I54</f>
        <v>1115505</v>
      </c>
      <c r="K54" s="261">
        <v>0</v>
      </c>
      <c r="L54" s="251" t="s">
        <v>519</v>
      </c>
      <c r="M54" s="268"/>
    </row>
    <row r="55" spans="1:13">
      <c r="A55" s="267"/>
      <c r="B55" s="273" t="s">
        <v>548</v>
      </c>
      <c r="C55" s="261"/>
      <c r="D55" s="261"/>
      <c r="E55" s="259"/>
      <c r="F55" s="259"/>
      <c r="G55" s="259"/>
      <c r="H55" s="545"/>
      <c r="I55" s="259"/>
      <c r="J55" s="261"/>
      <c r="K55" s="261"/>
      <c r="L55" s="251"/>
      <c r="M55" s="268"/>
    </row>
    <row r="56" spans="1:13" ht="47.25">
      <c r="A56" s="267">
        <v>13</v>
      </c>
      <c r="B56" s="272" t="s">
        <v>549</v>
      </c>
      <c r="C56" s="261">
        <f>'[2]010-1'!I21</f>
        <v>0</v>
      </c>
      <c r="D56" s="261" t="s">
        <v>574</v>
      </c>
      <c r="E56" s="259">
        <f>'[2]010-1'!D21</f>
        <v>3900000</v>
      </c>
      <c r="F56" s="259"/>
      <c r="G56" s="259"/>
      <c r="H56" s="567" t="s">
        <v>535</v>
      </c>
      <c r="I56" s="259">
        <f>C56*E56</f>
        <v>0</v>
      </c>
      <c r="J56" s="261"/>
      <c r="K56" s="261">
        <f>I56</f>
        <v>0</v>
      </c>
      <c r="L56" s="251" t="s">
        <v>525</v>
      </c>
      <c r="M56" s="268"/>
    </row>
    <row r="57" spans="1:13">
      <c r="A57" s="267"/>
      <c r="B57" s="266" t="s">
        <v>550</v>
      </c>
      <c r="C57" s="261"/>
      <c r="D57" s="261"/>
      <c r="E57" s="259"/>
      <c r="F57" s="259"/>
      <c r="G57" s="259"/>
      <c r="H57" s="567"/>
      <c r="I57" s="259"/>
      <c r="J57" s="261"/>
      <c r="K57" s="261"/>
      <c r="L57" s="251"/>
      <c r="M57" s="268"/>
    </row>
    <row r="58" spans="1:13" ht="31.5">
      <c r="A58" s="267">
        <v>14</v>
      </c>
      <c r="B58" s="271" t="s">
        <v>551</v>
      </c>
      <c r="C58" s="265">
        <f>'[2]010-1'!I22</f>
        <v>0</v>
      </c>
      <c r="D58" s="261" t="s">
        <v>574</v>
      </c>
      <c r="E58" s="259">
        <f>'[2]010-1'!D22</f>
        <v>406900</v>
      </c>
      <c r="F58" s="259"/>
      <c r="G58" s="259"/>
      <c r="H58" s="545" t="s">
        <v>518</v>
      </c>
      <c r="I58" s="259">
        <f>C58*E58</f>
        <v>0</v>
      </c>
      <c r="J58" s="265">
        <v>0</v>
      </c>
      <c r="K58" s="269">
        <f>I58</f>
        <v>0</v>
      </c>
      <c r="L58" s="258" t="s">
        <v>507</v>
      </c>
      <c r="M58" s="268"/>
    </row>
    <row r="59" spans="1:13">
      <c r="A59" s="267"/>
      <c r="B59" s="271" t="s">
        <v>552</v>
      </c>
      <c r="C59" s="265"/>
      <c r="D59" s="265"/>
      <c r="E59" s="259"/>
      <c r="F59" s="259"/>
      <c r="G59" s="259"/>
      <c r="H59" s="545"/>
      <c r="I59" s="270"/>
      <c r="J59" s="265"/>
      <c r="K59" s="269"/>
      <c r="L59" s="251"/>
      <c r="M59" s="268"/>
    </row>
    <row r="60" spans="1:13">
      <c r="A60" s="267"/>
      <c r="B60" s="266" t="s">
        <v>553</v>
      </c>
      <c r="C60" s="265"/>
      <c r="D60" s="265"/>
      <c r="E60" s="259"/>
      <c r="F60" s="259"/>
      <c r="G60" s="259"/>
      <c r="H60" s="259"/>
      <c r="I60" s="259"/>
      <c r="J60" s="264"/>
      <c r="K60" s="264"/>
      <c r="L60" s="251"/>
    </row>
    <row r="61" spans="1:13" s="231" customFormat="1" ht="21" customHeight="1">
      <c r="A61" s="257">
        <v>15</v>
      </c>
      <c r="B61" s="256" t="s">
        <v>554</v>
      </c>
      <c r="C61" s="255">
        <f>'[2]010-1'!I23</f>
        <v>500</v>
      </c>
      <c r="D61" s="255" t="s">
        <v>580</v>
      </c>
      <c r="E61" s="254">
        <f>'[2]010-1'!D23</f>
        <v>650.46</v>
      </c>
      <c r="F61" s="254"/>
      <c r="G61" s="254"/>
      <c r="H61" s="567" t="s">
        <v>535</v>
      </c>
      <c r="I61" s="254">
        <f>C61*E61</f>
        <v>325230</v>
      </c>
      <c r="J61" s="255">
        <v>0</v>
      </c>
      <c r="K61" s="255">
        <f>I61</f>
        <v>325230</v>
      </c>
      <c r="L61" s="258" t="s">
        <v>507</v>
      </c>
    </row>
    <row r="62" spans="1:13" s="231" customFormat="1">
      <c r="A62" s="257"/>
      <c r="B62" s="256" t="s">
        <v>555</v>
      </c>
      <c r="C62" s="255"/>
      <c r="D62" s="255"/>
      <c r="E62" s="254"/>
      <c r="F62" s="254"/>
      <c r="G62" s="254"/>
      <c r="H62" s="567"/>
      <c r="I62" s="254"/>
      <c r="J62" s="255"/>
      <c r="K62" s="255"/>
      <c r="L62" s="263"/>
    </row>
    <row r="63" spans="1:13" s="250" customFormat="1" ht="21" customHeight="1">
      <c r="A63" s="257">
        <v>16</v>
      </c>
      <c r="B63" s="256" t="s">
        <v>556</v>
      </c>
      <c r="C63" s="255">
        <f>'[2]010-1'!I24</f>
        <v>0</v>
      </c>
      <c r="D63" s="255" t="s">
        <v>580</v>
      </c>
      <c r="E63" s="254">
        <f>'[2]010-1'!D24</f>
        <v>623</v>
      </c>
      <c r="F63" s="253"/>
      <c r="G63" s="253"/>
      <c r="H63" s="567" t="s">
        <v>535</v>
      </c>
      <c r="I63" s="259">
        <f>C63*E63</f>
        <v>0</v>
      </c>
      <c r="J63" s="255">
        <v>0</v>
      </c>
      <c r="K63" s="255">
        <f>I63</f>
        <v>0</v>
      </c>
      <c r="L63" s="258" t="s">
        <v>507</v>
      </c>
      <c r="M63" s="231"/>
    </row>
    <row r="64" spans="1:13" s="250" customFormat="1">
      <c r="A64" s="257"/>
      <c r="B64" s="256" t="s">
        <v>557</v>
      </c>
      <c r="C64" s="255"/>
      <c r="D64" s="255"/>
      <c r="E64" s="254"/>
      <c r="F64" s="253"/>
      <c r="G64" s="253"/>
      <c r="H64" s="567"/>
      <c r="I64" s="259"/>
      <c r="J64" s="261"/>
      <c r="K64" s="252"/>
      <c r="L64" s="263"/>
      <c r="M64" s="231"/>
    </row>
    <row r="65" spans="1:13" s="250" customFormat="1" ht="21" customHeight="1">
      <c r="A65" s="257">
        <v>17</v>
      </c>
      <c r="B65" s="256" t="s">
        <v>558</v>
      </c>
      <c r="C65" s="255">
        <f>'[2]010-1'!I25</f>
        <v>500</v>
      </c>
      <c r="D65" s="255" t="s">
        <v>580</v>
      </c>
      <c r="E65" s="254">
        <f>'[2]010-1'!D25</f>
        <v>700</v>
      </c>
      <c r="F65" s="253"/>
      <c r="G65" s="253"/>
      <c r="H65" s="567" t="s">
        <v>535</v>
      </c>
      <c r="I65" s="259">
        <f>C65*E65</f>
        <v>350000</v>
      </c>
      <c r="J65" s="255">
        <v>0</v>
      </c>
      <c r="K65" s="255">
        <f>I65</f>
        <v>350000</v>
      </c>
      <c r="L65" s="258" t="s">
        <v>507</v>
      </c>
      <c r="M65" s="231"/>
    </row>
    <row r="66" spans="1:13" s="250" customFormat="1">
      <c r="A66" s="257"/>
      <c r="B66" s="256" t="s">
        <v>559</v>
      </c>
      <c r="C66" s="255"/>
      <c r="D66" s="255"/>
      <c r="E66" s="254"/>
      <c r="F66" s="253"/>
      <c r="G66" s="253"/>
      <c r="H66" s="567"/>
      <c r="I66" s="259"/>
      <c r="J66" s="261"/>
      <c r="K66" s="252"/>
      <c r="L66" s="263"/>
      <c r="M66" s="231"/>
    </row>
    <row r="67" spans="1:13" s="250" customFormat="1" ht="21" customHeight="1">
      <c r="A67" s="257">
        <v>18</v>
      </c>
      <c r="B67" s="256" t="s">
        <v>560</v>
      </c>
      <c r="C67" s="255">
        <f>'[2]010-1'!I26</f>
        <v>500</v>
      </c>
      <c r="D67" s="255" t="s">
        <v>580</v>
      </c>
      <c r="E67" s="254">
        <f>'[2]010-1'!D26</f>
        <v>800</v>
      </c>
      <c r="F67" s="253"/>
      <c r="G67" s="253"/>
      <c r="H67" s="567" t="s">
        <v>535</v>
      </c>
      <c r="I67" s="259">
        <f>C67*E67</f>
        <v>400000</v>
      </c>
      <c r="J67" s="255">
        <v>0</v>
      </c>
      <c r="K67" s="255">
        <f>I67</f>
        <v>400000</v>
      </c>
      <c r="L67" s="258" t="s">
        <v>507</v>
      </c>
      <c r="M67" s="231"/>
    </row>
    <row r="68" spans="1:13" s="250" customFormat="1">
      <c r="A68" s="262"/>
      <c r="B68" s="256" t="s">
        <v>561</v>
      </c>
      <c r="C68" s="252"/>
      <c r="D68" s="252"/>
      <c r="E68" s="253"/>
      <c r="F68" s="253"/>
      <c r="G68" s="253"/>
      <c r="H68" s="567"/>
      <c r="I68" s="253"/>
      <c r="J68" s="252"/>
      <c r="K68" s="252"/>
      <c r="L68" s="251"/>
      <c r="M68" s="231"/>
    </row>
    <row r="69" spans="1:13" s="250" customFormat="1" ht="21.75" customHeight="1">
      <c r="A69" s="257">
        <v>19</v>
      </c>
      <c r="B69" s="256" t="s">
        <v>562</v>
      </c>
      <c r="C69" s="255">
        <f>'[2]010-1'!I27</f>
        <v>2000</v>
      </c>
      <c r="D69" s="255" t="s">
        <v>580</v>
      </c>
      <c r="E69" s="254">
        <f>'[2]010-1'!D27</f>
        <v>1200</v>
      </c>
      <c r="F69" s="253"/>
      <c r="G69" s="260"/>
      <c r="H69" s="545" t="s">
        <v>506</v>
      </c>
      <c r="I69" s="259">
        <f>C69*E69</f>
        <v>2400000</v>
      </c>
      <c r="J69" s="255">
        <v>0</v>
      </c>
      <c r="K69" s="255">
        <f>I69</f>
        <v>2400000</v>
      </c>
      <c r="L69" s="258" t="s">
        <v>507</v>
      </c>
      <c r="M69" s="231"/>
    </row>
    <row r="70" spans="1:13" s="250" customFormat="1">
      <c r="A70" s="257"/>
      <c r="B70" s="256" t="s">
        <v>563</v>
      </c>
      <c r="C70" s="255"/>
      <c r="D70" s="255"/>
      <c r="E70" s="254"/>
      <c r="F70" s="253"/>
      <c r="G70" s="253"/>
      <c r="H70" s="545"/>
      <c r="I70" s="259"/>
      <c r="J70" s="261"/>
      <c r="K70" s="252"/>
      <c r="L70" s="251"/>
      <c r="M70" s="231"/>
    </row>
    <row r="71" spans="1:13" s="250" customFormat="1" ht="21" customHeight="1">
      <c r="A71" s="257">
        <v>20</v>
      </c>
      <c r="B71" s="256" t="s">
        <v>564</v>
      </c>
      <c r="C71" s="255">
        <f>'[2]010-1'!I28</f>
        <v>8000</v>
      </c>
      <c r="D71" s="255" t="s">
        <v>580</v>
      </c>
      <c r="E71" s="254">
        <f>'[2]010-1'!D28</f>
        <v>1900</v>
      </c>
      <c r="F71" s="253"/>
      <c r="G71" s="260"/>
      <c r="H71" s="545" t="s">
        <v>506</v>
      </c>
      <c r="I71" s="259">
        <f>C71*E71</f>
        <v>15200000</v>
      </c>
      <c r="J71" s="255">
        <v>0</v>
      </c>
      <c r="K71" s="255">
        <f>I71</f>
        <v>15200000</v>
      </c>
      <c r="L71" s="258" t="s">
        <v>507</v>
      </c>
      <c r="M71" s="231"/>
    </row>
    <row r="72" spans="1:13" s="250" customFormat="1">
      <c r="A72" s="257"/>
      <c r="B72" s="256" t="s">
        <v>565</v>
      </c>
      <c r="C72" s="255"/>
      <c r="D72" s="255"/>
      <c r="E72" s="254"/>
      <c r="F72" s="253"/>
      <c r="G72" s="253"/>
      <c r="H72" s="545"/>
      <c r="I72" s="259"/>
      <c r="J72" s="261"/>
      <c r="K72" s="252"/>
      <c r="L72" s="251"/>
      <c r="M72" s="231"/>
    </row>
    <row r="73" spans="1:13" s="250" customFormat="1" ht="21" customHeight="1">
      <c r="A73" s="257">
        <v>21</v>
      </c>
      <c r="B73" s="256" t="s">
        <v>566</v>
      </c>
      <c r="C73" s="255">
        <f>'[2]010-1'!I29</f>
        <v>3500</v>
      </c>
      <c r="D73" s="255" t="s">
        <v>580</v>
      </c>
      <c r="E73" s="254">
        <f>'[2]010-1'!D29</f>
        <v>1500</v>
      </c>
      <c r="F73" s="253"/>
      <c r="G73" s="260"/>
      <c r="H73" s="545" t="s">
        <v>506</v>
      </c>
      <c r="I73" s="259">
        <f>C73*E73</f>
        <v>5250000</v>
      </c>
      <c r="J73" s="255">
        <v>0</v>
      </c>
      <c r="K73" s="255">
        <f>I73</f>
        <v>5250000</v>
      </c>
      <c r="L73" s="258" t="s">
        <v>507</v>
      </c>
      <c r="M73" s="231"/>
    </row>
    <row r="74" spans="1:13" s="250" customFormat="1">
      <c r="A74" s="257"/>
      <c r="B74" s="256" t="s">
        <v>567</v>
      </c>
      <c r="C74" s="255"/>
      <c r="D74" s="255"/>
      <c r="E74" s="254"/>
      <c r="F74" s="253"/>
      <c r="G74" s="253"/>
      <c r="H74" s="545"/>
      <c r="I74" s="259"/>
      <c r="J74" s="261"/>
      <c r="K74" s="252"/>
      <c r="L74" s="251"/>
      <c r="M74" s="231"/>
    </row>
    <row r="75" spans="1:13" s="250" customFormat="1" ht="21" customHeight="1">
      <c r="A75" s="257">
        <v>22</v>
      </c>
      <c r="B75" s="256" t="s">
        <v>568</v>
      </c>
      <c r="C75" s="255">
        <f>'[2]010-1'!I30</f>
        <v>10000</v>
      </c>
      <c r="D75" s="255" t="s">
        <v>580</v>
      </c>
      <c r="E75" s="254">
        <f>'[2]010-1'!D30</f>
        <v>2200</v>
      </c>
      <c r="F75" s="253"/>
      <c r="G75" s="260"/>
      <c r="H75" s="545" t="s">
        <v>506</v>
      </c>
      <c r="I75" s="259">
        <f>C75*E75</f>
        <v>22000000</v>
      </c>
      <c r="J75" s="255">
        <v>0</v>
      </c>
      <c r="K75" s="255">
        <f>I75</f>
        <v>22000000</v>
      </c>
      <c r="L75" s="258" t="s">
        <v>507</v>
      </c>
      <c r="M75" s="231"/>
    </row>
    <row r="76" spans="1:13" s="250" customFormat="1">
      <c r="A76" s="257"/>
      <c r="B76" s="256" t="s">
        <v>569</v>
      </c>
      <c r="C76" s="255"/>
      <c r="D76" s="255"/>
      <c r="E76" s="254"/>
      <c r="F76" s="253"/>
      <c r="G76" s="253"/>
      <c r="H76" s="545"/>
      <c r="I76" s="253"/>
      <c r="J76" s="252"/>
      <c r="K76" s="252"/>
      <c r="L76" s="251"/>
      <c r="M76" s="231"/>
    </row>
    <row r="77" spans="1:13">
      <c r="A77" s="249"/>
      <c r="B77" s="248" t="s">
        <v>570</v>
      </c>
      <c r="C77" s="247"/>
      <c r="D77" s="247"/>
      <c r="E77" s="246"/>
      <c r="F77" s="245"/>
      <c r="G77" s="245"/>
      <c r="H77" s="245"/>
      <c r="I77" s="245"/>
      <c r="J77" s="244">
        <f>SUM(J12:J76)</f>
        <v>21032807</v>
      </c>
      <c r="K77" s="243">
        <f>SUM(K12:K76)</f>
        <v>198718830</v>
      </c>
      <c r="L77" s="242"/>
    </row>
    <row r="78" spans="1:13">
      <c r="A78" s="240"/>
      <c r="B78" s="241" t="s">
        <v>35</v>
      </c>
      <c r="C78" s="238"/>
      <c r="D78" s="238"/>
      <c r="E78" s="237"/>
      <c r="F78" s="236"/>
      <c r="G78" s="236"/>
      <c r="H78" s="236"/>
      <c r="I78" s="236"/>
      <c r="J78" s="568">
        <f>'[2]010-1'!J32</f>
        <v>13382875</v>
      </c>
      <c r="K78" s="569"/>
      <c r="L78" s="234"/>
    </row>
    <row r="79" spans="1:13">
      <c r="A79" s="240"/>
      <c r="B79" s="239" t="s">
        <v>571</v>
      </c>
      <c r="C79" s="238"/>
      <c r="D79" s="238"/>
      <c r="E79" s="237"/>
      <c r="F79" s="236"/>
      <c r="G79" s="236"/>
      <c r="H79" s="236"/>
      <c r="I79" s="235"/>
      <c r="J79" s="570">
        <f>J77+K77+J78</f>
        <v>233134512</v>
      </c>
      <c r="K79" s="571"/>
      <c r="L79" s="234"/>
    </row>
  </sheetData>
  <mergeCells count="37">
    <mergeCell ref="H28:H29"/>
    <mergeCell ref="A2:L2"/>
    <mergeCell ref="A3:L3"/>
    <mergeCell ref="A4:L4"/>
    <mergeCell ref="A5:L5"/>
    <mergeCell ref="A6:M6"/>
    <mergeCell ref="A10:A11"/>
    <mergeCell ref="B10:B11"/>
    <mergeCell ref="C10:C11"/>
    <mergeCell ref="F10:H10"/>
    <mergeCell ref="I10:I11"/>
    <mergeCell ref="J10:K10"/>
    <mergeCell ref="L10:L11"/>
    <mergeCell ref="H12:H13"/>
    <mergeCell ref="H19:H20"/>
    <mergeCell ref="H26:H27"/>
    <mergeCell ref="H52:H53"/>
    <mergeCell ref="H54:H55"/>
    <mergeCell ref="H56:H57"/>
    <mergeCell ref="H58:H59"/>
    <mergeCell ref="H61:H62"/>
    <mergeCell ref="D10:D11"/>
    <mergeCell ref="J78:K78"/>
    <mergeCell ref="J79:K79"/>
    <mergeCell ref="H65:H66"/>
    <mergeCell ref="H67:H68"/>
    <mergeCell ref="H69:H70"/>
    <mergeCell ref="H71:H72"/>
    <mergeCell ref="H73:H74"/>
    <mergeCell ref="H75:H76"/>
    <mergeCell ref="H63:H64"/>
    <mergeCell ref="H30:H31"/>
    <mergeCell ref="H36:H37"/>
    <mergeCell ref="H42:H44"/>
    <mergeCell ref="H45:H47"/>
    <mergeCell ref="H48:H49"/>
    <mergeCell ref="H50:H51"/>
  </mergeCells>
  <printOptions horizontalCentered="1"/>
  <pageMargins left="0.62992125984251968" right="0.39370078740157483" top="0.78740157480314965" bottom="0.59055118110236227" header="0.51181102362204722" footer="0.51181102362204722"/>
  <pageSetup paperSize="9" scale="64" fitToWidth="0" fitToHeight="0" orientation="portrait" r:id="rId1"/>
  <headerFooter alignWithMargins="0"/>
  <rowBreaks count="1" manualBreakCount="1">
    <brk id="41" max="10" man="1"/>
  </row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F29C-2A80-4912-B3D9-D0F74D3362E9}">
  <dimension ref="A1:AA25"/>
  <sheetViews>
    <sheetView view="pageBreakPreview" zoomScale="112" zoomScaleNormal="100" zoomScaleSheetLayoutView="112" workbookViewId="0">
      <selection activeCell="A5" sqref="A5"/>
    </sheetView>
    <sheetView workbookViewId="1">
      <selection activeCell="D21" sqref="D21:O21"/>
    </sheetView>
  </sheetViews>
  <sheetFormatPr defaultColWidth="9.140625" defaultRowHeight="21"/>
  <cols>
    <col min="1" max="1" width="8.42578125" style="231" customWidth="1"/>
    <col min="2" max="2" width="32.140625" style="231" customWidth="1"/>
    <col min="3" max="3" width="15.140625" style="231" customWidth="1"/>
    <col min="4" max="5" width="6.28515625" style="231" customWidth="1"/>
    <col min="6" max="6" width="6.28515625" style="232" customWidth="1"/>
    <col min="7" max="14" width="6.28515625" style="231" customWidth="1"/>
    <col min="15" max="15" width="6.85546875" style="231" bestFit="1" customWidth="1"/>
    <col min="16" max="19" width="6.28515625" style="231" customWidth="1"/>
    <col min="20" max="20" width="5.140625" style="231" customWidth="1"/>
    <col min="21" max="21" width="7.7109375" style="231" customWidth="1"/>
    <col min="22" max="25" width="6.28515625" style="231" customWidth="1"/>
    <col min="26" max="26" width="3.85546875" style="231" bestFit="1" customWidth="1"/>
    <col min="27" max="27" width="6.5703125" style="231" customWidth="1"/>
    <col min="28" max="16384" width="9.140625" style="231"/>
  </cols>
  <sheetData>
    <row r="1" spans="1:27">
      <c r="F1" s="231"/>
      <c r="G1" s="232"/>
      <c r="O1" s="350"/>
      <c r="P1" s="350"/>
    </row>
    <row r="2" spans="1:27" ht="26.25">
      <c r="A2" s="580" t="s">
        <v>13</v>
      </c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0"/>
      <c r="U2" s="580"/>
      <c r="V2" s="580"/>
      <c r="W2" s="580"/>
      <c r="X2" s="580"/>
      <c r="Y2" s="580"/>
      <c r="Z2" s="580"/>
      <c r="AA2" s="580"/>
    </row>
    <row r="3" spans="1:27" ht="26.25">
      <c r="A3" s="580" t="s">
        <v>583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0"/>
      <c r="U3" s="580"/>
      <c r="V3" s="580"/>
      <c r="W3" s="580"/>
      <c r="X3" s="580"/>
      <c r="Y3" s="580"/>
      <c r="Z3" s="580"/>
      <c r="AA3" s="580"/>
    </row>
    <row r="4" spans="1:27">
      <c r="A4" s="547" t="s">
        <v>487</v>
      </c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</row>
    <row r="5" spans="1:27">
      <c r="A5" s="224" t="s">
        <v>488</v>
      </c>
      <c r="B5" s="299"/>
      <c r="C5" s="349"/>
      <c r="D5" s="301"/>
      <c r="E5" s="301"/>
      <c r="F5" s="301"/>
      <c r="G5" s="301"/>
      <c r="H5" s="301"/>
      <c r="I5" s="301"/>
      <c r="J5" s="301"/>
      <c r="K5" s="301"/>
      <c r="L5" s="295"/>
    </row>
    <row r="6" spans="1:27" ht="21" customHeight="1">
      <c r="A6" s="221" t="s">
        <v>489</v>
      </c>
      <c r="B6" s="221"/>
      <c r="C6" s="220"/>
      <c r="D6" s="219"/>
      <c r="E6" s="217"/>
      <c r="F6" s="218"/>
      <c r="G6" s="217"/>
      <c r="H6" s="217"/>
      <c r="I6" s="217"/>
      <c r="J6" s="217"/>
      <c r="K6" s="300"/>
      <c r="L6" s="217"/>
    </row>
    <row r="7" spans="1:27" ht="42.75" customHeight="1">
      <c r="F7" s="231"/>
      <c r="G7" s="232"/>
      <c r="AA7" s="347" t="s">
        <v>584</v>
      </c>
    </row>
    <row r="8" spans="1:27" ht="25.5" customHeight="1">
      <c r="A8" s="581" t="s">
        <v>585</v>
      </c>
      <c r="B8" s="581" t="s">
        <v>586</v>
      </c>
      <c r="C8" s="346" t="s">
        <v>587</v>
      </c>
      <c r="D8" s="585" t="s">
        <v>588</v>
      </c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  <c r="AA8" s="585"/>
    </row>
    <row r="9" spans="1:27">
      <c r="A9" s="582"/>
      <c r="B9" s="583"/>
      <c r="C9" s="345" t="s">
        <v>589</v>
      </c>
      <c r="D9" s="586" t="s">
        <v>500</v>
      </c>
      <c r="E9" s="587"/>
      <c r="F9" s="587"/>
      <c r="G9" s="587"/>
      <c r="H9" s="587"/>
      <c r="I9" s="587"/>
      <c r="J9" s="587"/>
      <c r="K9" s="587"/>
      <c r="L9" s="587"/>
      <c r="M9" s="587"/>
      <c r="N9" s="587"/>
      <c r="O9" s="588"/>
      <c r="P9" s="587" t="s">
        <v>238</v>
      </c>
      <c r="Q9" s="587"/>
      <c r="R9" s="587"/>
      <c r="S9" s="587"/>
      <c r="T9" s="587"/>
      <c r="U9" s="587"/>
      <c r="V9" s="587"/>
      <c r="W9" s="587"/>
      <c r="X9" s="587"/>
      <c r="Y9" s="587"/>
      <c r="Z9" s="587"/>
      <c r="AA9" s="587"/>
    </row>
    <row r="10" spans="1:27" ht="21.75" thickBot="1">
      <c r="A10" s="344" t="s">
        <v>30</v>
      </c>
      <c r="B10" s="584"/>
      <c r="C10" s="343" t="s">
        <v>500</v>
      </c>
      <c r="D10" s="341" t="s">
        <v>590</v>
      </c>
      <c r="E10" s="339" t="s">
        <v>591</v>
      </c>
      <c r="F10" s="340" t="s">
        <v>592</v>
      </c>
      <c r="G10" s="339" t="s">
        <v>593</v>
      </c>
      <c r="H10" s="340" t="s">
        <v>594</v>
      </c>
      <c r="I10" s="339" t="s">
        <v>595</v>
      </c>
      <c r="J10" s="340" t="s">
        <v>596</v>
      </c>
      <c r="K10" s="342" t="s">
        <v>597</v>
      </c>
      <c r="L10" s="340" t="s">
        <v>598</v>
      </c>
      <c r="M10" s="339" t="s">
        <v>599</v>
      </c>
      <c r="N10" s="340" t="s">
        <v>600</v>
      </c>
      <c r="O10" s="341" t="s">
        <v>601</v>
      </c>
      <c r="P10" s="341" t="s">
        <v>590</v>
      </c>
      <c r="Q10" s="339" t="s">
        <v>591</v>
      </c>
      <c r="R10" s="340" t="s">
        <v>592</v>
      </c>
      <c r="S10" s="339" t="s">
        <v>593</v>
      </c>
      <c r="T10" s="340" t="s">
        <v>594</v>
      </c>
      <c r="U10" s="339" t="s">
        <v>595</v>
      </c>
      <c r="V10" s="340" t="s">
        <v>596</v>
      </c>
      <c r="W10" s="339" t="s">
        <v>597</v>
      </c>
      <c r="X10" s="340" t="s">
        <v>598</v>
      </c>
      <c r="Y10" s="339" t="s">
        <v>599</v>
      </c>
      <c r="Z10" s="340" t="s">
        <v>600</v>
      </c>
      <c r="AA10" s="339" t="s">
        <v>601</v>
      </c>
    </row>
    <row r="11" spans="1:27" ht="20.45" customHeight="1">
      <c r="A11" s="334">
        <v>1</v>
      </c>
      <c r="B11" s="300" t="s">
        <v>602</v>
      </c>
      <c r="C11" s="574"/>
      <c r="D11" s="330"/>
      <c r="E11" s="329"/>
      <c r="F11" s="329"/>
      <c r="G11" s="329"/>
      <c r="H11" s="329"/>
      <c r="I11" s="329"/>
      <c r="J11" s="328"/>
      <c r="K11" s="338"/>
      <c r="L11" s="328"/>
      <c r="M11" s="331"/>
      <c r="N11" s="332"/>
      <c r="O11" s="333"/>
      <c r="P11" s="333"/>
      <c r="Q11" s="331"/>
      <c r="R11" s="332"/>
      <c r="S11" s="331"/>
      <c r="T11" s="332"/>
      <c r="U11" s="331"/>
      <c r="V11" s="332"/>
      <c r="W11" s="331"/>
      <c r="X11" s="332"/>
      <c r="Y11" s="331"/>
      <c r="Z11" s="332"/>
      <c r="AA11" s="331"/>
    </row>
    <row r="12" spans="1:27" ht="20.45" customHeight="1">
      <c r="A12" s="334">
        <v>2</v>
      </c>
      <c r="B12" s="300" t="s">
        <v>603</v>
      </c>
      <c r="C12" s="575"/>
      <c r="D12" s="333"/>
      <c r="E12" s="331"/>
      <c r="F12" s="332"/>
      <c r="G12" s="331"/>
      <c r="H12" s="332"/>
      <c r="I12" s="331"/>
      <c r="J12" s="332"/>
      <c r="K12" s="331"/>
      <c r="L12" s="332"/>
      <c r="M12" s="331"/>
      <c r="N12" s="332"/>
      <c r="O12" s="333"/>
      <c r="P12" s="333"/>
      <c r="Q12" s="331"/>
      <c r="R12" s="332"/>
      <c r="S12" s="331"/>
      <c r="T12" s="332"/>
      <c r="U12" s="331"/>
      <c r="V12" s="332"/>
      <c r="W12" s="331"/>
      <c r="X12" s="332"/>
      <c r="Y12" s="331"/>
      <c r="Z12" s="332"/>
      <c r="AA12" s="331"/>
    </row>
    <row r="13" spans="1:27" ht="20.45" customHeight="1">
      <c r="A13" s="326"/>
      <c r="B13" s="300" t="s">
        <v>604</v>
      </c>
      <c r="C13" s="575"/>
      <c r="D13" s="333"/>
      <c r="E13" s="331"/>
      <c r="F13" s="328"/>
      <c r="G13" s="329"/>
      <c r="H13" s="329"/>
      <c r="I13" s="329"/>
      <c r="J13" s="330"/>
      <c r="K13" s="329"/>
      <c r="L13" s="337"/>
      <c r="M13" s="329"/>
      <c r="N13" s="328"/>
      <c r="O13" s="330"/>
      <c r="P13" s="330"/>
      <c r="Q13" s="329"/>
      <c r="R13" s="328"/>
      <c r="S13" s="331"/>
      <c r="T13" s="332"/>
      <c r="U13" s="331"/>
      <c r="V13" s="332"/>
      <c r="W13" s="331"/>
      <c r="X13" s="332"/>
      <c r="Y13" s="331"/>
      <c r="Z13" s="332"/>
      <c r="AA13" s="331"/>
    </row>
    <row r="14" spans="1:27" ht="20.45" customHeight="1">
      <c r="A14" s="326"/>
      <c r="B14" s="300" t="s">
        <v>605</v>
      </c>
      <c r="C14" s="575"/>
      <c r="D14" s="333"/>
      <c r="E14" s="331"/>
      <c r="F14" s="332"/>
      <c r="G14" s="331"/>
      <c r="H14" s="329"/>
      <c r="I14" s="329"/>
      <c r="J14" s="330"/>
      <c r="K14" s="329"/>
      <c r="L14" s="337"/>
      <c r="M14" s="329"/>
      <c r="N14" s="328"/>
      <c r="O14" s="330"/>
      <c r="P14" s="330"/>
      <c r="Q14" s="329"/>
      <c r="R14" s="328"/>
      <c r="S14" s="329"/>
      <c r="T14" s="328"/>
      <c r="U14" s="329"/>
      <c r="V14" s="332"/>
      <c r="W14" s="331"/>
      <c r="X14" s="332"/>
      <c r="Y14" s="331"/>
      <c r="Z14" s="332"/>
      <c r="AA14" s="331"/>
    </row>
    <row r="15" spans="1:27" ht="20.45" customHeight="1">
      <c r="A15" s="326"/>
      <c r="B15" s="300" t="s">
        <v>606</v>
      </c>
      <c r="C15" s="575"/>
      <c r="D15" s="333"/>
      <c r="E15" s="331"/>
      <c r="F15" s="332"/>
      <c r="G15" s="331"/>
      <c r="H15" s="331"/>
      <c r="I15" s="329"/>
      <c r="J15" s="330"/>
      <c r="K15" s="329"/>
      <c r="L15" s="337"/>
      <c r="M15" s="329"/>
      <c r="N15" s="328"/>
      <c r="O15" s="330"/>
      <c r="P15" s="330"/>
      <c r="Q15" s="329"/>
      <c r="R15" s="328"/>
      <c r="S15" s="329"/>
      <c r="T15" s="328"/>
      <c r="U15" s="329"/>
      <c r="V15" s="328"/>
      <c r="W15" s="329"/>
      <c r="X15" s="328"/>
      <c r="Y15" s="331"/>
      <c r="Z15" s="332"/>
      <c r="AA15" s="331"/>
    </row>
    <row r="16" spans="1:27" ht="20.45" customHeight="1">
      <c r="A16" s="326"/>
      <c r="B16" s="300" t="s">
        <v>607</v>
      </c>
      <c r="C16" s="575"/>
      <c r="D16" s="333"/>
      <c r="E16" s="331"/>
      <c r="F16" s="332"/>
      <c r="G16" s="331"/>
      <c r="H16" s="332"/>
      <c r="I16" s="331"/>
      <c r="J16" s="330"/>
      <c r="K16" s="329"/>
      <c r="L16" s="337"/>
      <c r="M16" s="329"/>
      <c r="N16" s="329"/>
      <c r="O16" s="330"/>
      <c r="P16" s="330"/>
      <c r="Q16" s="329"/>
      <c r="R16" s="328"/>
      <c r="S16" s="329"/>
      <c r="T16" s="328"/>
      <c r="U16" s="329"/>
      <c r="V16" s="328"/>
      <c r="W16" s="329"/>
      <c r="X16" s="328"/>
      <c r="Y16" s="331"/>
      <c r="Z16" s="332"/>
      <c r="AA16" s="331"/>
    </row>
    <row r="17" spans="1:27" ht="20.45" customHeight="1">
      <c r="A17" s="334">
        <v>3</v>
      </c>
      <c r="B17" s="300" t="s">
        <v>608</v>
      </c>
      <c r="C17" s="575"/>
      <c r="D17" s="333"/>
      <c r="E17" s="331"/>
      <c r="F17" s="332"/>
      <c r="G17" s="331"/>
      <c r="H17" s="332"/>
      <c r="I17" s="331"/>
      <c r="J17" s="332"/>
      <c r="K17" s="329"/>
      <c r="L17" s="328"/>
      <c r="M17" s="329"/>
      <c r="N17" s="328"/>
      <c r="O17" s="330"/>
      <c r="P17" s="330"/>
      <c r="Q17" s="329"/>
      <c r="R17" s="328"/>
      <c r="S17" s="329"/>
      <c r="T17" s="328"/>
      <c r="U17" s="329"/>
      <c r="V17" s="328"/>
      <c r="W17" s="329"/>
      <c r="X17" s="328"/>
      <c r="Y17" s="329"/>
      <c r="Z17" s="328"/>
      <c r="AA17" s="329"/>
    </row>
    <row r="18" spans="1:27" ht="20.45" customHeight="1">
      <c r="A18" s="334">
        <v>4</v>
      </c>
      <c r="B18" s="300" t="s">
        <v>609</v>
      </c>
      <c r="C18" s="575"/>
      <c r="D18" s="333"/>
      <c r="E18" s="331"/>
      <c r="F18" s="332"/>
      <c r="G18" s="331"/>
      <c r="H18" s="332"/>
      <c r="I18" s="331"/>
      <c r="J18" s="332"/>
      <c r="K18" s="331"/>
      <c r="L18" s="336"/>
      <c r="M18" s="329"/>
      <c r="N18" s="328"/>
      <c r="O18" s="335"/>
      <c r="P18" s="329"/>
      <c r="Q18" s="329"/>
      <c r="R18" s="329"/>
      <c r="S18" s="329"/>
      <c r="T18" s="329"/>
      <c r="U18" s="329"/>
      <c r="V18" s="328"/>
      <c r="W18" s="329"/>
      <c r="X18" s="328"/>
      <c r="Y18" s="329"/>
      <c r="Z18" s="328"/>
      <c r="AA18" s="329"/>
    </row>
    <row r="19" spans="1:27" s="300" customFormat="1" ht="20.45" customHeight="1">
      <c r="A19" s="334">
        <v>5</v>
      </c>
      <c r="B19" s="300" t="s">
        <v>610</v>
      </c>
      <c r="C19" s="575"/>
      <c r="D19" s="333"/>
      <c r="E19" s="331"/>
      <c r="F19" s="332"/>
      <c r="G19" s="331"/>
      <c r="H19" s="332"/>
      <c r="I19" s="331"/>
      <c r="J19" s="332"/>
      <c r="K19" s="331"/>
      <c r="L19" s="328"/>
      <c r="M19" s="329"/>
      <c r="N19" s="328"/>
      <c r="O19" s="330"/>
      <c r="P19" s="329"/>
      <c r="Q19" s="329"/>
      <c r="R19" s="329"/>
      <c r="S19" s="329"/>
      <c r="T19" s="329"/>
      <c r="U19" s="329"/>
      <c r="V19" s="329"/>
      <c r="W19" s="329"/>
      <c r="X19" s="328"/>
      <c r="Y19" s="329"/>
      <c r="Z19" s="328"/>
      <c r="AA19" s="327"/>
    </row>
    <row r="20" spans="1:27" s="300" customFormat="1" ht="20.45" customHeight="1">
      <c r="A20" s="326"/>
      <c r="B20" s="300" t="s">
        <v>611</v>
      </c>
      <c r="C20" s="575"/>
      <c r="D20" s="325"/>
      <c r="E20" s="324"/>
      <c r="F20" s="323"/>
      <c r="G20" s="324"/>
      <c r="H20" s="323"/>
      <c r="I20" s="324"/>
      <c r="J20" s="323"/>
      <c r="K20" s="322"/>
      <c r="L20" s="320">
        <f>'[1]007 (69)'!L12/1000000</f>
        <v>8.9987220000000008</v>
      </c>
      <c r="M20" s="321"/>
      <c r="N20" s="320"/>
      <c r="O20" s="351">
        <f>'[1]007 (69)'!M12/1000000</f>
        <v>8.1186399999999992</v>
      </c>
      <c r="P20" s="325"/>
      <c r="Q20" s="324"/>
      <c r="R20" s="323"/>
      <c r="S20" s="324"/>
      <c r="T20" s="323"/>
      <c r="U20" s="321">
        <f>'[1]007 (69)'!N12/1000000</f>
        <v>136.36813000000001</v>
      </c>
      <c r="V20" s="323"/>
      <c r="W20" s="321"/>
      <c r="X20" s="394"/>
      <c r="Y20" s="395"/>
      <c r="Z20" s="394"/>
      <c r="AA20" s="396">
        <f>'[1]007 (69)'!O12/1000000</f>
        <v>90.237200000000001</v>
      </c>
    </row>
    <row r="21" spans="1:27" s="300" customFormat="1" ht="23.25" customHeight="1">
      <c r="A21" s="313"/>
      <c r="B21" s="312" t="s">
        <v>612</v>
      </c>
      <c r="C21" s="397">
        <f>D21+P21</f>
        <v>243.722692</v>
      </c>
      <c r="D21" s="576">
        <f>SUM(D20:O20)</f>
        <v>17.117362</v>
      </c>
      <c r="E21" s="577"/>
      <c r="F21" s="577"/>
      <c r="G21" s="577"/>
      <c r="H21" s="577"/>
      <c r="I21" s="577"/>
      <c r="J21" s="577"/>
      <c r="K21" s="577"/>
      <c r="L21" s="577"/>
      <c r="M21" s="577"/>
      <c r="N21" s="577"/>
      <c r="O21" s="577"/>
      <c r="P21" s="576">
        <f>SUM(P20:AA20)</f>
        <v>226.60533000000001</v>
      </c>
      <c r="Q21" s="577"/>
      <c r="R21" s="577"/>
      <c r="S21" s="577"/>
      <c r="T21" s="577"/>
      <c r="U21" s="577"/>
      <c r="V21" s="577"/>
      <c r="W21" s="577"/>
      <c r="X21" s="577"/>
      <c r="Y21" s="577"/>
      <c r="Z21" s="577"/>
      <c r="AA21" s="578"/>
    </row>
    <row r="22" spans="1:27" s="300" customFormat="1" ht="23.25" customHeight="1">
      <c r="A22" s="310"/>
      <c r="B22" s="309"/>
      <c r="C22" s="352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</row>
    <row r="23" spans="1:27" ht="23.25" customHeight="1">
      <c r="A23" s="306" t="s">
        <v>37</v>
      </c>
      <c r="B23" s="305" t="s">
        <v>613</v>
      </c>
      <c r="D23" s="304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T23" s="300"/>
      <c r="U23" s="300"/>
      <c r="V23" s="300"/>
      <c r="W23" s="300"/>
      <c r="X23" s="300"/>
      <c r="Y23" s="300"/>
      <c r="AA23" s="579" t="s">
        <v>12</v>
      </c>
    </row>
    <row r="24" spans="1:27" ht="23.25" customHeight="1">
      <c r="B24" s="305" t="s">
        <v>614</v>
      </c>
      <c r="F24" s="231"/>
      <c r="G24" s="232"/>
      <c r="AA24" s="579"/>
    </row>
    <row r="25" spans="1:27">
      <c r="B25" s="304" t="s">
        <v>615</v>
      </c>
      <c r="F25" s="231"/>
      <c r="G25" s="232"/>
      <c r="AA25" s="579"/>
    </row>
  </sheetData>
  <mergeCells count="12">
    <mergeCell ref="C11:C20"/>
    <mergeCell ref="D21:O21"/>
    <mergeCell ref="P21:AA21"/>
    <mergeCell ref="AA23:AA25"/>
    <mergeCell ref="A2:AA2"/>
    <mergeCell ref="A3:AA3"/>
    <mergeCell ref="A4:L4"/>
    <mergeCell ref="A8:A9"/>
    <mergeCell ref="B8:B10"/>
    <mergeCell ref="D8:AA8"/>
    <mergeCell ref="D9:O9"/>
    <mergeCell ref="P9:AA9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7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5D8F-B5FF-45E6-8E1B-95CBCD84A63D}">
  <sheetPr>
    <tabColor rgb="FFFFFF00"/>
  </sheetPr>
  <dimension ref="A1:AA26"/>
  <sheetViews>
    <sheetView view="pageBreakPreview" zoomScale="60" zoomScaleNormal="100" workbookViewId="0">
      <selection activeCell="A5" sqref="A5"/>
    </sheetView>
    <sheetView workbookViewId="1">
      <selection activeCell="S23" sqref="S23"/>
    </sheetView>
  </sheetViews>
  <sheetFormatPr defaultColWidth="9.140625" defaultRowHeight="21"/>
  <cols>
    <col min="1" max="1" width="8.42578125" style="231" customWidth="1"/>
    <col min="2" max="2" width="32.140625" style="231" customWidth="1"/>
    <col min="3" max="3" width="8.42578125" style="231" bestFit="1" customWidth="1"/>
    <col min="4" max="5" width="6.28515625" style="231" customWidth="1"/>
    <col min="6" max="6" width="6.28515625" style="232" customWidth="1"/>
    <col min="7" max="11" width="6.28515625" style="231" customWidth="1"/>
    <col min="12" max="12" width="6.85546875" style="231" bestFit="1" customWidth="1"/>
    <col min="13" max="14" width="6.28515625" style="231" customWidth="1"/>
    <col min="15" max="15" width="7.7109375" style="231" bestFit="1" customWidth="1"/>
    <col min="16" max="16" width="4.7109375" style="231" bestFit="1" customWidth="1"/>
    <col min="17" max="20" width="6.28515625" style="231" customWidth="1"/>
    <col min="21" max="21" width="7.5703125" style="231" customWidth="1"/>
    <col min="22" max="26" width="6.28515625" style="231" customWidth="1"/>
    <col min="27" max="27" width="8.42578125" style="231" customWidth="1"/>
    <col min="28" max="16384" width="9.140625" style="231"/>
  </cols>
  <sheetData>
    <row r="1" spans="1:27">
      <c r="F1" s="231"/>
      <c r="G1" s="232"/>
      <c r="O1" s="350"/>
      <c r="P1" s="350"/>
    </row>
    <row r="2" spans="1:27" ht="26.25">
      <c r="A2" s="580" t="s">
        <v>13</v>
      </c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0"/>
      <c r="U2" s="580"/>
      <c r="V2" s="580"/>
      <c r="W2" s="580"/>
      <c r="X2" s="580"/>
      <c r="Y2" s="580"/>
      <c r="Z2" s="580"/>
      <c r="AA2" s="580"/>
    </row>
    <row r="3" spans="1:27" ht="26.25">
      <c r="A3" s="580" t="s">
        <v>616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0"/>
      <c r="U3" s="580"/>
      <c r="V3" s="580"/>
      <c r="W3" s="580"/>
      <c r="X3" s="580"/>
      <c r="Y3" s="580"/>
      <c r="Z3" s="580"/>
      <c r="AA3" s="580"/>
    </row>
    <row r="4" spans="1:27">
      <c r="A4" s="547" t="s">
        <v>487</v>
      </c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</row>
    <row r="5" spans="1:27">
      <c r="A5" s="224" t="s">
        <v>488</v>
      </c>
      <c r="B5" s="299"/>
      <c r="C5" s="349"/>
      <c r="D5" s="301"/>
      <c r="E5" s="301"/>
      <c r="F5" s="301"/>
      <c r="G5" s="301"/>
      <c r="H5" s="301"/>
      <c r="I5" s="301"/>
      <c r="J5" s="301"/>
      <c r="K5" s="301"/>
      <c r="L5" s="295"/>
    </row>
    <row r="6" spans="1:27">
      <c r="A6" s="224" t="s">
        <v>617</v>
      </c>
      <c r="B6" s="299"/>
      <c r="C6" s="348"/>
      <c r="D6" s="296"/>
      <c r="E6" s="297"/>
      <c r="F6" s="296"/>
      <c r="G6" s="296"/>
      <c r="H6" s="296"/>
      <c r="I6" s="296"/>
      <c r="J6" s="296"/>
      <c r="K6" s="296"/>
      <c r="L6" s="295"/>
    </row>
    <row r="7" spans="1:27" ht="42.75" customHeight="1">
      <c r="F7" s="231"/>
      <c r="G7" s="232"/>
      <c r="AA7" s="347" t="s">
        <v>584</v>
      </c>
    </row>
    <row r="8" spans="1:27">
      <c r="A8" s="581" t="s">
        <v>585</v>
      </c>
      <c r="B8" s="581" t="s">
        <v>586</v>
      </c>
      <c r="C8" s="346" t="s">
        <v>587</v>
      </c>
      <c r="D8" s="585" t="s">
        <v>588</v>
      </c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  <c r="AA8" s="585"/>
    </row>
    <row r="9" spans="1:27">
      <c r="A9" s="582"/>
      <c r="B9" s="583"/>
      <c r="C9" s="345" t="s">
        <v>589</v>
      </c>
      <c r="D9" s="586" t="s">
        <v>238</v>
      </c>
      <c r="E9" s="587"/>
      <c r="F9" s="587"/>
      <c r="G9" s="587"/>
      <c r="H9" s="587"/>
      <c r="I9" s="587"/>
      <c r="J9" s="587"/>
      <c r="K9" s="587"/>
      <c r="L9" s="587"/>
      <c r="M9" s="587"/>
      <c r="N9" s="587"/>
      <c r="O9" s="588"/>
      <c r="P9" s="587" t="s">
        <v>573</v>
      </c>
      <c r="Q9" s="587"/>
      <c r="R9" s="587"/>
      <c r="S9" s="587"/>
      <c r="T9" s="587"/>
      <c r="U9" s="587"/>
      <c r="V9" s="587"/>
      <c r="W9" s="587"/>
      <c r="X9" s="587"/>
      <c r="Y9" s="587"/>
      <c r="Z9" s="587"/>
      <c r="AA9" s="587"/>
    </row>
    <row r="10" spans="1:27" ht="21.75" thickBot="1">
      <c r="A10" s="344" t="s">
        <v>30</v>
      </c>
      <c r="B10" s="584"/>
      <c r="C10" s="343" t="s">
        <v>238</v>
      </c>
      <c r="D10" s="341" t="s">
        <v>590</v>
      </c>
      <c r="E10" s="339" t="s">
        <v>591</v>
      </c>
      <c r="F10" s="340" t="s">
        <v>592</v>
      </c>
      <c r="G10" s="339" t="s">
        <v>593</v>
      </c>
      <c r="H10" s="340" t="s">
        <v>594</v>
      </c>
      <c r="I10" s="339" t="s">
        <v>595</v>
      </c>
      <c r="J10" s="340" t="s">
        <v>596</v>
      </c>
      <c r="K10" s="342" t="s">
        <v>597</v>
      </c>
      <c r="L10" s="340" t="s">
        <v>598</v>
      </c>
      <c r="M10" s="339" t="s">
        <v>599</v>
      </c>
      <c r="N10" s="340" t="s">
        <v>600</v>
      </c>
      <c r="O10" s="341" t="s">
        <v>601</v>
      </c>
      <c r="P10" s="341" t="s">
        <v>590</v>
      </c>
      <c r="Q10" s="339" t="s">
        <v>591</v>
      </c>
      <c r="R10" s="340" t="s">
        <v>592</v>
      </c>
      <c r="S10" s="339" t="s">
        <v>593</v>
      </c>
      <c r="T10" s="340" t="s">
        <v>594</v>
      </c>
      <c r="U10" s="339" t="s">
        <v>595</v>
      </c>
      <c r="V10" s="340" t="s">
        <v>596</v>
      </c>
      <c r="W10" s="339" t="s">
        <v>597</v>
      </c>
      <c r="X10" s="340" t="s">
        <v>598</v>
      </c>
      <c r="Y10" s="339" t="s">
        <v>599</v>
      </c>
      <c r="Z10" s="340" t="s">
        <v>600</v>
      </c>
      <c r="AA10" s="339" t="s">
        <v>601</v>
      </c>
    </row>
    <row r="11" spans="1:27">
      <c r="A11" s="334">
        <v>1</v>
      </c>
      <c r="B11" s="300" t="s">
        <v>602</v>
      </c>
      <c r="C11" s="589"/>
      <c r="D11" s="330"/>
      <c r="E11" s="329"/>
      <c r="F11" s="329"/>
      <c r="G11" s="329"/>
      <c r="H11" s="329"/>
      <c r="I11" s="329"/>
      <c r="J11" s="328"/>
      <c r="K11" s="338"/>
      <c r="L11" s="328"/>
      <c r="M11" s="331"/>
      <c r="N11" s="332"/>
      <c r="O11" s="333"/>
      <c r="P11" s="333"/>
      <c r="Q11" s="331"/>
      <c r="R11" s="332"/>
      <c r="S11" s="331"/>
      <c r="T11" s="332"/>
      <c r="U11" s="331"/>
      <c r="V11" s="332"/>
      <c r="W11" s="331"/>
      <c r="X11" s="332"/>
      <c r="Y11" s="331"/>
      <c r="Z11" s="332"/>
      <c r="AA11" s="331"/>
    </row>
    <row r="12" spans="1:27" ht="20.45" customHeight="1">
      <c r="A12" s="334">
        <v>2</v>
      </c>
      <c r="B12" s="300" t="s">
        <v>603</v>
      </c>
      <c r="C12" s="590"/>
      <c r="D12" s="333"/>
      <c r="E12" s="331"/>
      <c r="F12" s="332"/>
      <c r="G12" s="331"/>
      <c r="H12" s="332"/>
      <c r="I12" s="331"/>
      <c r="J12" s="332"/>
      <c r="K12" s="331"/>
      <c r="L12" s="332"/>
      <c r="M12" s="331"/>
      <c r="N12" s="332"/>
      <c r="O12" s="333"/>
      <c r="P12" s="333"/>
      <c r="Q12" s="331"/>
      <c r="R12" s="332"/>
      <c r="S12" s="331"/>
      <c r="T12" s="332"/>
      <c r="U12" s="331"/>
      <c r="V12" s="332"/>
      <c r="W12" s="331"/>
      <c r="X12" s="332"/>
      <c r="Y12" s="331"/>
      <c r="Z12" s="332"/>
      <c r="AA12" s="331"/>
    </row>
    <row r="13" spans="1:27" ht="20.45" customHeight="1">
      <c r="A13" s="326"/>
      <c r="B13" s="300" t="s">
        <v>604</v>
      </c>
      <c r="C13" s="590"/>
      <c r="D13" s="333"/>
      <c r="E13" s="331"/>
      <c r="F13" s="328"/>
      <c r="G13" s="329"/>
      <c r="H13" s="329"/>
      <c r="I13" s="329"/>
      <c r="J13" s="330"/>
      <c r="K13" s="329"/>
      <c r="L13" s="337"/>
      <c r="M13" s="329"/>
      <c r="N13" s="328"/>
      <c r="O13" s="330"/>
      <c r="P13" s="330"/>
      <c r="Q13" s="329"/>
      <c r="R13" s="328"/>
      <c r="S13" s="331"/>
      <c r="T13" s="332"/>
      <c r="U13" s="331"/>
      <c r="V13" s="332"/>
      <c r="W13" s="331"/>
      <c r="X13" s="332"/>
      <c r="Y13" s="331"/>
      <c r="Z13" s="332"/>
      <c r="AA13" s="331"/>
    </row>
    <row r="14" spans="1:27" ht="20.45" customHeight="1">
      <c r="A14" s="326"/>
      <c r="B14" s="300" t="s">
        <v>605</v>
      </c>
      <c r="C14" s="590"/>
      <c r="D14" s="333"/>
      <c r="E14" s="331"/>
      <c r="F14" s="332"/>
      <c r="G14" s="331"/>
      <c r="H14" s="329"/>
      <c r="I14" s="329"/>
      <c r="J14" s="330"/>
      <c r="K14" s="329"/>
      <c r="L14" s="337"/>
      <c r="M14" s="329"/>
      <c r="N14" s="328"/>
      <c r="O14" s="330"/>
      <c r="P14" s="330"/>
      <c r="Q14" s="329"/>
      <c r="R14" s="328"/>
      <c r="S14" s="329"/>
      <c r="T14" s="328"/>
      <c r="U14" s="329"/>
      <c r="V14" s="332"/>
      <c r="W14" s="331"/>
      <c r="X14" s="332"/>
      <c r="Y14" s="331"/>
      <c r="Z14" s="332"/>
      <c r="AA14" s="331"/>
    </row>
    <row r="15" spans="1:27" ht="20.45" customHeight="1">
      <c r="A15" s="326"/>
      <c r="B15" s="300" t="s">
        <v>606</v>
      </c>
      <c r="C15" s="590"/>
      <c r="D15" s="333"/>
      <c r="E15" s="331"/>
      <c r="F15" s="332"/>
      <c r="G15" s="331"/>
      <c r="H15" s="329"/>
      <c r="I15" s="329"/>
      <c r="J15" s="330"/>
      <c r="K15" s="329"/>
      <c r="L15" s="337"/>
      <c r="M15" s="329"/>
      <c r="N15" s="328"/>
      <c r="O15" s="330"/>
      <c r="P15" s="330"/>
      <c r="Q15" s="329"/>
      <c r="R15" s="328"/>
      <c r="S15" s="329"/>
      <c r="T15" s="328"/>
      <c r="U15" s="329"/>
      <c r="V15" s="328"/>
      <c r="W15" s="329"/>
      <c r="X15" s="328"/>
      <c r="Y15" s="331"/>
      <c r="Z15" s="332"/>
      <c r="AA15" s="331"/>
    </row>
    <row r="16" spans="1:27" ht="20.45" customHeight="1">
      <c r="A16" s="326"/>
      <c r="B16" s="300" t="s">
        <v>607</v>
      </c>
      <c r="C16" s="590"/>
      <c r="D16" s="333"/>
      <c r="E16" s="331"/>
      <c r="F16" s="332"/>
      <c r="G16" s="331"/>
      <c r="H16" s="328"/>
      <c r="I16" s="329"/>
      <c r="J16" s="330"/>
      <c r="K16" s="329"/>
      <c r="L16" s="337"/>
      <c r="M16" s="329"/>
      <c r="N16" s="329"/>
      <c r="O16" s="330"/>
      <c r="P16" s="330"/>
      <c r="Q16" s="329"/>
      <c r="R16" s="328"/>
      <c r="S16" s="329"/>
      <c r="T16" s="328"/>
      <c r="U16" s="329"/>
      <c r="V16" s="328"/>
      <c r="W16" s="329"/>
      <c r="X16" s="328"/>
      <c r="Y16" s="331"/>
      <c r="Z16" s="332"/>
      <c r="AA16" s="331"/>
    </row>
    <row r="17" spans="1:27" ht="20.45" customHeight="1">
      <c r="A17" s="334">
        <v>3</v>
      </c>
      <c r="B17" s="300" t="s">
        <v>608</v>
      </c>
      <c r="C17" s="590"/>
      <c r="D17" s="333"/>
      <c r="E17" s="331"/>
      <c r="F17" s="332"/>
      <c r="G17" s="331"/>
      <c r="H17" s="332"/>
      <c r="I17" s="331"/>
      <c r="J17" s="332"/>
      <c r="K17" s="331"/>
      <c r="L17" s="332"/>
      <c r="M17" s="331"/>
      <c r="N17" s="328"/>
      <c r="O17" s="330"/>
      <c r="P17" s="330"/>
      <c r="Q17" s="329"/>
      <c r="R17" s="328"/>
      <c r="S17" s="329"/>
      <c r="T17" s="328"/>
      <c r="U17" s="329"/>
      <c r="V17" s="328"/>
      <c r="W17" s="329"/>
      <c r="X17" s="328"/>
      <c r="Y17" s="329"/>
      <c r="Z17" s="328"/>
      <c r="AA17" s="329"/>
    </row>
    <row r="18" spans="1:27" ht="20.45" customHeight="1">
      <c r="A18" s="334">
        <v>4</v>
      </c>
      <c r="B18" s="300" t="s">
        <v>609</v>
      </c>
      <c r="C18" s="590"/>
      <c r="D18" s="333"/>
      <c r="E18" s="331"/>
      <c r="F18" s="332"/>
      <c r="G18" s="331"/>
      <c r="H18" s="332"/>
      <c r="I18" s="331"/>
      <c r="J18" s="332"/>
      <c r="K18" s="331"/>
      <c r="M18" s="331"/>
      <c r="N18" s="328"/>
      <c r="O18" s="335"/>
      <c r="P18" s="329"/>
      <c r="Q18" s="329"/>
      <c r="R18" s="329"/>
      <c r="S18" s="329"/>
      <c r="T18" s="329"/>
      <c r="U18" s="329"/>
      <c r="V18" s="328"/>
      <c r="W18" s="329"/>
      <c r="X18" s="328"/>
      <c r="Y18" s="329"/>
      <c r="Z18" s="328"/>
      <c r="AA18" s="329"/>
    </row>
    <row r="19" spans="1:27" s="300" customFormat="1" ht="20.45" customHeight="1">
      <c r="A19" s="334">
        <v>5</v>
      </c>
      <c r="B19" s="300" t="s">
        <v>610</v>
      </c>
      <c r="C19" s="590"/>
      <c r="D19" s="333"/>
      <c r="E19" s="331"/>
      <c r="F19" s="332"/>
      <c r="G19" s="331"/>
      <c r="H19" s="332"/>
      <c r="I19" s="406"/>
      <c r="J19" s="407"/>
      <c r="K19" s="406"/>
      <c r="L19" s="407"/>
      <c r="M19" s="331"/>
      <c r="N19" s="332"/>
      <c r="O19" s="333"/>
      <c r="P19" s="331"/>
      <c r="Q19" s="331"/>
      <c r="R19" s="331"/>
      <c r="S19" s="331"/>
      <c r="T19" s="331"/>
      <c r="U19" s="329"/>
      <c r="V19" s="329"/>
      <c r="W19" s="329"/>
      <c r="X19" s="328"/>
      <c r="Y19" s="329"/>
      <c r="Z19" s="328"/>
      <c r="AA19" s="327"/>
    </row>
    <row r="20" spans="1:27" s="300" customFormat="1" ht="20.45" customHeight="1">
      <c r="A20" s="326"/>
      <c r="B20" s="300" t="s">
        <v>611</v>
      </c>
      <c r="C20" s="590"/>
      <c r="D20" s="325"/>
      <c r="E20" s="324"/>
      <c r="F20" s="323"/>
      <c r="G20" s="324"/>
      <c r="H20" s="323"/>
      <c r="I20" s="324"/>
      <c r="J20" s="323"/>
      <c r="K20" s="322"/>
      <c r="L20" s="320"/>
      <c r="M20" s="321"/>
      <c r="N20" s="320"/>
      <c r="O20" s="351"/>
      <c r="P20" s="325"/>
      <c r="Q20" s="324"/>
      <c r="R20" s="323"/>
      <c r="S20" s="324"/>
      <c r="T20" s="323"/>
      <c r="U20" s="321">
        <f>'007 (70)'!O12/1000000</f>
        <v>166.841452</v>
      </c>
      <c r="V20" s="323"/>
      <c r="W20" s="321"/>
      <c r="X20" s="320"/>
      <c r="Y20" s="321"/>
      <c r="Z20" s="320"/>
      <c r="AA20" s="321">
        <f>'007 (70)'!P12/1000000</f>
        <v>89.971789999999999</v>
      </c>
    </row>
    <row r="21" spans="1:27" s="300" customFormat="1" ht="23.25" customHeight="1">
      <c r="A21" s="313"/>
      <c r="B21" s="312" t="s">
        <v>612</v>
      </c>
      <c r="C21" s="311">
        <f>D21+P21</f>
        <v>256.813242</v>
      </c>
      <c r="D21" s="576"/>
      <c r="E21" s="577"/>
      <c r="F21" s="577"/>
      <c r="G21" s="577"/>
      <c r="H21" s="577"/>
      <c r="I21" s="577"/>
      <c r="J21" s="577"/>
      <c r="K21" s="577"/>
      <c r="L21" s="577"/>
      <c r="M21" s="577"/>
      <c r="N21" s="577"/>
      <c r="O21" s="578"/>
      <c r="P21" s="576">
        <f>SUM(P20:AA20)</f>
        <v>256.813242</v>
      </c>
      <c r="Q21" s="577"/>
      <c r="R21" s="577"/>
      <c r="S21" s="577"/>
      <c r="T21" s="577"/>
      <c r="U21" s="577"/>
      <c r="V21" s="577"/>
      <c r="W21" s="577"/>
      <c r="X21" s="577"/>
      <c r="Y21" s="577"/>
      <c r="Z21" s="577"/>
      <c r="AA21" s="578"/>
    </row>
    <row r="22" spans="1:27" s="300" customFormat="1" ht="23.25" customHeight="1">
      <c r="A22" s="310"/>
      <c r="B22" s="309"/>
      <c r="C22" s="352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</row>
    <row r="23" spans="1:27" s="300" customFormat="1" ht="23.25" customHeight="1">
      <c r="A23" s="310"/>
      <c r="B23" s="309"/>
      <c r="C23" s="352"/>
      <c r="D23" s="307"/>
      <c r="E23" s="307"/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579" t="s">
        <v>12</v>
      </c>
    </row>
    <row r="24" spans="1:27" ht="23.25" customHeight="1">
      <c r="A24" s="306" t="s">
        <v>37</v>
      </c>
      <c r="B24" s="305" t="s">
        <v>613</v>
      </c>
      <c r="D24" s="304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T24" s="300"/>
      <c r="U24" s="300"/>
      <c r="V24" s="300"/>
      <c r="W24" s="300"/>
      <c r="X24" s="300"/>
      <c r="Y24" s="300"/>
      <c r="AA24" s="579"/>
    </row>
    <row r="25" spans="1:27" ht="23.25" customHeight="1">
      <c r="B25" s="305" t="s">
        <v>614</v>
      </c>
      <c r="F25" s="231"/>
      <c r="G25" s="232"/>
      <c r="AA25" s="579"/>
    </row>
    <row r="26" spans="1:27">
      <c r="B26" s="304" t="s">
        <v>615</v>
      </c>
      <c r="F26" s="231"/>
      <c r="G26" s="232"/>
    </row>
  </sheetData>
  <mergeCells count="12">
    <mergeCell ref="C11:C20"/>
    <mergeCell ref="D21:O21"/>
    <mergeCell ref="P21:AA21"/>
    <mergeCell ref="AA23:AA25"/>
    <mergeCell ref="A2:AA2"/>
    <mergeCell ref="A3:AA3"/>
    <mergeCell ref="A4:L4"/>
    <mergeCell ref="A8:A9"/>
    <mergeCell ref="B8:B10"/>
    <mergeCell ref="D8:AA8"/>
    <mergeCell ref="D9:O9"/>
    <mergeCell ref="P9:AA9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75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77DD-AFCA-432F-8F7D-DC84F531983A}">
  <dimension ref="A1:AA25"/>
  <sheetViews>
    <sheetView view="pageBreakPreview" zoomScale="87" zoomScaleNormal="100" zoomScaleSheetLayoutView="87" workbookViewId="0">
      <selection activeCell="A5" sqref="A5"/>
    </sheetView>
    <sheetView view="pageBreakPreview" topLeftCell="D7" zoomScale="60" zoomScaleNormal="100" workbookViewId="1"/>
  </sheetViews>
  <sheetFormatPr defaultColWidth="9.140625" defaultRowHeight="21"/>
  <cols>
    <col min="1" max="1" width="8.42578125" style="231" customWidth="1"/>
    <col min="2" max="2" width="32.140625" style="231" customWidth="1"/>
    <col min="3" max="3" width="8.42578125" style="231" bestFit="1" customWidth="1"/>
    <col min="4" max="5" width="6.28515625" style="231" customWidth="1"/>
    <col min="6" max="6" width="6.28515625" style="232" customWidth="1"/>
    <col min="7" max="26" width="6.28515625" style="231" customWidth="1"/>
    <col min="27" max="27" width="8.28515625" style="231" customWidth="1"/>
    <col min="28" max="16384" width="9.140625" style="231"/>
  </cols>
  <sheetData>
    <row r="1" spans="1:27">
      <c r="F1" s="231"/>
      <c r="G1" s="232"/>
      <c r="O1" s="350"/>
      <c r="P1" s="350"/>
    </row>
    <row r="2" spans="1:27" ht="26.25">
      <c r="A2" s="580" t="s">
        <v>13</v>
      </c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  <c r="R2" s="580"/>
      <c r="S2" s="580"/>
      <c r="T2" s="580"/>
      <c r="U2" s="580"/>
      <c r="V2" s="580"/>
      <c r="W2" s="580"/>
      <c r="X2" s="580"/>
      <c r="Y2" s="580"/>
      <c r="Z2" s="580"/>
      <c r="AA2" s="580"/>
    </row>
    <row r="3" spans="1:27" ht="26.25">
      <c r="A3" s="580" t="s">
        <v>618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0"/>
      <c r="U3" s="580"/>
      <c r="V3" s="580"/>
      <c r="W3" s="580"/>
      <c r="X3" s="580"/>
      <c r="Y3" s="580"/>
      <c r="Z3" s="580"/>
      <c r="AA3" s="580"/>
    </row>
    <row r="4" spans="1:27">
      <c r="A4" s="547" t="s">
        <v>487</v>
      </c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</row>
    <row r="5" spans="1:27">
      <c r="A5" s="224" t="s">
        <v>488</v>
      </c>
      <c r="B5" s="299"/>
      <c r="C5" s="349"/>
      <c r="D5" s="301"/>
      <c r="E5" s="301"/>
      <c r="F5" s="301"/>
      <c r="G5" s="301"/>
      <c r="H5" s="301"/>
      <c r="I5" s="301"/>
      <c r="J5" s="301"/>
      <c r="K5" s="301"/>
      <c r="L5" s="295"/>
    </row>
    <row r="6" spans="1:27">
      <c r="A6" s="224" t="s">
        <v>617</v>
      </c>
      <c r="B6" s="299"/>
      <c r="C6" s="348"/>
      <c r="D6" s="296"/>
      <c r="E6" s="297"/>
      <c r="F6" s="296"/>
      <c r="G6" s="296"/>
      <c r="H6" s="296"/>
      <c r="I6" s="296"/>
      <c r="J6" s="296"/>
      <c r="K6" s="296"/>
      <c r="L6" s="295"/>
    </row>
    <row r="7" spans="1:27">
      <c r="F7" s="231"/>
      <c r="G7" s="232"/>
      <c r="AA7" s="347" t="s">
        <v>584</v>
      </c>
    </row>
    <row r="8" spans="1:27">
      <c r="A8" s="581" t="s">
        <v>585</v>
      </c>
      <c r="B8" s="581" t="s">
        <v>586</v>
      </c>
      <c r="C8" s="346" t="s">
        <v>587</v>
      </c>
      <c r="D8" s="585" t="s">
        <v>588</v>
      </c>
      <c r="E8" s="585"/>
      <c r="F8" s="585"/>
      <c r="G8" s="585"/>
      <c r="H8" s="585"/>
      <c r="I8" s="585"/>
      <c r="J8" s="585"/>
      <c r="K8" s="585"/>
      <c r="L8" s="585"/>
      <c r="M8" s="585"/>
      <c r="N8" s="585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  <c r="AA8" s="585"/>
    </row>
    <row r="9" spans="1:27">
      <c r="A9" s="582"/>
      <c r="B9" s="583"/>
      <c r="C9" s="345" t="s">
        <v>589</v>
      </c>
      <c r="D9" s="586" t="s">
        <v>573</v>
      </c>
      <c r="E9" s="587"/>
      <c r="F9" s="587"/>
      <c r="G9" s="587"/>
      <c r="H9" s="587"/>
      <c r="I9" s="587"/>
      <c r="J9" s="587"/>
      <c r="K9" s="587"/>
      <c r="L9" s="587"/>
      <c r="M9" s="587"/>
      <c r="N9" s="587"/>
      <c r="O9" s="588"/>
      <c r="P9" s="587" t="s">
        <v>582</v>
      </c>
      <c r="Q9" s="587"/>
      <c r="R9" s="587"/>
      <c r="S9" s="587"/>
      <c r="T9" s="587"/>
      <c r="U9" s="587"/>
      <c r="V9" s="587"/>
      <c r="W9" s="587"/>
      <c r="X9" s="587"/>
      <c r="Y9" s="587"/>
      <c r="Z9" s="587"/>
      <c r="AA9" s="587"/>
    </row>
    <row r="10" spans="1:27" ht="21.75" thickBot="1">
      <c r="A10" s="344" t="s">
        <v>30</v>
      </c>
      <c r="B10" s="584"/>
      <c r="C10" s="343" t="s">
        <v>500</v>
      </c>
      <c r="D10" s="341" t="s">
        <v>590</v>
      </c>
      <c r="E10" s="339" t="s">
        <v>591</v>
      </c>
      <c r="F10" s="340" t="s">
        <v>592</v>
      </c>
      <c r="G10" s="339" t="s">
        <v>593</v>
      </c>
      <c r="H10" s="340" t="s">
        <v>594</v>
      </c>
      <c r="I10" s="339" t="s">
        <v>595</v>
      </c>
      <c r="J10" s="340" t="s">
        <v>596</v>
      </c>
      <c r="K10" s="342" t="s">
        <v>597</v>
      </c>
      <c r="L10" s="340" t="s">
        <v>598</v>
      </c>
      <c r="M10" s="339" t="s">
        <v>599</v>
      </c>
      <c r="N10" s="340" t="s">
        <v>600</v>
      </c>
      <c r="O10" s="341" t="s">
        <v>601</v>
      </c>
      <c r="P10" s="341" t="s">
        <v>590</v>
      </c>
      <c r="Q10" s="339" t="s">
        <v>591</v>
      </c>
      <c r="R10" s="340" t="s">
        <v>592</v>
      </c>
      <c r="S10" s="339" t="s">
        <v>593</v>
      </c>
      <c r="T10" s="340" t="s">
        <v>594</v>
      </c>
      <c r="U10" s="339" t="s">
        <v>595</v>
      </c>
      <c r="V10" s="340" t="s">
        <v>596</v>
      </c>
      <c r="W10" s="339" t="s">
        <v>597</v>
      </c>
      <c r="X10" s="340" t="s">
        <v>598</v>
      </c>
      <c r="Y10" s="339" t="s">
        <v>599</v>
      </c>
      <c r="Z10" s="340" t="s">
        <v>600</v>
      </c>
      <c r="AA10" s="339" t="s">
        <v>601</v>
      </c>
    </row>
    <row r="11" spans="1:27" ht="20.45" customHeight="1">
      <c r="A11" s="334">
        <v>1</v>
      </c>
      <c r="B11" s="300" t="s">
        <v>602</v>
      </c>
      <c r="C11" s="589"/>
      <c r="D11" s="330"/>
      <c r="E11" s="329"/>
      <c r="F11" s="329"/>
      <c r="G11" s="329"/>
      <c r="H11" s="329"/>
      <c r="I11" s="329"/>
      <c r="J11" s="328"/>
      <c r="K11" s="338"/>
      <c r="L11" s="328"/>
      <c r="M11" s="331"/>
      <c r="N11" s="332"/>
      <c r="O11" s="333"/>
      <c r="P11" s="333"/>
      <c r="Q11" s="331"/>
      <c r="R11" s="332"/>
      <c r="S11" s="331"/>
      <c r="T11" s="332"/>
      <c r="U11" s="331"/>
      <c r="V11" s="332"/>
      <c r="W11" s="331"/>
      <c r="X11" s="332"/>
      <c r="Y11" s="331"/>
      <c r="Z11" s="332"/>
      <c r="AA11" s="331"/>
    </row>
    <row r="12" spans="1:27" ht="20.45" customHeight="1">
      <c r="A12" s="334">
        <v>2</v>
      </c>
      <c r="B12" s="300" t="s">
        <v>603</v>
      </c>
      <c r="C12" s="590"/>
      <c r="D12" s="333"/>
      <c r="E12" s="331"/>
      <c r="F12" s="332"/>
      <c r="G12" s="331"/>
      <c r="H12" s="332"/>
      <c r="I12" s="331"/>
      <c r="J12" s="332"/>
      <c r="K12" s="331"/>
      <c r="L12" s="332"/>
      <c r="M12" s="331"/>
      <c r="N12" s="332"/>
      <c r="O12" s="333"/>
      <c r="P12" s="333"/>
      <c r="Q12" s="331"/>
      <c r="R12" s="332"/>
      <c r="S12" s="331"/>
      <c r="T12" s="332"/>
      <c r="U12" s="331"/>
      <c r="V12" s="332"/>
      <c r="W12" s="331"/>
      <c r="X12" s="332"/>
      <c r="Y12" s="331"/>
      <c r="Z12" s="332"/>
      <c r="AA12" s="331"/>
    </row>
    <row r="13" spans="1:27" ht="20.45" customHeight="1">
      <c r="A13" s="326"/>
      <c r="B13" s="300" t="s">
        <v>604</v>
      </c>
      <c r="C13" s="590"/>
      <c r="D13" s="333"/>
      <c r="E13" s="331"/>
      <c r="F13" s="328"/>
      <c r="G13" s="329"/>
      <c r="H13" s="329"/>
      <c r="I13" s="329"/>
      <c r="J13" s="330"/>
      <c r="K13" s="329"/>
      <c r="L13" s="337"/>
      <c r="M13" s="329"/>
      <c r="N13" s="328"/>
      <c r="O13" s="330"/>
      <c r="P13" s="330"/>
      <c r="Q13" s="329"/>
      <c r="R13" s="328"/>
      <c r="S13" s="331"/>
      <c r="T13" s="332"/>
      <c r="U13" s="331"/>
      <c r="V13" s="332"/>
      <c r="W13" s="331"/>
      <c r="X13" s="332"/>
      <c r="Y13" s="331"/>
      <c r="Z13" s="332"/>
      <c r="AA13" s="331"/>
    </row>
    <row r="14" spans="1:27" ht="20.45" customHeight="1">
      <c r="A14" s="326"/>
      <c r="B14" s="300" t="s">
        <v>605</v>
      </c>
      <c r="C14" s="590"/>
      <c r="D14" s="333"/>
      <c r="E14" s="331"/>
      <c r="F14" s="332"/>
      <c r="G14" s="331"/>
      <c r="H14" s="329"/>
      <c r="I14" s="329"/>
      <c r="J14" s="330"/>
      <c r="K14" s="329"/>
      <c r="L14" s="337"/>
      <c r="M14" s="329"/>
      <c r="N14" s="328"/>
      <c r="O14" s="330"/>
      <c r="P14" s="330"/>
      <c r="Q14" s="329"/>
      <c r="R14" s="328"/>
      <c r="S14" s="329"/>
      <c r="T14" s="328"/>
      <c r="U14" s="329"/>
      <c r="V14" s="332"/>
      <c r="W14" s="331"/>
      <c r="X14" s="332"/>
      <c r="Y14" s="331"/>
      <c r="Z14" s="332"/>
      <c r="AA14" s="331"/>
    </row>
    <row r="15" spans="1:27" ht="20.45" customHeight="1">
      <c r="A15" s="326"/>
      <c r="B15" s="300" t="s">
        <v>606</v>
      </c>
      <c r="C15" s="590"/>
      <c r="D15" s="333"/>
      <c r="E15" s="331"/>
      <c r="F15" s="332"/>
      <c r="G15" s="331"/>
      <c r="H15" s="331"/>
      <c r="I15" s="329"/>
      <c r="J15" s="330"/>
      <c r="K15" s="329"/>
      <c r="L15" s="337"/>
      <c r="M15" s="329"/>
      <c r="N15" s="328"/>
      <c r="O15" s="330"/>
      <c r="P15" s="330"/>
      <c r="Q15" s="329"/>
      <c r="R15" s="328"/>
      <c r="S15" s="329"/>
      <c r="T15" s="328"/>
      <c r="U15" s="329"/>
      <c r="V15" s="328"/>
      <c r="W15" s="329"/>
      <c r="X15" s="328"/>
      <c r="Y15" s="331"/>
      <c r="Z15" s="332"/>
      <c r="AA15" s="331"/>
    </row>
    <row r="16" spans="1:27" ht="20.45" customHeight="1">
      <c r="A16" s="326"/>
      <c r="B16" s="300" t="s">
        <v>607</v>
      </c>
      <c r="C16" s="590"/>
      <c r="D16" s="333"/>
      <c r="E16" s="331"/>
      <c r="F16" s="332"/>
      <c r="G16" s="331"/>
      <c r="H16" s="332"/>
      <c r="I16" s="331"/>
      <c r="J16" s="330"/>
      <c r="K16" s="329"/>
      <c r="L16" s="337"/>
      <c r="M16" s="329"/>
      <c r="N16" s="329"/>
      <c r="O16" s="330"/>
      <c r="P16" s="330"/>
      <c r="Q16" s="329"/>
      <c r="R16" s="328"/>
      <c r="S16" s="329"/>
      <c r="T16" s="328"/>
      <c r="U16" s="329"/>
      <c r="V16" s="328"/>
      <c r="W16" s="329"/>
      <c r="X16" s="328"/>
      <c r="Y16" s="331"/>
      <c r="Z16" s="332"/>
      <c r="AA16" s="331"/>
    </row>
    <row r="17" spans="1:27" ht="20.45" customHeight="1">
      <c r="A17" s="334">
        <v>3</v>
      </c>
      <c r="B17" s="300" t="s">
        <v>608</v>
      </c>
      <c r="C17" s="590"/>
      <c r="D17" s="333"/>
      <c r="E17" s="331"/>
      <c r="F17" s="332"/>
      <c r="G17" s="331"/>
      <c r="H17" s="332"/>
      <c r="I17" s="331"/>
      <c r="J17" s="332"/>
      <c r="K17" s="329"/>
      <c r="L17" s="328"/>
      <c r="M17" s="329"/>
      <c r="N17" s="328"/>
      <c r="O17" s="330"/>
      <c r="P17" s="330"/>
      <c r="Q17" s="329"/>
      <c r="R17" s="328"/>
      <c r="S17" s="329"/>
      <c r="T17" s="328"/>
      <c r="U17" s="329"/>
      <c r="V17" s="328"/>
      <c r="W17" s="329"/>
      <c r="X17" s="328"/>
      <c r="Y17" s="329"/>
      <c r="Z17" s="328"/>
      <c r="AA17" s="329"/>
    </row>
    <row r="18" spans="1:27" ht="20.45" customHeight="1">
      <c r="A18" s="334">
        <v>4</v>
      </c>
      <c r="B18" s="300" t="s">
        <v>609</v>
      </c>
      <c r="C18" s="590"/>
      <c r="D18" s="333"/>
      <c r="E18" s="331"/>
      <c r="F18" s="332"/>
      <c r="G18" s="331"/>
      <c r="H18" s="332"/>
      <c r="I18" s="331"/>
      <c r="J18" s="332"/>
      <c r="K18" s="331"/>
      <c r="L18" s="336"/>
      <c r="M18" s="329"/>
      <c r="N18" s="328"/>
      <c r="O18" s="335"/>
      <c r="P18" s="329"/>
      <c r="Q18" s="329"/>
      <c r="R18" s="329"/>
      <c r="S18" s="329"/>
      <c r="T18" s="329"/>
      <c r="U18" s="329"/>
      <c r="V18" s="328"/>
      <c r="W18" s="329"/>
      <c r="X18" s="328"/>
      <c r="Y18" s="329"/>
      <c r="Z18" s="328"/>
      <c r="AA18" s="329"/>
    </row>
    <row r="19" spans="1:27" s="300" customFormat="1" ht="20.45" customHeight="1">
      <c r="A19" s="334">
        <v>5</v>
      </c>
      <c r="B19" s="300" t="s">
        <v>610</v>
      </c>
      <c r="C19" s="590"/>
      <c r="D19" s="333"/>
      <c r="E19" s="331"/>
      <c r="F19" s="332"/>
      <c r="G19" s="331"/>
      <c r="H19" s="332"/>
      <c r="I19" s="331"/>
      <c r="J19" s="332"/>
      <c r="K19" s="331"/>
      <c r="L19" s="328"/>
      <c r="M19" s="329"/>
      <c r="N19" s="328"/>
      <c r="O19" s="330"/>
      <c r="P19" s="329"/>
      <c r="Q19" s="329"/>
      <c r="R19" s="329"/>
      <c r="S19" s="329"/>
      <c r="T19" s="329"/>
      <c r="U19" s="329"/>
      <c r="V19" s="329"/>
      <c r="W19" s="329"/>
      <c r="X19" s="328"/>
      <c r="Y19" s="329"/>
      <c r="Z19" s="328"/>
      <c r="AA19" s="327"/>
    </row>
    <row r="20" spans="1:27" s="300" customFormat="1" ht="20.45" customHeight="1">
      <c r="A20" s="326"/>
      <c r="B20" s="300" t="s">
        <v>611</v>
      </c>
      <c r="C20" s="590"/>
      <c r="D20" s="325"/>
      <c r="E20" s="324"/>
      <c r="F20" s="323"/>
      <c r="G20" s="324"/>
      <c r="H20" s="323"/>
      <c r="I20" s="324"/>
      <c r="J20" s="323"/>
      <c r="K20" s="322"/>
      <c r="L20" s="320">
        <f>'[2]007(71)'!L12/1000000</f>
        <v>15.265377000000001</v>
      </c>
      <c r="M20" s="321"/>
      <c r="N20" s="320"/>
      <c r="O20" s="319">
        <f>'[2]007(71)'!M12/1000000</f>
        <v>5.7674300000000001</v>
      </c>
      <c r="P20" s="318"/>
      <c r="Q20" s="317"/>
      <c r="R20" s="316"/>
      <c r="S20" s="317"/>
      <c r="T20" s="316"/>
      <c r="U20" s="314">
        <f>'[2]007(71)'!N12/1000000</f>
        <v>149.66523000000001</v>
      </c>
      <c r="V20" s="316"/>
      <c r="W20" s="314"/>
      <c r="X20" s="315"/>
      <c r="Y20" s="314"/>
      <c r="Z20" s="315"/>
      <c r="AA20" s="314">
        <f>'[2]007(71)'!O12/1000000</f>
        <v>49.053600000000003</v>
      </c>
    </row>
    <row r="21" spans="1:27" s="300" customFormat="1" ht="23.25" customHeight="1">
      <c r="A21" s="313"/>
      <c r="B21" s="312" t="s">
        <v>612</v>
      </c>
      <c r="C21" s="311">
        <f>D21+P21</f>
        <v>219.75163700000002</v>
      </c>
      <c r="D21" s="576">
        <f>SUM(D20:O20)</f>
        <v>21.032807000000002</v>
      </c>
      <c r="E21" s="577"/>
      <c r="F21" s="577"/>
      <c r="G21" s="577"/>
      <c r="H21" s="577"/>
      <c r="I21" s="577"/>
      <c r="J21" s="577"/>
      <c r="K21" s="577"/>
      <c r="L21" s="577"/>
      <c r="M21" s="577"/>
      <c r="N21" s="577"/>
      <c r="O21" s="577"/>
      <c r="P21" s="576">
        <f>SUM(P20:AA20)</f>
        <v>198.71883000000003</v>
      </c>
      <c r="Q21" s="577"/>
      <c r="R21" s="577"/>
      <c r="S21" s="577"/>
      <c r="T21" s="577"/>
      <c r="U21" s="577"/>
      <c r="V21" s="577"/>
      <c r="W21" s="577"/>
      <c r="X21" s="577"/>
      <c r="Y21" s="577"/>
      <c r="Z21" s="577"/>
      <c r="AA21" s="578"/>
    </row>
    <row r="22" spans="1:27" s="300" customFormat="1" ht="23.25" customHeight="1">
      <c r="A22" s="310"/>
      <c r="B22" s="309"/>
      <c r="C22" s="308"/>
      <c r="D22" s="307"/>
      <c r="E22" s="307"/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579" t="s">
        <v>12</v>
      </c>
    </row>
    <row r="23" spans="1:27" ht="23.25" customHeight="1">
      <c r="A23" s="306" t="s">
        <v>37</v>
      </c>
      <c r="B23" s="305" t="s">
        <v>613</v>
      </c>
      <c r="D23" s="304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T23" s="300"/>
      <c r="U23" s="300"/>
      <c r="V23" s="300"/>
      <c r="W23" s="300"/>
      <c r="X23" s="300"/>
      <c r="Y23" s="300"/>
      <c r="AA23" s="579"/>
    </row>
    <row r="24" spans="1:27" ht="23.25" customHeight="1">
      <c r="B24" s="305" t="s">
        <v>614</v>
      </c>
      <c r="F24" s="231"/>
      <c r="G24" s="232"/>
      <c r="AA24" s="579"/>
    </row>
    <row r="25" spans="1:27">
      <c r="B25" s="304" t="s">
        <v>615</v>
      </c>
      <c r="F25" s="231"/>
      <c r="G25" s="232"/>
    </row>
  </sheetData>
  <mergeCells count="12">
    <mergeCell ref="D9:O9"/>
    <mergeCell ref="P9:AA9"/>
    <mergeCell ref="A2:AA2"/>
    <mergeCell ref="A3:AA3"/>
    <mergeCell ref="AA22:AA24"/>
    <mergeCell ref="C11:C20"/>
    <mergeCell ref="D21:O21"/>
    <mergeCell ref="P21:AA21"/>
    <mergeCell ref="A4:L4"/>
    <mergeCell ref="A8:A9"/>
    <mergeCell ref="B8:B10"/>
    <mergeCell ref="D8:AA8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77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3F63-C877-4056-B5ED-A5034F173789}">
  <sheetPr>
    <tabColor rgb="FFFFFF00"/>
  </sheetPr>
  <dimension ref="A1:N36"/>
  <sheetViews>
    <sheetView view="pageBreakPreview" zoomScale="85" zoomScaleNormal="100" zoomScaleSheetLayoutView="85" workbookViewId="0">
      <selection activeCell="C10" sqref="C10"/>
    </sheetView>
    <sheetView topLeftCell="A15" workbookViewId="1">
      <selection activeCell="H32" sqref="H32"/>
    </sheetView>
  </sheetViews>
  <sheetFormatPr defaultColWidth="9.140625" defaultRowHeight="21"/>
  <cols>
    <col min="1" max="1" width="7" style="6" customWidth="1"/>
    <col min="2" max="2" width="18.28515625" style="6" bestFit="1" customWidth="1"/>
    <col min="3" max="3" width="69.5703125" style="6" customWidth="1"/>
    <col min="4" max="4" width="10.140625" style="6" bestFit="1" customWidth="1"/>
    <col min="5" max="5" width="7.7109375" style="6" bestFit="1" customWidth="1"/>
    <col min="6" max="6" width="14.5703125" style="6" bestFit="1" customWidth="1"/>
    <col min="7" max="7" width="7.7109375" style="6" bestFit="1" customWidth="1"/>
    <col min="8" max="8" width="14.42578125" style="6" customWidth="1"/>
    <col min="9" max="9" width="7.7109375" style="6" bestFit="1" customWidth="1"/>
    <col min="10" max="10" width="15.28515625" style="6" bestFit="1" customWidth="1"/>
    <col min="11" max="11" width="9.28515625" style="6" bestFit="1" customWidth="1"/>
    <col min="12" max="12" width="14.5703125" style="6" bestFit="1" customWidth="1"/>
    <col min="13" max="13" width="15" style="6" bestFit="1" customWidth="1"/>
    <col min="14" max="16384" width="9.140625" style="6"/>
  </cols>
  <sheetData>
    <row r="1" spans="1:14">
      <c r="A1" s="20"/>
      <c r="B1" s="20"/>
      <c r="C1" s="20"/>
      <c r="D1" s="20"/>
      <c r="E1" s="20"/>
      <c r="F1" s="20"/>
      <c r="G1" s="20"/>
      <c r="H1" s="21"/>
      <c r="I1" s="20"/>
      <c r="J1" s="20"/>
      <c r="K1" s="20"/>
      <c r="L1" s="20"/>
    </row>
    <row r="2" spans="1:14">
      <c r="A2" s="601" t="s">
        <v>619</v>
      </c>
      <c r="B2" s="601"/>
      <c r="C2" s="601"/>
      <c r="D2" s="601"/>
      <c r="E2" s="601"/>
      <c r="F2" s="601"/>
      <c r="G2" s="601"/>
      <c r="H2" s="601"/>
      <c r="I2" s="601"/>
      <c r="J2" s="601"/>
      <c r="K2" s="601"/>
      <c r="L2" s="601"/>
    </row>
    <row r="3" spans="1:14">
      <c r="A3" s="602" t="s">
        <v>487</v>
      </c>
      <c r="B3" s="602"/>
      <c r="C3" s="603"/>
      <c r="D3" s="603"/>
      <c r="E3" s="603"/>
      <c r="F3" s="603"/>
      <c r="G3" s="603"/>
      <c r="H3" s="603"/>
      <c r="I3" s="603"/>
      <c r="J3" s="603"/>
      <c r="K3" s="20"/>
      <c r="L3" s="20"/>
    </row>
    <row r="4" spans="1:14">
      <c r="A4" s="224" t="s">
        <v>488</v>
      </c>
      <c r="B4" s="221"/>
      <c r="C4" s="220"/>
      <c r="D4" s="223"/>
      <c r="E4" s="222"/>
      <c r="F4" s="222"/>
      <c r="G4" s="222"/>
      <c r="H4" s="222"/>
      <c r="I4" s="222"/>
      <c r="J4" s="222"/>
      <c r="K4" s="20"/>
      <c r="L4" s="20"/>
    </row>
    <row r="5" spans="1:14" ht="21" customHeight="1">
      <c r="A5" s="221" t="s">
        <v>489</v>
      </c>
      <c r="B5" s="221"/>
      <c r="C5" s="220"/>
      <c r="D5" s="219"/>
      <c r="E5" s="217"/>
      <c r="F5" s="218"/>
      <c r="G5" s="217"/>
      <c r="H5" s="217"/>
      <c r="I5" s="217"/>
      <c r="J5" s="217"/>
      <c r="K5" s="20"/>
      <c r="L5" s="13" t="s">
        <v>29</v>
      </c>
    </row>
    <row r="6" spans="1:14" ht="21" customHeight="1">
      <c r="A6" s="604" t="s">
        <v>585</v>
      </c>
      <c r="B6" s="216"/>
      <c r="C6" s="604" t="s">
        <v>620</v>
      </c>
      <c r="D6" s="607" t="s">
        <v>621</v>
      </c>
      <c r="E6" s="610" t="s">
        <v>622</v>
      </c>
      <c r="F6" s="611"/>
      <c r="G6" s="611"/>
      <c r="H6" s="611"/>
      <c r="I6" s="611"/>
      <c r="J6" s="611"/>
      <c r="K6" s="612" t="s">
        <v>253</v>
      </c>
      <c r="L6" s="613"/>
    </row>
    <row r="7" spans="1:14" ht="21" customHeight="1">
      <c r="A7" s="605"/>
      <c r="B7" s="215" t="s">
        <v>623</v>
      </c>
      <c r="C7" s="605"/>
      <c r="D7" s="608"/>
      <c r="E7" s="616" t="s">
        <v>500</v>
      </c>
      <c r="F7" s="597"/>
      <c r="G7" s="596" t="s">
        <v>238</v>
      </c>
      <c r="H7" s="597"/>
      <c r="I7" s="596" t="s">
        <v>573</v>
      </c>
      <c r="J7" s="597"/>
      <c r="K7" s="614"/>
      <c r="L7" s="615"/>
    </row>
    <row r="8" spans="1:14" ht="24.75" customHeight="1">
      <c r="A8" s="606"/>
      <c r="B8" s="214"/>
      <c r="C8" s="606"/>
      <c r="D8" s="609"/>
      <c r="E8" s="213" t="s">
        <v>491</v>
      </c>
      <c r="F8" s="212" t="s">
        <v>624</v>
      </c>
      <c r="G8" s="212" t="s">
        <v>491</v>
      </c>
      <c r="H8" s="212" t="s">
        <v>624</v>
      </c>
      <c r="I8" s="212" t="s">
        <v>491</v>
      </c>
      <c r="J8" s="212" t="s">
        <v>624</v>
      </c>
      <c r="K8" s="211" t="s">
        <v>491</v>
      </c>
      <c r="L8" s="211" t="s">
        <v>624</v>
      </c>
    </row>
    <row r="9" spans="1:14" ht="24.75" customHeight="1">
      <c r="A9" s="206">
        <v>1</v>
      </c>
      <c r="B9" s="206" t="s">
        <v>625</v>
      </c>
      <c r="C9" s="204" t="s">
        <v>626</v>
      </c>
      <c r="D9" s="209">
        <v>260000</v>
      </c>
      <c r="E9" s="203">
        <v>359</v>
      </c>
      <c r="F9" s="202">
        <f t="shared" ref="F9:F30" si="0">D9*E9</f>
        <v>93340000</v>
      </c>
      <c r="G9" s="203">
        <v>362</v>
      </c>
      <c r="H9" s="202">
        <f t="shared" ref="H9:H30" si="1">D9*G9</f>
        <v>94120000</v>
      </c>
      <c r="I9" s="203">
        <v>315</v>
      </c>
      <c r="J9" s="202">
        <f t="shared" ref="J9:J30" si="2">I9*D9</f>
        <v>81900000</v>
      </c>
      <c r="K9" s="201">
        <f t="shared" ref="K9:K30" si="3">E9+G9+I9</f>
        <v>1036</v>
      </c>
      <c r="L9" s="200">
        <f t="shared" ref="L9:L30" si="4">D9*K9</f>
        <v>269360000</v>
      </c>
      <c r="N9" s="208">
        <f>(K9+K10)/22530</f>
        <v>5.7656458055925432E-2</v>
      </c>
    </row>
    <row r="10" spans="1:14" ht="21" customHeight="1">
      <c r="A10" s="205">
        <v>2</v>
      </c>
      <c r="B10" s="205" t="s">
        <v>627</v>
      </c>
      <c r="C10" s="204" t="s">
        <v>628</v>
      </c>
      <c r="D10" s="209">
        <v>260000</v>
      </c>
      <c r="E10" s="203">
        <v>90</v>
      </c>
      <c r="F10" s="202">
        <f t="shared" si="0"/>
        <v>23400000</v>
      </c>
      <c r="G10" s="203">
        <v>89</v>
      </c>
      <c r="H10" s="202">
        <f t="shared" si="1"/>
        <v>23140000</v>
      </c>
      <c r="I10" s="203">
        <v>84</v>
      </c>
      <c r="J10" s="202">
        <f t="shared" si="2"/>
        <v>21840000</v>
      </c>
      <c r="K10" s="201">
        <f t="shared" si="3"/>
        <v>263</v>
      </c>
      <c r="L10" s="200">
        <f t="shared" si="4"/>
        <v>68380000</v>
      </c>
    </row>
    <row r="11" spans="1:14" ht="21" customHeight="1">
      <c r="A11" s="206">
        <v>3</v>
      </c>
      <c r="B11" s="205">
        <v>1050050000</v>
      </c>
      <c r="C11" s="204" t="s">
        <v>629</v>
      </c>
      <c r="D11" s="209">
        <v>9357</v>
      </c>
      <c r="E11" s="200">
        <v>750</v>
      </c>
      <c r="F11" s="387" t="s">
        <v>630</v>
      </c>
      <c r="G11" s="203">
        <v>750</v>
      </c>
      <c r="H11" s="202">
        <f t="shared" si="1"/>
        <v>7017750</v>
      </c>
      <c r="I11" s="203">
        <v>750</v>
      </c>
      <c r="J11" s="202">
        <f t="shared" si="2"/>
        <v>7017750</v>
      </c>
      <c r="K11" s="201">
        <f t="shared" si="3"/>
        <v>2250</v>
      </c>
      <c r="L11" s="200">
        <f t="shared" si="4"/>
        <v>21053250</v>
      </c>
    </row>
    <row r="12" spans="1:14" ht="21" customHeight="1">
      <c r="A12" s="205">
        <v>4</v>
      </c>
      <c r="B12" s="205">
        <v>1050050100</v>
      </c>
      <c r="C12" s="204" t="s">
        <v>631</v>
      </c>
      <c r="D12" s="209">
        <v>7886</v>
      </c>
      <c r="E12" s="200">
        <v>225</v>
      </c>
      <c r="F12" s="387" t="s">
        <v>630</v>
      </c>
      <c r="G12" s="203">
        <v>225</v>
      </c>
      <c r="H12" s="202">
        <f t="shared" si="1"/>
        <v>1774350</v>
      </c>
      <c r="I12" s="203">
        <v>225</v>
      </c>
      <c r="J12" s="202">
        <f t="shared" si="2"/>
        <v>1774350</v>
      </c>
      <c r="K12" s="201">
        <f t="shared" si="3"/>
        <v>675</v>
      </c>
      <c r="L12" s="200">
        <f t="shared" si="4"/>
        <v>5323050</v>
      </c>
    </row>
    <row r="13" spans="1:14" ht="21" customHeight="1">
      <c r="A13" s="206">
        <v>5</v>
      </c>
      <c r="B13" s="205">
        <v>1040080004</v>
      </c>
      <c r="C13" s="204" t="s">
        <v>632</v>
      </c>
      <c r="D13" s="209">
        <v>238400</v>
      </c>
      <c r="E13" s="200">
        <v>203</v>
      </c>
      <c r="F13" s="202">
        <f t="shared" si="0"/>
        <v>48395200</v>
      </c>
      <c r="G13" s="203">
        <v>212</v>
      </c>
      <c r="H13" s="202">
        <f t="shared" si="1"/>
        <v>50540800</v>
      </c>
      <c r="I13" s="203">
        <v>169</v>
      </c>
      <c r="J13" s="202">
        <f t="shared" si="2"/>
        <v>40289600</v>
      </c>
      <c r="K13" s="201">
        <f t="shared" si="3"/>
        <v>584</v>
      </c>
      <c r="L13" s="200">
        <f t="shared" si="4"/>
        <v>139225600</v>
      </c>
      <c r="N13" s="208">
        <f>(K13+K14)/4743</f>
        <v>0.14336917562724014</v>
      </c>
    </row>
    <row r="14" spans="1:14" ht="21" customHeight="1">
      <c r="A14" s="205">
        <v>6</v>
      </c>
      <c r="B14" s="205">
        <v>1040080103</v>
      </c>
      <c r="C14" s="204" t="s">
        <v>633</v>
      </c>
      <c r="D14" s="209">
        <v>313000</v>
      </c>
      <c r="E14" s="200">
        <v>34</v>
      </c>
      <c r="F14" s="202">
        <f t="shared" si="0"/>
        <v>10642000</v>
      </c>
      <c r="G14" s="203">
        <v>34</v>
      </c>
      <c r="H14" s="202">
        <f t="shared" si="1"/>
        <v>10642000</v>
      </c>
      <c r="I14" s="203">
        <v>28</v>
      </c>
      <c r="J14" s="202">
        <f t="shared" si="2"/>
        <v>8764000</v>
      </c>
      <c r="K14" s="201">
        <f t="shared" si="3"/>
        <v>96</v>
      </c>
      <c r="L14" s="200">
        <f t="shared" si="4"/>
        <v>30048000</v>
      </c>
    </row>
    <row r="15" spans="1:14" ht="21" customHeight="1">
      <c r="A15" s="206">
        <v>7</v>
      </c>
      <c r="B15" s="205">
        <v>1040073011</v>
      </c>
      <c r="C15" s="204" t="s">
        <v>634</v>
      </c>
      <c r="D15" s="209">
        <v>51360</v>
      </c>
      <c r="E15" s="200">
        <v>65</v>
      </c>
      <c r="F15" s="202">
        <f t="shared" si="0"/>
        <v>3338400</v>
      </c>
      <c r="G15" s="203">
        <v>70</v>
      </c>
      <c r="H15" s="202">
        <f t="shared" si="1"/>
        <v>3595200</v>
      </c>
      <c r="I15" s="203">
        <v>70</v>
      </c>
      <c r="J15" s="202">
        <f t="shared" si="2"/>
        <v>3595200</v>
      </c>
      <c r="K15" s="201">
        <f t="shared" si="3"/>
        <v>205</v>
      </c>
      <c r="L15" s="200">
        <f t="shared" si="4"/>
        <v>10528800</v>
      </c>
    </row>
    <row r="16" spans="1:14" ht="21" customHeight="1">
      <c r="A16" s="205">
        <v>8</v>
      </c>
      <c r="B16" s="205">
        <v>1040073012</v>
      </c>
      <c r="C16" s="204" t="s">
        <v>635</v>
      </c>
      <c r="D16" s="209">
        <v>61030</v>
      </c>
      <c r="E16" s="200">
        <v>16</v>
      </c>
      <c r="F16" s="202">
        <f t="shared" si="0"/>
        <v>976480</v>
      </c>
      <c r="G16" s="203">
        <v>16</v>
      </c>
      <c r="H16" s="202">
        <f t="shared" si="1"/>
        <v>976480</v>
      </c>
      <c r="I16" s="203">
        <v>17</v>
      </c>
      <c r="J16" s="202">
        <f t="shared" si="2"/>
        <v>1037510</v>
      </c>
      <c r="K16" s="201">
        <f t="shared" si="3"/>
        <v>49</v>
      </c>
      <c r="L16" s="200">
        <f t="shared" si="4"/>
        <v>2990470</v>
      </c>
    </row>
    <row r="17" spans="1:14" ht="21" customHeight="1">
      <c r="A17" s="206">
        <v>9</v>
      </c>
      <c r="B17" s="205">
        <v>1040073015</v>
      </c>
      <c r="C17" s="204" t="s">
        <v>636</v>
      </c>
      <c r="D17" s="209">
        <v>19090</v>
      </c>
      <c r="E17" s="200">
        <v>164</v>
      </c>
      <c r="F17" s="202">
        <f t="shared" si="0"/>
        <v>3130760</v>
      </c>
      <c r="G17" s="203">
        <v>34</v>
      </c>
      <c r="H17" s="202">
        <f t="shared" si="1"/>
        <v>649060</v>
      </c>
      <c r="I17" s="203">
        <v>33</v>
      </c>
      <c r="J17" s="202">
        <f t="shared" si="2"/>
        <v>629970</v>
      </c>
      <c r="K17" s="201">
        <f t="shared" si="3"/>
        <v>231</v>
      </c>
      <c r="L17" s="200">
        <f t="shared" si="4"/>
        <v>4409790</v>
      </c>
    </row>
    <row r="18" spans="1:14" ht="21" customHeight="1">
      <c r="A18" s="205">
        <v>10</v>
      </c>
      <c r="B18" s="205">
        <v>1040073016</v>
      </c>
      <c r="C18" s="204" t="s">
        <v>637</v>
      </c>
      <c r="D18" s="209">
        <v>33650</v>
      </c>
      <c r="E18" s="200">
        <v>20</v>
      </c>
      <c r="F18" s="202">
        <f t="shared" si="0"/>
        <v>673000</v>
      </c>
      <c r="G18" s="203">
        <v>5</v>
      </c>
      <c r="H18" s="202">
        <f t="shared" si="1"/>
        <v>168250</v>
      </c>
      <c r="I18" s="203">
        <v>15</v>
      </c>
      <c r="J18" s="202">
        <f t="shared" si="2"/>
        <v>504750</v>
      </c>
      <c r="K18" s="201">
        <f t="shared" si="3"/>
        <v>40</v>
      </c>
      <c r="L18" s="200">
        <f t="shared" si="4"/>
        <v>1346000</v>
      </c>
    </row>
    <row r="19" spans="1:14" ht="21" customHeight="1">
      <c r="A19" s="206">
        <v>11</v>
      </c>
      <c r="B19" s="205">
        <v>1040050000</v>
      </c>
      <c r="C19" s="210" t="s">
        <v>638</v>
      </c>
      <c r="D19" s="209">
        <v>5222</v>
      </c>
      <c r="E19" s="200">
        <v>1296</v>
      </c>
      <c r="F19" s="202">
        <f t="shared" si="0"/>
        <v>6767712</v>
      </c>
      <c r="G19" s="203">
        <v>666</v>
      </c>
      <c r="H19" s="202">
        <f t="shared" si="1"/>
        <v>3477852</v>
      </c>
      <c r="I19" s="203">
        <v>1026</v>
      </c>
      <c r="J19" s="202">
        <f t="shared" si="2"/>
        <v>5357772</v>
      </c>
      <c r="K19" s="201">
        <f t="shared" si="3"/>
        <v>2988</v>
      </c>
      <c r="L19" s="200">
        <f t="shared" si="4"/>
        <v>15603336</v>
      </c>
    </row>
    <row r="20" spans="1:14" ht="21" customHeight="1">
      <c r="A20" s="205">
        <v>12</v>
      </c>
      <c r="B20" s="205">
        <v>1040050100</v>
      </c>
      <c r="C20" s="210" t="s">
        <v>639</v>
      </c>
      <c r="D20" s="209">
        <v>8263</v>
      </c>
      <c r="E20" s="200">
        <v>270</v>
      </c>
      <c r="F20" s="202">
        <f t="shared" si="0"/>
        <v>2231010</v>
      </c>
      <c r="G20" s="203">
        <v>0</v>
      </c>
      <c r="H20" s="202">
        <f t="shared" si="1"/>
        <v>0</v>
      </c>
      <c r="I20" s="203">
        <v>135</v>
      </c>
      <c r="J20" s="202">
        <f t="shared" si="2"/>
        <v>1115505</v>
      </c>
      <c r="K20" s="201">
        <f t="shared" si="3"/>
        <v>405</v>
      </c>
      <c r="L20" s="200">
        <f t="shared" si="4"/>
        <v>3346515</v>
      </c>
    </row>
    <row r="21" spans="1:14" ht="21" customHeight="1">
      <c r="A21" s="206">
        <v>13</v>
      </c>
      <c r="B21" s="205">
        <v>1040070202</v>
      </c>
      <c r="C21" s="207" t="s">
        <v>640</v>
      </c>
      <c r="D21" s="209">
        <v>3900000</v>
      </c>
      <c r="E21" s="200">
        <v>8</v>
      </c>
      <c r="F21" s="202">
        <f t="shared" si="0"/>
        <v>31200000</v>
      </c>
      <c r="G21" s="203">
        <v>6</v>
      </c>
      <c r="H21" s="202">
        <f t="shared" si="1"/>
        <v>23400000</v>
      </c>
      <c r="I21" s="203">
        <v>0</v>
      </c>
      <c r="J21" s="202">
        <f t="shared" si="2"/>
        <v>0</v>
      </c>
      <c r="K21" s="201">
        <f t="shared" si="3"/>
        <v>14</v>
      </c>
      <c r="L21" s="200">
        <f t="shared" si="4"/>
        <v>54600000</v>
      </c>
      <c r="N21" s="208">
        <f>20/762</f>
        <v>2.6246719160104987E-2</v>
      </c>
    </row>
    <row r="22" spans="1:14" ht="21" customHeight="1">
      <c r="A22" s="205">
        <v>14</v>
      </c>
      <c r="B22" s="205">
        <v>1040060207</v>
      </c>
      <c r="C22" s="207" t="s">
        <v>641</v>
      </c>
      <c r="D22" s="203">
        <v>406900</v>
      </c>
      <c r="E22" s="200">
        <v>6</v>
      </c>
      <c r="F22" s="202">
        <f t="shared" si="0"/>
        <v>2441400</v>
      </c>
      <c r="G22" s="203">
        <v>0</v>
      </c>
      <c r="H22" s="202">
        <f t="shared" si="1"/>
        <v>0</v>
      </c>
      <c r="I22" s="203">
        <v>0</v>
      </c>
      <c r="J22" s="202">
        <f t="shared" si="2"/>
        <v>0</v>
      </c>
      <c r="K22" s="201">
        <f t="shared" si="3"/>
        <v>6</v>
      </c>
      <c r="L22" s="200">
        <f t="shared" si="4"/>
        <v>2441400</v>
      </c>
    </row>
    <row r="23" spans="1:14" s="199" customFormat="1">
      <c r="A23" s="206">
        <v>15</v>
      </c>
      <c r="B23" s="205">
        <v>1020040001</v>
      </c>
      <c r="C23" s="204" t="s">
        <v>554</v>
      </c>
      <c r="D23" s="203">
        <v>650.46</v>
      </c>
      <c r="E23" s="200">
        <v>500</v>
      </c>
      <c r="F23" s="202">
        <f t="shared" si="0"/>
        <v>325230</v>
      </c>
      <c r="G23" s="203">
        <v>0</v>
      </c>
      <c r="H23" s="202">
        <f t="shared" si="1"/>
        <v>0</v>
      </c>
      <c r="I23" s="203">
        <v>500</v>
      </c>
      <c r="J23" s="202">
        <f t="shared" si="2"/>
        <v>325230</v>
      </c>
      <c r="K23" s="201">
        <f t="shared" si="3"/>
        <v>1000</v>
      </c>
      <c r="L23" s="200">
        <f t="shared" si="4"/>
        <v>650460</v>
      </c>
    </row>
    <row r="24" spans="1:14" s="199" customFormat="1">
      <c r="A24" s="205">
        <v>16</v>
      </c>
      <c r="B24" s="205">
        <v>1020040003</v>
      </c>
      <c r="C24" s="204" t="s">
        <v>556</v>
      </c>
      <c r="D24" s="203">
        <v>623</v>
      </c>
      <c r="E24" s="200">
        <v>500</v>
      </c>
      <c r="F24" s="202">
        <f t="shared" si="0"/>
        <v>311500</v>
      </c>
      <c r="G24" s="203">
        <v>500</v>
      </c>
      <c r="H24" s="202">
        <f t="shared" si="1"/>
        <v>311500</v>
      </c>
      <c r="I24" s="203">
        <v>0</v>
      </c>
      <c r="J24" s="202">
        <f t="shared" si="2"/>
        <v>0</v>
      </c>
      <c r="K24" s="201">
        <f t="shared" si="3"/>
        <v>1000</v>
      </c>
      <c r="L24" s="200">
        <f t="shared" si="4"/>
        <v>623000</v>
      </c>
    </row>
    <row r="25" spans="1:14" s="199" customFormat="1">
      <c r="A25" s="206">
        <v>17</v>
      </c>
      <c r="B25" s="205">
        <v>1020040101</v>
      </c>
      <c r="C25" s="204" t="s">
        <v>558</v>
      </c>
      <c r="D25" s="203">
        <v>700</v>
      </c>
      <c r="E25" s="200">
        <v>500</v>
      </c>
      <c r="F25" s="202">
        <f t="shared" si="0"/>
        <v>350000</v>
      </c>
      <c r="G25" s="203">
        <v>0</v>
      </c>
      <c r="H25" s="202">
        <f t="shared" si="1"/>
        <v>0</v>
      </c>
      <c r="I25" s="203">
        <v>500</v>
      </c>
      <c r="J25" s="202">
        <f t="shared" si="2"/>
        <v>350000</v>
      </c>
      <c r="K25" s="201">
        <f t="shared" si="3"/>
        <v>1000</v>
      </c>
      <c r="L25" s="200">
        <f t="shared" si="4"/>
        <v>700000</v>
      </c>
    </row>
    <row r="26" spans="1:14" s="199" customFormat="1">
      <c r="A26" s="205">
        <v>18</v>
      </c>
      <c r="B26" s="205">
        <v>1020040103</v>
      </c>
      <c r="C26" s="204" t="s">
        <v>560</v>
      </c>
      <c r="D26" s="203">
        <v>800</v>
      </c>
      <c r="E26" s="200">
        <v>500</v>
      </c>
      <c r="F26" s="202">
        <f t="shared" si="0"/>
        <v>400000</v>
      </c>
      <c r="G26" s="203">
        <v>0</v>
      </c>
      <c r="H26" s="202">
        <f t="shared" si="1"/>
        <v>0</v>
      </c>
      <c r="I26" s="203">
        <v>500</v>
      </c>
      <c r="J26" s="202">
        <f t="shared" si="2"/>
        <v>400000</v>
      </c>
      <c r="K26" s="201">
        <f t="shared" si="3"/>
        <v>1000</v>
      </c>
      <c r="L26" s="200">
        <f t="shared" si="4"/>
        <v>800000</v>
      </c>
    </row>
    <row r="27" spans="1:14" s="199" customFormat="1">
      <c r="A27" s="206">
        <v>19</v>
      </c>
      <c r="B27" s="206">
        <v>1020050202</v>
      </c>
      <c r="C27" s="204" t="s">
        <v>562</v>
      </c>
      <c r="D27" s="203">
        <v>1200</v>
      </c>
      <c r="E27" s="200">
        <v>2000</v>
      </c>
      <c r="F27" s="202">
        <f t="shared" si="0"/>
        <v>2400000</v>
      </c>
      <c r="G27" s="203">
        <v>2000</v>
      </c>
      <c r="H27" s="202">
        <f t="shared" si="1"/>
        <v>2400000</v>
      </c>
      <c r="I27" s="203">
        <v>2000</v>
      </c>
      <c r="J27" s="202">
        <f t="shared" si="2"/>
        <v>2400000</v>
      </c>
      <c r="K27" s="201">
        <f t="shared" si="3"/>
        <v>6000</v>
      </c>
      <c r="L27" s="200">
        <f t="shared" si="4"/>
        <v>7200000</v>
      </c>
    </row>
    <row r="28" spans="1:14" s="199" customFormat="1">
      <c r="A28" s="205">
        <v>20</v>
      </c>
      <c r="B28" s="205">
        <v>1020050204</v>
      </c>
      <c r="C28" s="204" t="s">
        <v>564</v>
      </c>
      <c r="D28" s="203">
        <v>1900</v>
      </c>
      <c r="E28" s="200">
        <v>27000</v>
      </c>
      <c r="F28" s="387" t="s">
        <v>630</v>
      </c>
      <c r="G28" s="203">
        <v>16000</v>
      </c>
      <c r="H28" s="387" t="s">
        <v>630</v>
      </c>
      <c r="I28" s="203">
        <v>8000</v>
      </c>
      <c r="J28" s="202">
        <f t="shared" si="2"/>
        <v>15200000</v>
      </c>
      <c r="K28" s="201">
        <f t="shared" si="3"/>
        <v>51000</v>
      </c>
      <c r="L28" s="200">
        <f t="shared" si="4"/>
        <v>96900000</v>
      </c>
    </row>
    <row r="29" spans="1:14" s="199" customFormat="1">
      <c r="A29" s="206">
        <v>21</v>
      </c>
      <c r="B29" s="206">
        <v>1020050302</v>
      </c>
      <c r="C29" s="204" t="s">
        <v>566</v>
      </c>
      <c r="D29" s="203">
        <v>1500</v>
      </c>
      <c r="E29" s="200">
        <v>6000</v>
      </c>
      <c r="F29" s="202">
        <f t="shared" si="0"/>
        <v>9000000</v>
      </c>
      <c r="G29" s="203">
        <v>4000</v>
      </c>
      <c r="H29" s="202">
        <f t="shared" si="1"/>
        <v>6000000</v>
      </c>
      <c r="I29" s="203">
        <v>3500</v>
      </c>
      <c r="J29" s="202">
        <f t="shared" si="2"/>
        <v>5250000</v>
      </c>
      <c r="K29" s="201">
        <f t="shared" si="3"/>
        <v>13500</v>
      </c>
      <c r="L29" s="200">
        <f t="shared" si="4"/>
        <v>20250000</v>
      </c>
    </row>
    <row r="30" spans="1:14" s="199" customFormat="1">
      <c r="A30" s="205">
        <v>22</v>
      </c>
      <c r="B30" s="205">
        <v>1020050304</v>
      </c>
      <c r="C30" s="204" t="s">
        <v>568</v>
      </c>
      <c r="D30" s="203">
        <v>2200</v>
      </c>
      <c r="E30" s="200">
        <v>2000</v>
      </c>
      <c r="F30" s="202">
        <f t="shared" si="0"/>
        <v>4400000</v>
      </c>
      <c r="G30" s="203">
        <v>13000</v>
      </c>
      <c r="H30" s="202">
        <f t="shared" si="1"/>
        <v>28600000</v>
      </c>
      <c r="I30" s="203">
        <v>10000</v>
      </c>
      <c r="J30" s="202">
        <f t="shared" si="2"/>
        <v>22000000</v>
      </c>
      <c r="K30" s="201">
        <f t="shared" si="3"/>
        <v>25000</v>
      </c>
      <c r="L30" s="200">
        <f t="shared" si="4"/>
        <v>55000000</v>
      </c>
    </row>
    <row r="31" spans="1:14" ht="22.5">
      <c r="A31" s="593" t="s">
        <v>570</v>
      </c>
      <c r="B31" s="594"/>
      <c r="C31" s="595"/>
      <c r="D31" s="193"/>
      <c r="E31" s="192" t="s">
        <v>234</v>
      </c>
      <c r="F31" s="191">
        <f>SUM(F9:F30)</f>
        <v>243722692</v>
      </c>
      <c r="G31" s="191"/>
      <c r="H31" s="191">
        <f>SUM(H9:H30)</f>
        <v>256813242</v>
      </c>
      <c r="I31" s="191"/>
      <c r="J31" s="191">
        <f>SUM(J9:J30)</f>
        <v>219751637</v>
      </c>
      <c r="K31" s="190"/>
      <c r="L31" s="191">
        <f>F31+H31+J31</f>
        <v>720287571</v>
      </c>
      <c r="M31" s="189" t="str">
        <f>BAHTTEXT(L31)</f>
        <v>เจ็ดร้อยยี่สิบล้านสองแสนแปดหมื่นเจ็ดพันห้าร้อยเจ็ดสิบเอ็ดบาทถ้วน</v>
      </c>
    </row>
    <row r="32" spans="1:14">
      <c r="A32" s="598" t="s">
        <v>642</v>
      </c>
      <c r="B32" s="599"/>
      <c r="C32" s="600"/>
      <c r="D32" s="198"/>
      <c r="E32" s="197"/>
      <c r="F32" s="195">
        <v>0</v>
      </c>
      <c r="G32" s="196"/>
      <c r="H32" s="195">
        <v>8616398</v>
      </c>
      <c r="I32" s="196"/>
      <c r="J32" s="195">
        <v>13382875</v>
      </c>
      <c r="K32" s="194"/>
      <c r="L32" s="194">
        <f>H32+J32+F32</f>
        <v>21999273</v>
      </c>
      <c r="M32" s="189"/>
    </row>
    <row r="33" spans="1:13" ht="22.5">
      <c r="A33" s="593" t="s">
        <v>571</v>
      </c>
      <c r="B33" s="594"/>
      <c r="C33" s="595"/>
      <c r="D33" s="193"/>
      <c r="E33" s="192"/>
      <c r="F33" s="191">
        <f>F31+F32</f>
        <v>243722692</v>
      </c>
      <c r="G33" s="191"/>
      <c r="H33" s="191">
        <f>H31+H32</f>
        <v>265429640</v>
      </c>
      <c r="I33" s="191"/>
      <c r="J33" s="191">
        <f>J31+J32</f>
        <v>233134512</v>
      </c>
      <c r="K33" s="190"/>
      <c r="L33" s="191">
        <f>F33+H33+J33</f>
        <v>742286844</v>
      </c>
      <c r="M33" s="189" t="str">
        <f>BAHTTEXT(L33)</f>
        <v>เจ็ดร้อยสี่สิบสองล้านสองแสนแปดหมื่นหกพันแปดร้อยสี่สิบสี่บาทถ้วน</v>
      </c>
    </row>
    <row r="34" spans="1:13" ht="23.25" customHeight="1">
      <c r="A34" s="6" t="s">
        <v>643</v>
      </c>
      <c r="B34" s="6" t="s">
        <v>644</v>
      </c>
      <c r="L34" s="591" t="s">
        <v>15</v>
      </c>
      <c r="M34" s="189"/>
    </row>
    <row r="35" spans="1:13">
      <c r="B35" s="6" t="s">
        <v>645</v>
      </c>
      <c r="L35" s="592"/>
    </row>
    <row r="36" spans="1:13">
      <c r="L36" s="592"/>
    </row>
  </sheetData>
  <mergeCells count="14">
    <mergeCell ref="A2:L2"/>
    <mergeCell ref="A3:J3"/>
    <mergeCell ref="A6:A8"/>
    <mergeCell ref="C6:C8"/>
    <mergeCell ref="D6:D8"/>
    <mergeCell ref="E6:J6"/>
    <mergeCell ref="K6:L7"/>
    <mergeCell ref="E7:F7"/>
    <mergeCell ref="G7:H7"/>
    <mergeCell ref="L34:L36"/>
    <mergeCell ref="A33:C33"/>
    <mergeCell ref="I7:J7"/>
    <mergeCell ref="A31:C31"/>
    <mergeCell ref="A32:C32"/>
  </mergeCells>
  <printOptions horizontalCentered="1"/>
  <pageMargins left="0.43307086614173229" right="0.39370078740157483" top="0.19685039370078741" bottom="0.19685039370078741" header="0.51181102362204722" footer="0.51181102362204722"/>
  <pageSetup paperSize="9" scale="77" orientation="landscape" r:id="rId1"/>
  <headerFooter alignWithMargins="0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5128-BE4C-4E9F-B9FC-CC6529002761}">
  <sheetPr>
    <tabColor rgb="FFFFFF00"/>
  </sheetPr>
  <dimension ref="A2:AI30"/>
  <sheetViews>
    <sheetView zoomScale="55" zoomScaleNormal="55" workbookViewId="0">
      <selection activeCell="I30" sqref="I30"/>
    </sheetView>
    <sheetView tabSelected="1" topLeftCell="Q11" zoomScale="70" zoomScaleNormal="70" workbookViewId="1">
      <selection activeCell="AB24" sqref="AB24"/>
    </sheetView>
  </sheetViews>
  <sheetFormatPr defaultColWidth="9.140625" defaultRowHeight="21.75"/>
  <cols>
    <col min="1" max="1" width="37.140625" style="73" bestFit="1" customWidth="1"/>
    <col min="2" max="2" width="17.140625" style="73" bestFit="1" customWidth="1"/>
    <col min="3" max="3" width="9.5703125" style="73" customWidth="1"/>
    <col min="4" max="4" width="10" style="73" customWidth="1"/>
    <col min="5" max="5" width="9.5703125" style="73" customWidth="1"/>
    <col min="6" max="7" width="16.42578125" style="73" bestFit="1" customWidth="1"/>
    <col min="8" max="8" width="6.42578125" style="73" bestFit="1" customWidth="1"/>
    <col min="9" max="10" width="16.42578125" style="73" bestFit="1" customWidth="1"/>
    <col min="11" max="11" width="16.42578125" style="73" customWidth="1"/>
    <col min="12" max="12" width="20.42578125" style="73" customWidth="1"/>
    <col min="13" max="13" width="16.42578125" style="73" bestFit="1" customWidth="1"/>
    <col min="14" max="14" width="17.28515625" style="73" customWidth="1"/>
    <col min="15" max="16" width="16.42578125" style="73" bestFit="1" customWidth="1"/>
    <col min="17" max="17" width="17.42578125" style="73" customWidth="1"/>
    <col min="18" max="18" width="20.42578125" style="73" customWidth="1"/>
    <col min="19" max="19" width="16.42578125" style="73" bestFit="1" customWidth="1"/>
    <col min="20" max="20" width="15.28515625" style="73" customWidth="1"/>
    <col min="21" max="22" width="16.42578125" style="73" bestFit="1" customWidth="1"/>
    <col min="23" max="23" width="17.7109375" style="73" customWidth="1"/>
    <col min="24" max="24" width="9.140625" style="73"/>
    <col min="25" max="25" width="16.42578125" style="73" bestFit="1" customWidth="1"/>
    <col min="26" max="26" width="18" style="73" customWidth="1"/>
    <col min="27" max="27" width="9.140625" style="73"/>
    <col min="28" max="28" width="16.42578125" style="73" bestFit="1" customWidth="1"/>
    <col min="29" max="29" width="16.28515625" style="73" bestFit="1" customWidth="1"/>
    <col min="30" max="30" width="9.140625" style="73"/>
    <col min="31" max="31" width="15.140625" style="73" customWidth="1"/>
    <col min="32" max="32" width="20.140625" style="73" customWidth="1"/>
    <col min="33" max="33" width="16.85546875" style="73" customWidth="1"/>
    <col min="34" max="35" width="16.28515625" style="73" bestFit="1" customWidth="1"/>
    <col min="36" max="16384" width="9.140625" style="73"/>
  </cols>
  <sheetData>
    <row r="2" spans="1:35" ht="23.25">
      <c r="A2" s="619" t="s">
        <v>646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</row>
    <row r="3" spans="1:3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5" t="s">
        <v>29</v>
      </c>
    </row>
    <row r="4" spans="1:35">
      <c r="A4" s="618" t="s">
        <v>235</v>
      </c>
      <c r="B4" s="620" t="s">
        <v>647</v>
      </c>
      <c r="C4" s="620" t="s">
        <v>648</v>
      </c>
      <c r="D4" s="620" t="s">
        <v>649</v>
      </c>
      <c r="E4" s="618" t="s">
        <v>500</v>
      </c>
      <c r="F4" s="618"/>
      <c r="G4" s="618"/>
      <c r="H4" s="618"/>
      <c r="I4" s="618"/>
      <c r="J4" s="618"/>
      <c r="K4" s="618" t="s">
        <v>238</v>
      </c>
      <c r="L4" s="618"/>
      <c r="M4" s="618"/>
      <c r="N4" s="618"/>
      <c r="O4" s="618"/>
      <c r="P4" s="618"/>
      <c r="Q4" s="618" t="s">
        <v>573</v>
      </c>
      <c r="R4" s="618"/>
      <c r="S4" s="618"/>
      <c r="T4" s="618"/>
      <c r="U4" s="618"/>
      <c r="V4" s="618"/>
      <c r="W4" s="618" t="s">
        <v>582</v>
      </c>
      <c r="X4" s="618"/>
      <c r="Y4" s="618"/>
      <c r="Z4" s="618"/>
      <c r="AA4" s="618"/>
      <c r="AB4" s="618"/>
    </row>
    <row r="5" spans="1:35">
      <c r="A5" s="618"/>
      <c r="B5" s="618"/>
      <c r="C5" s="618"/>
      <c r="D5" s="618"/>
      <c r="E5" s="618" t="s">
        <v>650</v>
      </c>
      <c r="F5" s="618"/>
      <c r="G5" s="618"/>
      <c r="H5" s="618" t="s">
        <v>495</v>
      </c>
      <c r="I5" s="618"/>
      <c r="J5" s="618"/>
      <c r="K5" s="618" t="s">
        <v>650</v>
      </c>
      <c r="L5" s="618"/>
      <c r="M5" s="618"/>
      <c r="N5" s="618" t="s">
        <v>495</v>
      </c>
      <c r="O5" s="618"/>
      <c r="P5" s="618"/>
      <c r="Q5" s="618" t="s">
        <v>650</v>
      </c>
      <c r="R5" s="618"/>
      <c r="S5" s="618"/>
      <c r="T5" s="618" t="s">
        <v>495</v>
      </c>
      <c r="U5" s="618"/>
      <c r="V5" s="618"/>
      <c r="W5" s="618" t="s">
        <v>650</v>
      </c>
      <c r="X5" s="618"/>
      <c r="Y5" s="618"/>
      <c r="Z5" s="618" t="s">
        <v>495</v>
      </c>
      <c r="AA5" s="618"/>
      <c r="AB5" s="618"/>
      <c r="AE5" s="73">
        <v>2569</v>
      </c>
      <c r="AF5" s="73">
        <v>2570</v>
      </c>
      <c r="AG5" s="73">
        <v>2571</v>
      </c>
      <c r="AH5" s="73">
        <v>2572</v>
      </c>
    </row>
    <row r="6" spans="1:35">
      <c r="A6" s="618"/>
      <c r="B6" s="618"/>
      <c r="C6" s="618"/>
      <c r="D6" s="618"/>
      <c r="E6" s="76" t="s">
        <v>651</v>
      </c>
      <c r="F6" s="76" t="s">
        <v>652</v>
      </c>
      <c r="G6" s="76" t="s">
        <v>36</v>
      </c>
      <c r="H6" s="76" t="s">
        <v>651</v>
      </c>
      <c r="I6" s="76" t="s">
        <v>652</v>
      </c>
      <c r="J6" s="76" t="s">
        <v>36</v>
      </c>
      <c r="K6" s="76" t="s">
        <v>653</v>
      </c>
      <c r="L6" s="76" t="s">
        <v>654</v>
      </c>
      <c r="M6" s="76" t="s">
        <v>36</v>
      </c>
      <c r="N6" s="76" t="s">
        <v>653</v>
      </c>
      <c r="O6" s="76" t="s">
        <v>654</v>
      </c>
      <c r="P6" s="76" t="s">
        <v>36</v>
      </c>
      <c r="Q6" s="76" t="s">
        <v>655</v>
      </c>
      <c r="R6" s="76" t="s">
        <v>656</v>
      </c>
      <c r="S6" s="76" t="s">
        <v>36</v>
      </c>
      <c r="T6" s="76" t="s">
        <v>655</v>
      </c>
      <c r="U6" s="76" t="s">
        <v>656</v>
      </c>
      <c r="V6" s="76" t="s">
        <v>36</v>
      </c>
      <c r="W6" s="76" t="s">
        <v>657</v>
      </c>
      <c r="X6" s="76" t="s">
        <v>652</v>
      </c>
      <c r="Y6" s="76" t="s">
        <v>36</v>
      </c>
      <c r="Z6" s="76" t="s">
        <v>657</v>
      </c>
      <c r="AA6" s="76" t="s">
        <v>652</v>
      </c>
      <c r="AB6" s="76" t="s">
        <v>36</v>
      </c>
      <c r="AE6" s="353">
        <f>'010-1 (2)'!F31</f>
        <v>243722692</v>
      </c>
      <c r="AF6" s="354">
        <f>'007 (70)'!K77</f>
        <v>256813242</v>
      </c>
      <c r="AG6" s="353">
        <f>'010-1 (2)'!J31</f>
        <v>219751637</v>
      </c>
    </row>
    <row r="7" spans="1:35">
      <c r="A7" s="151" t="s">
        <v>658</v>
      </c>
      <c r="B7" s="77"/>
      <c r="C7" s="77"/>
      <c r="D7" s="77"/>
      <c r="E7" s="77"/>
      <c r="F7" s="77"/>
      <c r="G7" s="77"/>
      <c r="H7" s="77"/>
      <c r="I7" s="78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7"/>
      <c r="AD7" s="73" t="s">
        <v>659</v>
      </c>
      <c r="AE7" s="353">
        <f>'007 (69)'!I77</f>
        <v>17117362</v>
      </c>
      <c r="AF7" s="354">
        <f>'007 (70)'!J77</f>
        <v>0</v>
      </c>
      <c r="AG7" s="353">
        <f>'[2]007(71)'!L12+'[2]007(71)'!M12</f>
        <v>21032807</v>
      </c>
    </row>
    <row r="8" spans="1:35">
      <c r="A8" s="152" t="s">
        <v>241</v>
      </c>
      <c r="B8" s="79"/>
      <c r="C8" s="79"/>
      <c r="D8" s="79"/>
      <c r="E8" s="79"/>
      <c r="F8" s="79"/>
      <c r="G8" s="79"/>
      <c r="H8" s="79"/>
      <c r="I8" s="80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80"/>
      <c r="AB8" s="79"/>
      <c r="AD8" s="73" t="s">
        <v>660</v>
      </c>
      <c r="AE8" s="353">
        <f>AE6-AE7</f>
        <v>226605330</v>
      </c>
      <c r="AF8" s="354">
        <f>AF6-AF7</f>
        <v>256813242</v>
      </c>
      <c r="AG8" s="355">
        <f>AG6-AG7</f>
        <v>198718830</v>
      </c>
    </row>
    <row r="9" spans="1:35">
      <c r="A9" s="153" t="s">
        <v>661</v>
      </c>
      <c r="B9" s="79"/>
      <c r="C9" s="79"/>
      <c r="D9" s="79"/>
      <c r="E9" s="79"/>
      <c r="F9" s="79"/>
      <c r="G9" s="79"/>
      <c r="H9" s="79"/>
      <c r="I9" s="80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80"/>
      <c r="AB9" s="79"/>
      <c r="AD9" s="73" t="s">
        <v>662</v>
      </c>
      <c r="AF9" s="354">
        <f>AE8</f>
        <v>226605330</v>
      </c>
    </row>
    <row r="10" spans="1:35">
      <c r="A10" s="153" t="s">
        <v>663</v>
      </c>
      <c r="B10" s="79"/>
      <c r="C10" s="79"/>
      <c r="D10" s="79"/>
      <c r="E10" s="79"/>
      <c r="F10" s="79"/>
      <c r="G10" s="79"/>
      <c r="H10" s="79"/>
      <c r="I10" s="80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80"/>
      <c r="AB10" s="79"/>
      <c r="AD10" s="73" t="s">
        <v>664</v>
      </c>
      <c r="AG10" s="356">
        <f>AF8</f>
        <v>256813242</v>
      </c>
    </row>
    <row r="11" spans="1:35">
      <c r="A11" s="154" t="s">
        <v>665</v>
      </c>
      <c r="B11" s="79"/>
      <c r="C11" s="79"/>
      <c r="D11" s="79"/>
      <c r="E11" s="79"/>
      <c r="F11" s="79"/>
      <c r="G11" s="79"/>
      <c r="H11" s="79"/>
      <c r="I11" s="80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  <c r="AB11" s="79"/>
      <c r="AD11" s="73" t="s">
        <v>666</v>
      </c>
      <c r="AH11" s="355">
        <f>AG8</f>
        <v>198718830</v>
      </c>
    </row>
    <row r="12" spans="1:35" ht="21.75" customHeight="1">
      <c r="A12" s="617" t="s">
        <v>667</v>
      </c>
      <c r="B12" s="79"/>
      <c r="C12" s="79"/>
      <c r="D12" s="79"/>
      <c r="E12" s="79"/>
      <c r="F12" s="79"/>
      <c r="G12" s="79"/>
      <c r="H12" s="79"/>
      <c r="I12" s="80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  <c r="AB12" s="79"/>
      <c r="AD12" s="73" t="s">
        <v>668</v>
      </c>
      <c r="AE12" s="357">
        <f>AE7</f>
        <v>17117362</v>
      </c>
      <c r="AF12" s="357">
        <f>AF7+AF9</f>
        <v>226605330</v>
      </c>
      <c r="AG12" s="357">
        <f>AG7+AG10</f>
        <v>277846049</v>
      </c>
      <c r="AH12" s="355">
        <f>AH11</f>
        <v>198718830</v>
      </c>
      <c r="AI12" s="358">
        <f>AE12+AF12+AG12+AH12</f>
        <v>720287571</v>
      </c>
    </row>
    <row r="13" spans="1:35">
      <c r="A13" s="617"/>
      <c r="B13" s="79"/>
      <c r="C13" s="79"/>
      <c r="D13" s="79"/>
      <c r="E13" s="79"/>
      <c r="F13" s="79"/>
      <c r="G13" s="79"/>
      <c r="H13" s="79"/>
      <c r="I13" s="80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0"/>
      <c r="AB13" s="79"/>
    </row>
    <row r="14" spans="1:35">
      <c r="A14" s="617"/>
      <c r="B14" s="359">
        <f>'010-1 (2)'!L31</f>
        <v>720287571</v>
      </c>
      <c r="C14" s="79"/>
      <c r="D14" s="79"/>
      <c r="E14" s="79"/>
      <c r="F14" s="360">
        <f>AE6</f>
        <v>243722692</v>
      </c>
      <c r="G14" s="361">
        <f>E14+F14</f>
        <v>243722692</v>
      </c>
      <c r="H14" s="79"/>
      <c r="I14" s="362">
        <f>AE7</f>
        <v>17117362</v>
      </c>
      <c r="J14" s="363">
        <f>H14+I14</f>
        <v>17117362</v>
      </c>
      <c r="K14" s="360">
        <f>AE8</f>
        <v>226605330</v>
      </c>
      <c r="L14" s="360">
        <f>AF6</f>
        <v>256813242</v>
      </c>
      <c r="M14" s="361">
        <f>K14+L14</f>
        <v>483418572</v>
      </c>
      <c r="N14" s="360">
        <f>AF9</f>
        <v>226605330</v>
      </c>
      <c r="O14" s="360">
        <f>AF7</f>
        <v>0</v>
      </c>
      <c r="P14" s="363">
        <f>N14+O14</f>
        <v>226605330</v>
      </c>
      <c r="Q14" s="360">
        <f>AF8</f>
        <v>256813242</v>
      </c>
      <c r="R14" s="360">
        <f>AG6</f>
        <v>219751637</v>
      </c>
      <c r="S14" s="361">
        <f>Q14+R14</f>
        <v>476564879</v>
      </c>
      <c r="T14" s="364">
        <f>AG10</f>
        <v>256813242</v>
      </c>
      <c r="U14" s="360">
        <f>AG7</f>
        <v>21032807</v>
      </c>
      <c r="V14" s="363">
        <f>T14+U14</f>
        <v>277846049</v>
      </c>
      <c r="W14" s="365">
        <f>AG8</f>
        <v>198718830</v>
      </c>
      <c r="X14" s="79"/>
      <c r="Y14" s="361">
        <f>W14+X14</f>
        <v>198718830</v>
      </c>
      <c r="Z14" s="365">
        <f>AH11</f>
        <v>198718830</v>
      </c>
      <c r="AA14" s="80"/>
      <c r="AB14" s="363">
        <f>Z14+AA14</f>
        <v>198718830</v>
      </c>
      <c r="AC14" s="358">
        <f>AB14+V14+P14+I14</f>
        <v>720287571</v>
      </c>
    </row>
    <row r="15" spans="1:35">
      <c r="A15" s="617"/>
      <c r="B15" s="79"/>
      <c r="C15" s="79"/>
      <c r="D15" s="79"/>
      <c r="E15" s="79"/>
      <c r="F15" s="79"/>
      <c r="G15" s="79"/>
      <c r="H15" s="79"/>
      <c r="I15" s="80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80"/>
      <c r="AB15" s="79"/>
    </row>
    <row r="16" spans="1:35">
      <c r="A16" s="617"/>
      <c r="B16" s="79"/>
      <c r="C16" s="79"/>
      <c r="D16" s="79"/>
      <c r="E16" s="79"/>
      <c r="F16" s="79"/>
      <c r="G16" s="79"/>
      <c r="H16" s="79"/>
      <c r="I16" s="80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80"/>
      <c r="AB16" s="79"/>
    </row>
    <row r="17" spans="1:28">
      <c r="A17" s="155" t="s">
        <v>246</v>
      </c>
      <c r="B17" s="366">
        <f>B14</f>
        <v>720287571</v>
      </c>
      <c r="C17" s="81"/>
      <c r="D17" s="81"/>
      <c r="E17" s="81"/>
      <c r="F17" s="81"/>
      <c r="G17" s="81"/>
      <c r="H17" s="81"/>
      <c r="I17" s="81"/>
      <c r="J17" s="366">
        <f>J14</f>
        <v>17117362</v>
      </c>
      <c r="K17" s="81"/>
      <c r="L17" s="81"/>
      <c r="M17" s="81"/>
      <c r="N17" s="81"/>
      <c r="O17" s="81"/>
      <c r="P17" s="366">
        <f>P14</f>
        <v>226605330</v>
      </c>
      <c r="Q17" s="81"/>
      <c r="R17" s="81"/>
      <c r="S17" s="81"/>
      <c r="T17" s="81"/>
      <c r="U17" s="81"/>
      <c r="V17" s="366">
        <f>V14</f>
        <v>277846049</v>
      </c>
      <c r="W17" s="81"/>
      <c r="X17" s="81"/>
      <c r="Y17" s="81"/>
      <c r="Z17" s="81"/>
      <c r="AA17" s="81"/>
      <c r="AB17" s="366">
        <f>AB14</f>
        <v>198718830</v>
      </c>
    </row>
    <row r="18" spans="1:28">
      <c r="A18" s="152" t="s">
        <v>669</v>
      </c>
      <c r="B18" s="79"/>
      <c r="C18" s="79"/>
      <c r="D18" s="79"/>
      <c r="E18" s="79"/>
      <c r="F18" s="79"/>
      <c r="G18" s="79"/>
      <c r="H18" s="79"/>
      <c r="I18" s="80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80"/>
      <c r="AB18" s="79"/>
    </row>
    <row r="19" spans="1:28">
      <c r="A19" s="152" t="s">
        <v>670</v>
      </c>
      <c r="B19" s="79"/>
      <c r="C19" s="79"/>
      <c r="D19" s="79"/>
      <c r="E19" s="79"/>
      <c r="F19" s="79"/>
      <c r="G19" s="79"/>
      <c r="H19" s="79"/>
      <c r="I19" s="80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80"/>
      <c r="AB19" s="79"/>
    </row>
    <row r="20" spans="1:28">
      <c r="A20" s="152" t="s">
        <v>671</v>
      </c>
      <c r="B20" s="79"/>
      <c r="C20" s="79"/>
      <c r="D20" s="79"/>
      <c r="E20" s="79"/>
      <c r="F20" s="79"/>
      <c r="G20" s="79"/>
      <c r="H20" s="79"/>
      <c r="I20" s="80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80"/>
      <c r="AB20" s="79"/>
    </row>
    <row r="21" spans="1:28">
      <c r="A21" s="152" t="s">
        <v>672</v>
      </c>
      <c r="B21" s="79"/>
      <c r="C21" s="79"/>
      <c r="D21" s="79"/>
      <c r="E21" s="79"/>
      <c r="F21" s="79"/>
      <c r="G21" s="79"/>
      <c r="H21" s="79"/>
      <c r="I21" s="80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80"/>
      <c r="AB21" s="79"/>
    </row>
    <row r="22" spans="1:28">
      <c r="A22" s="152" t="s">
        <v>673</v>
      </c>
      <c r="B22" s="79"/>
      <c r="C22" s="79"/>
      <c r="D22" s="79"/>
      <c r="E22" s="79"/>
      <c r="F22" s="79"/>
      <c r="G22" s="79"/>
      <c r="H22" s="79"/>
      <c r="I22" s="80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80"/>
      <c r="AB22" s="79"/>
    </row>
    <row r="23" spans="1:28">
      <c r="A23" s="156" t="s">
        <v>36</v>
      </c>
      <c r="B23" s="367">
        <f>B17</f>
        <v>720287571</v>
      </c>
      <c r="C23" s="81"/>
      <c r="D23" s="81"/>
      <c r="E23" s="81"/>
      <c r="F23" s="368">
        <f>F14</f>
        <v>243722692</v>
      </c>
      <c r="G23" s="368">
        <f>G14</f>
        <v>243722692</v>
      </c>
      <c r="H23" s="81"/>
      <c r="I23" s="368"/>
      <c r="J23" s="368">
        <f t="shared" ref="J23" si="0">J14</f>
        <v>17117362</v>
      </c>
      <c r="K23" s="368"/>
      <c r="L23" s="368">
        <f>L14</f>
        <v>256813242</v>
      </c>
      <c r="M23" s="368">
        <f>M14</f>
        <v>483418572</v>
      </c>
      <c r="N23" s="81"/>
      <c r="O23" s="81"/>
      <c r="P23" s="368">
        <f>P17</f>
        <v>226605330</v>
      </c>
      <c r="Q23" s="367">
        <f>Q14</f>
        <v>256813242</v>
      </c>
      <c r="R23" s="367">
        <f>R14</f>
        <v>219751637</v>
      </c>
      <c r="S23" s="368">
        <f>S14</f>
        <v>476564879</v>
      </c>
      <c r="T23" s="81"/>
      <c r="U23" s="81"/>
      <c r="V23" s="368">
        <f>V14</f>
        <v>277846049</v>
      </c>
      <c r="W23" s="81"/>
      <c r="X23" s="81"/>
      <c r="Y23" s="81"/>
      <c r="Z23" s="81"/>
      <c r="AA23" s="81"/>
      <c r="AB23" s="368">
        <f>AB14</f>
        <v>198718830</v>
      </c>
    </row>
    <row r="24" spans="1:28">
      <c r="A24" s="369" t="s">
        <v>674</v>
      </c>
      <c r="B24" s="370">
        <f>L24+R24</f>
        <v>21999273</v>
      </c>
      <c r="C24" s="81"/>
      <c r="D24" s="81"/>
      <c r="E24" s="81"/>
      <c r="F24" s="81"/>
      <c r="G24" s="81"/>
      <c r="H24" s="81"/>
      <c r="I24" s="81"/>
      <c r="J24" s="81"/>
      <c r="K24" s="81"/>
      <c r="L24" s="370">
        <f>'[2]010-1'!H32</f>
        <v>8616398</v>
      </c>
      <c r="M24" s="81"/>
      <c r="N24" s="81"/>
      <c r="O24" s="81"/>
      <c r="P24" s="81"/>
      <c r="Q24" s="81"/>
      <c r="R24" s="370">
        <f>'[2]010-1'!J32</f>
        <v>13382875</v>
      </c>
      <c r="S24" s="81"/>
      <c r="T24" s="81"/>
      <c r="U24" s="81"/>
      <c r="V24" s="81"/>
      <c r="W24" s="81"/>
      <c r="X24" s="81"/>
      <c r="Y24" s="81"/>
      <c r="Z24" s="81"/>
      <c r="AA24" s="81"/>
      <c r="AB24" s="81"/>
    </row>
    <row r="25" spans="1:28">
      <c r="A25" s="156" t="s">
        <v>253</v>
      </c>
      <c r="B25" s="367">
        <f>G25+L25+R25</f>
        <v>742286844</v>
      </c>
      <c r="C25" s="81"/>
      <c r="D25" s="81"/>
      <c r="E25" s="81"/>
      <c r="F25" s="81"/>
      <c r="G25" s="368">
        <f>G23</f>
        <v>243722692</v>
      </c>
      <c r="H25" s="81"/>
      <c r="I25" s="81"/>
      <c r="J25" s="81"/>
      <c r="K25" s="81"/>
      <c r="L25" s="367">
        <f>L23+L24</f>
        <v>265429640</v>
      </c>
      <c r="M25" s="81"/>
      <c r="N25" s="81"/>
      <c r="O25" s="81"/>
      <c r="P25" s="81"/>
      <c r="Q25" s="81"/>
      <c r="R25" s="367">
        <f>R23+R24</f>
        <v>233134512</v>
      </c>
      <c r="S25" s="81"/>
      <c r="T25" s="81"/>
      <c r="U25" s="81"/>
      <c r="V25" s="81"/>
      <c r="W25" s="81"/>
      <c r="X25" s="81"/>
      <c r="Y25" s="81"/>
      <c r="Z25" s="81"/>
      <c r="AA25" s="81"/>
      <c r="AB25" s="81"/>
    </row>
    <row r="28" spans="1:28">
      <c r="W28" s="371"/>
    </row>
    <row r="29" spans="1:28">
      <c r="W29" s="371"/>
    </row>
    <row r="30" spans="1:28" ht="72" customHeight="1">
      <c r="W30" s="371"/>
    </row>
  </sheetData>
  <mergeCells count="18">
    <mergeCell ref="A2:V2"/>
    <mergeCell ref="A4:A6"/>
    <mergeCell ref="B4:B6"/>
    <mergeCell ref="C4:C6"/>
    <mergeCell ref="D4:D6"/>
    <mergeCell ref="E4:J4"/>
    <mergeCell ref="K4:P4"/>
    <mergeCell ref="Q4:V4"/>
    <mergeCell ref="A12:A16"/>
    <mergeCell ref="W4:AB4"/>
    <mergeCell ref="E5:G5"/>
    <mergeCell ref="H5:J5"/>
    <mergeCell ref="K5:M5"/>
    <mergeCell ref="N5:P5"/>
    <mergeCell ref="Q5:S5"/>
    <mergeCell ref="T5:V5"/>
    <mergeCell ref="W5:Y5"/>
    <mergeCell ref="Z5:AB5"/>
  </mergeCells>
  <pageMargins left="0.51181102362204722" right="0.51181102362204722" top="0.74803149606299213" bottom="0.74803149606299213" header="0.31496062992125984" footer="0.31496062992125984"/>
  <pageSetup paperSize="9" scale="6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43BA-8014-4C3B-BCEB-E28B92E9EDF2}">
  <dimension ref="A1:P51"/>
  <sheetViews>
    <sheetView view="pageBreakPreview" topLeftCell="B18" zoomScale="55" zoomScaleNormal="100" zoomScaleSheetLayoutView="55" workbookViewId="0">
      <selection activeCell="G48" sqref="G48"/>
    </sheetView>
    <sheetView view="pageBreakPreview" topLeftCell="A13" zoomScale="60" zoomScaleNormal="100" workbookViewId="1">
      <selection activeCell="S39" sqref="S39"/>
    </sheetView>
  </sheetViews>
  <sheetFormatPr defaultColWidth="9.140625" defaultRowHeight="21.75"/>
  <cols>
    <col min="1" max="1" width="38" style="73" customWidth="1"/>
    <col min="2" max="2" width="17.140625" style="353" bestFit="1" customWidth="1"/>
    <col min="3" max="3" width="7.85546875" style="353" bestFit="1" customWidth="1"/>
    <col min="4" max="4" width="7.140625" style="353" bestFit="1" customWidth="1"/>
    <col min="5" max="7" width="17.140625" style="353" bestFit="1" customWidth="1"/>
    <col min="8" max="8" width="15.85546875" style="353" bestFit="1" customWidth="1"/>
    <col min="9" max="10" width="17.140625" style="353" bestFit="1" customWidth="1"/>
    <col min="11" max="14" width="19.7109375" style="353" customWidth="1"/>
    <col min="15" max="15" width="15.85546875" style="353" bestFit="1" customWidth="1"/>
    <col min="16" max="16" width="17.140625" style="353" bestFit="1" customWidth="1"/>
    <col min="17" max="16384" width="9.140625" style="73"/>
  </cols>
  <sheetData>
    <row r="1" spans="1:16" ht="12.95" customHeight="1"/>
    <row r="2" spans="1:16" ht="23.25">
      <c r="A2" s="619" t="s">
        <v>646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</row>
    <row r="3" spans="1:16">
      <c r="A3" s="74"/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75" t="s">
        <v>29</v>
      </c>
    </row>
    <row r="4" spans="1:16" ht="21.75" customHeight="1">
      <c r="A4" s="618" t="s">
        <v>235</v>
      </c>
      <c r="B4" s="624" t="s">
        <v>647</v>
      </c>
      <c r="C4" s="625" t="s">
        <v>648</v>
      </c>
      <c r="D4" s="625" t="s">
        <v>649</v>
      </c>
      <c r="E4" s="623" t="s">
        <v>500</v>
      </c>
      <c r="F4" s="623"/>
      <c r="G4" s="623"/>
      <c r="H4" s="623"/>
      <c r="I4" s="623"/>
      <c r="J4" s="623"/>
      <c r="K4" s="623" t="s">
        <v>238</v>
      </c>
      <c r="L4" s="623"/>
      <c r="M4" s="623"/>
      <c r="N4" s="623"/>
      <c r="O4" s="623"/>
      <c r="P4" s="623"/>
    </row>
    <row r="5" spans="1:16">
      <c r="A5" s="618"/>
      <c r="B5" s="623"/>
      <c r="C5" s="626"/>
      <c r="D5" s="626"/>
      <c r="E5" s="623" t="s">
        <v>650</v>
      </c>
      <c r="F5" s="623"/>
      <c r="G5" s="623"/>
      <c r="H5" s="623" t="s">
        <v>495</v>
      </c>
      <c r="I5" s="623"/>
      <c r="J5" s="623"/>
      <c r="K5" s="623" t="s">
        <v>650</v>
      </c>
      <c r="L5" s="623"/>
      <c r="M5" s="623"/>
      <c r="N5" s="623" t="s">
        <v>495</v>
      </c>
      <c r="O5" s="623"/>
      <c r="P5" s="623"/>
    </row>
    <row r="6" spans="1:16">
      <c r="A6" s="618"/>
      <c r="B6" s="623"/>
      <c r="C6" s="626"/>
      <c r="D6" s="626"/>
      <c r="E6" s="373" t="s">
        <v>651</v>
      </c>
      <c r="F6" s="373" t="s">
        <v>675</v>
      </c>
      <c r="G6" s="373" t="s">
        <v>36</v>
      </c>
      <c r="H6" s="373" t="s">
        <v>651</v>
      </c>
      <c r="I6" s="373" t="s">
        <v>652</v>
      </c>
      <c r="J6" s="373" t="s">
        <v>36</v>
      </c>
      <c r="K6" s="373" t="s">
        <v>651</v>
      </c>
      <c r="L6" s="373" t="s">
        <v>652</v>
      </c>
      <c r="M6" s="373" t="s">
        <v>36</v>
      </c>
      <c r="N6" s="373" t="s">
        <v>651</v>
      </c>
      <c r="O6" s="373" t="s">
        <v>652</v>
      </c>
      <c r="P6" s="373" t="s">
        <v>36</v>
      </c>
    </row>
    <row r="7" spans="1:16">
      <c r="A7" s="151" t="s">
        <v>658</v>
      </c>
      <c r="B7" s="77"/>
      <c r="C7" s="77"/>
      <c r="D7" s="77"/>
      <c r="E7" s="374"/>
      <c r="F7" s="374"/>
      <c r="G7" s="374"/>
      <c r="H7" s="374"/>
      <c r="I7" s="375"/>
      <c r="J7" s="374"/>
      <c r="K7" s="374"/>
      <c r="L7" s="374"/>
      <c r="M7" s="374"/>
      <c r="N7" s="374"/>
      <c r="O7" s="374"/>
      <c r="P7" s="374"/>
    </row>
    <row r="8" spans="1:16">
      <c r="A8" s="152" t="s">
        <v>241</v>
      </c>
      <c r="B8" s="79"/>
      <c r="C8" s="79"/>
      <c r="D8" s="79"/>
      <c r="E8" s="359"/>
      <c r="F8" s="359"/>
      <c r="G8" s="359"/>
      <c r="H8" s="359"/>
      <c r="I8" s="376"/>
      <c r="J8" s="359"/>
      <c r="K8" s="359"/>
      <c r="L8" s="359"/>
      <c r="M8" s="359"/>
      <c r="N8" s="359"/>
      <c r="O8" s="359"/>
      <c r="P8" s="359"/>
    </row>
    <row r="9" spans="1:16">
      <c r="A9" s="153" t="s">
        <v>661</v>
      </c>
      <c r="B9" s="79"/>
      <c r="C9" s="79"/>
      <c r="D9" s="79"/>
      <c r="E9" s="359"/>
      <c r="F9" s="359"/>
      <c r="G9" s="359"/>
      <c r="H9" s="359"/>
      <c r="I9" s="376"/>
      <c r="J9" s="359"/>
      <c r="K9" s="359"/>
      <c r="L9" s="359"/>
      <c r="M9" s="359"/>
      <c r="N9" s="359"/>
      <c r="O9" s="359"/>
      <c r="P9" s="359"/>
    </row>
    <row r="10" spans="1:16">
      <c r="A10" s="153" t="s">
        <v>663</v>
      </c>
      <c r="B10" s="79"/>
      <c r="C10" s="79"/>
      <c r="D10" s="79"/>
      <c r="E10" s="359"/>
      <c r="F10" s="359"/>
      <c r="G10" s="359"/>
      <c r="H10" s="359"/>
      <c r="I10" s="376"/>
      <c r="J10" s="359"/>
      <c r="K10" s="359"/>
      <c r="L10" s="359"/>
      <c r="M10" s="359"/>
      <c r="N10" s="359"/>
      <c r="O10" s="359"/>
      <c r="P10" s="359"/>
    </row>
    <row r="11" spans="1:16">
      <c r="A11" s="154" t="s">
        <v>665</v>
      </c>
      <c r="B11" s="79"/>
      <c r="C11" s="79"/>
      <c r="D11" s="79"/>
      <c r="E11" s="359"/>
      <c r="F11" s="359"/>
      <c r="G11" s="359"/>
      <c r="H11" s="359"/>
      <c r="I11" s="376"/>
      <c r="J11" s="359"/>
      <c r="K11" s="359"/>
      <c r="L11" s="359"/>
      <c r="M11" s="359"/>
      <c r="N11" s="359"/>
      <c r="O11" s="359"/>
      <c r="P11" s="359"/>
    </row>
    <row r="12" spans="1:16">
      <c r="A12" s="621" t="s">
        <v>676</v>
      </c>
      <c r="B12" s="79"/>
      <c r="C12" s="79"/>
      <c r="D12" s="79"/>
      <c r="E12" s="359"/>
      <c r="F12" s="359"/>
      <c r="G12" s="359"/>
      <c r="H12" s="359"/>
      <c r="I12" s="376"/>
      <c r="J12" s="359"/>
      <c r="K12" s="359"/>
      <c r="L12" s="359"/>
      <c r="M12" s="359"/>
      <c r="N12" s="359"/>
      <c r="O12" s="359"/>
      <c r="P12" s="359"/>
    </row>
    <row r="13" spans="1:16">
      <c r="A13" s="621"/>
      <c r="B13" s="79"/>
      <c r="C13" s="79"/>
      <c r="D13" s="79"/>
      <c r="E13" s="359"/>
      <c r="F13" s="359"/>
      <c r="G13" s="359"/>
      <c r="H13" s="359"/>
      <c r="I13" s="376"/>
      <c r="J13" s="359"/>
      <c r="K13" s="359"/>
      <c r="L13" s="359"/>
      <c r="M13" s="359"/>
      <c r="N13" s="359"/>
      <c r="O13" s="359"/>
      <c r="P13" s="359"/>
    </row>
    <row r="14" spans="1:16">
      <c r="A14" s="621"/>
      <c r="B14" s="359">
        <v>720287571</v>
      </c>
      <c r="C14" s="79"/>
      <c r="D14" s="79"/>
      <c r="E14" s="359"/>
      <c r="F14" s="359">
        <v>243722692</v>
      </c>
      <c r="G14" s="359">
        <v>243722692</v>
      </c>
      <c r="H14" s="359"/>
      <c r="I14" s="376">
        <v>17117362</v>
      </c>
      <c r="J14" s="359">
        <v>17117362</v>
      </c>
      <c r="K14" s="359">
        <v>226605330</v>
      </c>
      <c r="L14" s="359">
        <v>256813242</v>
      </c>
      <c r="M14" s="359">
        <v>483418572</v>
      </c>
      <c r="N14" s="359">
        <v>226605330</v>
      </c>
      <c r="O14" s="359">
        <v>0</v>
      </c>
      <c r="P14" s="359">
        <v>226605330</v>
      </c>
    </row>
    <row r="15" spans="1:16">
      <c r="A15" s="621"/>
      <c r="B15" s="79"/>
      <c r="C15" s="79"/>
      <c r="D15" s="79"/>
      <c r="E15" s="359"/>
      <c r="F15" s="359"/>
      <c r="G15" s="359"/>
      <c r="H15" s="359"/>
      <c r="I15" s="376"/>
      <c r="J15" s="359"/>
      <c r="K15" s="359"/>
      <c r="L15" s="359"/>
      <c r="M15" s="359"/>
      <c r="N15" s="359"/>
      <c r="O15" s="359"/>
      <c r="P15" s="359"/>
    </row>
    <row r="16" spans="1:16">
      <c r="A16" s="621"/>
      <c r="B16" s="79"/>
      <c r="C16" s="79"/>
      <c r="D16" s="79"/>
      <c r="E16" s="359"/>
      <c r="F16" s="359"/>
      <c r="G16" s="359"/>
      <c r="H16" s="359"/>
      <c r="I16" s="376"/>
      <c r="J16" s="359"/>
      <c r="K16" s="359"/>
      <c r="L16" s="359"/>
      <c r="M16" s="359"/>
      <c r="N16" s="359"/>
      <c r="O16" s="359"/>
      <c r="P16" s="359"/>
    </row>
    <row r="17" spans="1:16">
      <c r="A17" s="155" t="s">
        <v>246</v>
      </c>
      <c r="B17" s="366">
        <v>720287571</v>
      </c>
      <c r="C17" s="81"/>
      <c r="D17" s="81"/>
      <c r="E17" s="377"/>
      <c r="F17" s="377"/>
      <c r="G17" s="377"/>
      <c r="H17" s="377"/>
      <c r="I17" s="377"/>
      <c r="J17" s="377">
        <v>17117362</v>
      </c>
      <c r="K17" s="377"/>
      <c r="L17" s="377"/>
      <c r="M17" s="377"/>
      <c r="N17" s="377"/>
      <c r="O17" s="377"/>
      <c r="P17" s="377">
        <v>226605330</v>
      </c>
    </row>
    <row r="18" spans="1:16">
      <c r="A18" s="152" t="s">
        <v>669</v>
      </c>
      <c r="B18" s="79"/>
      <c r="C18" s="79"/>
      <c r="D18" s="79"/>
      <c r="E18" s="359"/>
      <c r="F18" s="359"/>
      <c r="G18" s="359"/>
      <c r="H18" s="359"/>
      <c r="I18" s="376"/>
      <c r="J18" s="359"/>
      <c r="K18" s="359"/>
      <c r="L18" s="359"/>
      <c r="M18" s="359"/>
      <c r="N18" s="359"/>
      <c r="O18" s="359"/>
      <c r="P18" s="359"/>
    </row>
    <row r="19" spans="1:16">
      <c r="A19" s="152" t="s">
        <v>670</v>
      </c>
      <c r="B19" s="79"/>
      <c r="C19" s="79"/>
      <c r="D19" s="79"/>
      <c r="E19" s="359"/>
      <c r="F19" s="359"/>
      <c r="G19" s="359"/>
      <c r="H19" s="359"/>
      <c r="I19" s="376"/>
      <c r="J19" s="359"/>
      <c r="K19" s="359"/>
      <c r="L19" s="359"/>
      <c r="M19" s="359"/>
      <c r="N19" s="359"/>
      <c r="O19" s="359"/>
      <c r="P19" s="359"/>
    </row>
    <row r="20" spans="1:16">
      <c r="A20" s="152" t="s">
        <v>671</v>
      </c>
      <c r="B20" s="79"/>
      <c r="C20" s="79"/>
      <c r="D20" s="79"/>
      <c r="E20" s="359"/>
      <c r="F20" s="359"/>
      <c r="G20" s="359"/>
      <c r="H20" s="359"/>
      <c r="I20" s="376"/>
      <c r="J20" s="359"/>
      <c r="K20" s="359"/>
      <c r="L20" s="359"/>
      <c r="M20" s="359"/>
      <c r="N20" s="359"/>
      <c r="O20" s="359"/>
      <c r="P20" s="359"/>
    </row>
    <row r="21" spans="1:16">
      <c r="A21" s="152" t="s">
        <v>672</v>
      </c>
      <c r="B21" s="79"/>
      <c r="C21" s="79"/>
      <c r="D21" s="79"/>
      <c r="E21" s="359"/>
      <c r="F21" s="359"/>
      <c r="G21" s="359"/>
      <c r="H21" s="359"/>
      <c r="I21" s="376"/>
      <c r="J21" s="359"/>
      <c r="K21" s="359"/>
      <c r="L21" s="359"/>
      <c r="M21" s="359"/>
      <c r="N21" s="359"/>
      <c r="O21" s="359"/>
      <c r="P21" s="359"/>
    </row>
    <row r="22" spans="1:16">
      <c r="A22" s="152" t="s">
        <v>673</v>
      </c>
      <c r="B22" s="79"/>
      <c r="C22" s="79"/>
      <c r="D22" s="79"/>
      <c r="E22" s="359"/>
      <c r="F22" s="359"/>
      <c r="G22" s="359"/>
      <c r="H22" s="359"/>
      <c r="I22" s="376"/>
      <c r="J22" s="359"/>
      <c r="K22" s="359"/>
      <c r="L22" s="359"/>
      <c r="M22" s="359"/>
      <c r="N22" s="359"/>
      <c r="O22" s="359"/>
      <c r="P22" s="359"/>
    </row>
    <row r="23" spans="1:16">
      <c r="A23" s="156" t="s">
        <v>36</v>
      </c>
      <c r="B23" s="367">
        <v>720287571</v>
      </c>
      <c r="C23" s="81"/>
      <c r="D23" s="81"/>
      <c r="E23" s="377"/>
      <c r="F23" s="377">
        <v>243722692</v>
      </c>
      <c r="G23" s="377">
        <v>243722692</v>
      </c>
      <c r="H23" s="377"/>
      <c r="I23" s="377"/>
      <c r="J23" s="377">
        <v>17117362</v>
      </c>
      <c r="K23" s="377"/>
      <c r="L23" s="377">
        <v>256813242</v>
      </c>
      <c r="M23" s="377">
        <v>483418572</v>
      </c>
      <c r="N23" s="377"/>
      <c r="O23" s="377"/>
      <c r="P23" s="377">
        <v>226605330</v>
      </c>
    </row>
    <row r="24" spans="1:16">
      <c r="A24" s="369" t="s">
        <v>674</v>
      </c>
      <c r="B24" s="370">
        <v>21999273</v>
      </c>
      <c r="C24" s="81"/>
      <c r="D24" s="81"/>
      <c r="E24" s="377"/>
      <c r="F24" s="377"/>
      <c r="G24" s="377"/>
      <c r="H24" s="377"/>
      <c r="I24" s="377"/>
      <c r="J24" s="377"/>
      <c r="K24" s="377"/>
      <c r="L24" s="377">
        <v>8616398</v>
      </c>
      <c r="M24" s="377"/>
      <c r="N24" s="377"/>
      <c r="O24" s="377"/>
      <c r="P24" s="377"/>
    </row>
    <row r="25" spans="1:16">
      <c r="A25" s="156" t="s">
        <v>253</v>
      </c>
      <c r="B25" s="367">
        <v>742286844</v>
      </c>
      <c r="C25" s="81"/>
      <c r="D25" s="81"/>
      <c r="E25" s="377"/>
      <c r="F25" s="377"/>
      <c r="G25" s="377">
        <v>243722692</v>
      </c>
      <c r="H25" s="377"/>
      <c r="I25" s="377"/>
      <c r="J25" s="377"/>
      <c r="K25" s="377"/>
      <c r="L25" s="377">
        <v>265429640</v>
      </c>
      <c r="M25" s="377"/>
      <c r="N25" s="377"/>
      <c r="O25" s="377"/>
      <c r="P25" s="377"/>
    </row>
    <row r="26" spans="1:16">
      <c r="A26" s="74"/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75" t="s">
        <v>29</v>
      </c>
    </row>
    <row r="27" spans="1:16" ht="21.75" customHeight="1">
      <c r="A27" s="618" t="s">
        <v>235</v>
      </c>
      <c r="B27" s="624" t="s">
        <v>647</v>
      </c>
      <c r="C27" s="625" t="s">
        <v>648</v>
      </c>
      <c r="D27" s="625" t="s">
        <v>649</v>
      </c>
      <c r="E27" s="618" t="s">
        <v>573</v>
      </c>
      <c r="F27" s="618"/>
      <c r="G27" s="618"/>
      <c r="H27" s="618"/>
      <c r="I27" s="618"/>
      <c r="J27" s="618"/>
      <c r="K27" s="618" t="s">
        <v>582</v>
      </c>
      <c r="L27" s="618"/>
      <c r="M27" s="618"/>
      <c r="N27" s="618"/>
      <c r="O27" s="618"/>
      <c r="P27" s="618"/>
    </row>
    <row r="28" spans="1:16" ht="72" customHeight="1">
      <c r="A28" s="618"/>
      <c r="B28" s="623"/>
      <c r="C28" s="626"/>
      <c r="D28" s="626"/>
      <c r="E28" s="618" t="s">
        <v>650</v>
      </c>
      <c r="F28" s="618"/>
      <c r="G28" s="618"/>
      <c r="H28" s="618" t="s">
        <v>495</v>
      </c>
      <c r="I28" s="618"/>
      <c r="J28" s="618"/>
      <c r="K28" s="618" t="s">
        <v>650</v>
      </c>
      <c r="L28" s="618"/>
      <c r="M28" s="618"/>
      <c r="N28" s="618" t="s">
        <v>495</v>
      </c>
      <c r="O28" s="618"/>
      <c r="P28" s="618"/>
    </row>
    <row r="29" spans="1:16">
      <c r="A29" s="618"/>
      <c r="B29" s="623"/>
      <c r="C29" s="626"/>
      <c r="D29" s="626"/>
      <c r="E29" s="76" t="s">
        <v>655</v>
      </c>
      <c r="F29" s="76" t="s">
        <v>656</v>
      </c>
      <c r="G29" s="76" t="s">
        <v>36</v>
      </c>
      <c r="H29" s="76" t="s">
        <v>655</v>
      </c>
      <c r="I29" s="76" t="s">
        <v>656</v>
      </c>
      <c r="J29" s="76" t="s">
        <v>36</v>
      </c>
      <c r="K29" s="76" t="s">
        <v>657</v>
      </c>
      <c r="L29" s="76" t="s">
        <v>652</v>
      </c>
      <c r="M29" s="76" t="s">
        <v>36</v>
      </c>
      <c r="N29" s="76" t="s">
        <v>657</v>
      </c>
      <c r="O29" s="76" t="s">
        <v>652</v>
      </c>
      <c r="P29" s="76" t="s">
        <v>36</v>
      </c>
    </row>
    <row r="30" spans="1:16">
      <c r="A30" s="151" t="s">
        <v>658</v>
      </c>
      <c r="B30" s="374"/>
      <c r="C30" s="374"/>
      <c r="D30" s="374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8"/>
      <c r="P30" s="77"/>
    </row>
    <row r="31" spans="1:16">
      <c r="A31" s="152" t="s">
        <v>241</v>
      </c>
      <c r="B31" s="359"/>
      <c r="C31" s="359"/>
      <c r="D31" s="35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  <c r="P31" s="79"/>
    </row>
    <row r="32" spans="1:16">
      <c r="A32" s="153" t="s">
        <v>661</v>
      </c>
      <c r="B32" s="359"/>
      <c r="C32" s="359"/>
      <c r="D32" s="35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0"/>
      <c r="P32" s="79"/>
    </row>
    <row r="33" spans="1:16">
      <c r="A33" s="153" t="s">
        <v>663</v>
      </c>
      <c r="B33" s="359"/>
      <c r="C33" s="359"/>
      <c r="D33" s="35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/>
      <c r="P33" s="79"/>
    </row>
    <row r="34" spans="1:16">
      <c r="A34" s="154" t="s">
        <v>665</v>
      </c>
      <c r="B34" s="359"/>
      <c r="C34" s="359"/>
      <c r="D34" s="35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0"/>
      <c r="P34" s="79"/>
    </row>
    <row r="35" spans="1:16" ht="21.6" customHeight="1">
      <c r="A35" s="621" t="s">
        <v>676</v>
      </c>
      <c r="B35" s="359"/>
      <c r="C35" s="359"/>
      <c r="D35" s="35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80"/>
      <c r="P35" s="79"/>
    </row>
    <row r="36" spans="1:16">
      <c r="A36" s="621"/>
      <c r="B36" s="359"/>
      <c r="C36" s="359"/>
      <c r="D36" s="35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80"/>
      <c r="P36" s="79"/>
    </row>
    <row r="37" spans="1:16">
      <c r="A37" s="621"/>
      <c r="B37" s="359">
        <v>720287571</v>
      </c>
      <c r="C37" s="359"/>
      <c r="D37" s="359"/>
      <c r="E37" s="360">
        <v>256813242</v>
      </c>
      <c r="F37" s="360">
        <v>219751637</v>
      </c>
      <c r="G37" s="378">
        <v>476564879</v>
      </c>
      <c r="H37" s="364">
        <v>256813242</v>
      </c>
      <c r="I37" s="360">
        <v>21032807</v>
      </c>
      <c r="J37" s="379">
        <v>277846049</v>
      </c>
      <c r="K37" s="365">
        <v>198718830</v>
      </c>
      <c r="L37" s="79"/>
      <c r="M37" s="378">
        <v>198718830</v>
      </c>
      <c r="N37" s="365">
        <v>198718830</v>
      </c>
      <c r="O37" s="80"/>
      <c r="P37" s="363">
        <v>198718830</v>
      </c>
    </row>
    <row r="38" spans="1:16">
      <c r="A38" s="621"/>
      <c r="B38" s="359"/>
      <c r="C38" s="359"/>
      <c r="D38" s="35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80"/>
      <c r="P38" s="79"/>
    </row>
    <row r="39" spans="1:16">
      <c r="A39" s="621"/>
      <c r="B39" s="359"/>
      <c r="C39" s="359"/>
      <c r="D39" s="35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80"/>
      <c r="P39" s="79"/>
    </row>
    <row r="40" spans="1:16">
      <c r="A40" s="155" t="s">
        <v>246</v>
      </c>
      <c r="B40" s="377">
        <v>720287571</v>
      </c>
      <c r="C40" s="377"/>
      <c r="D40" s="377"/>
      <c r="E40" s="81"/>
      <c r="F40" s="81"/>
      <c r="G40" s="81"/>
      <c r="H40" s="81"/>
      <c r="I40" s="81"/>
      <c r="J40" s="81">
        <v>277846049</v>
      </c>
      <c r="K40" s="81"/>
      <c r="L40" s="81"/>
      <c r="M40" s="81"/>
      <c r="N40" s="81"/>
      <c r="O40" s="81"/>
      <c r="P40" s="81">
        <v>198718830</v>
      </c>
    </row>
    <row r="41" spans="1:16">
      <c r="A41" s="152" t="s">
        <v>669</v>
      </c>
      <c r="B41" s="359"/>
      <c r="C41" s="359"/>
      <c r="D41" s="35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80"/>
      <c r="P41" s="79"/>
    </row>
    <row r="42" spans="1:16">
      <c r="A42" s="152" t="s">
        <v>670</v>
      </c>
      <c r="B42" s="359"/>
      <c r="C42" s="359"/>
      <c r="D42" s="35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80"/>
      <c r="P42" s="79"/>
    </row>
    <row r="43" spans="1:16">
      <c r="A43" s="152" t="s">
        <v>671</v>
      </c>
      <c r="B43" s="359"/>
      <c r="C43" s="359"/>
      <c r="D43" s="35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80"/>
      <c r="P43" s="79"/>
    </row>
    <row r="44" spans="1:16">
      <c r="A44" s="152" t="s">
        <v>672</v>
      </c>
      <c r="B44" s="359"/>
      <c r="C44" s="359"/>
      <c r="D44" s="35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80"/>
      <c r="P44" s="79"/>
    </row>
    <row r="45" spans="1:16">
      <c r="A45" s="152" t="s">
        <v>673</v>
      </c>
      <c r="B45" s="359"/>
      <c r="C45" s="359"/>
      <c r="D45" s="35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0"/>
      <c r="P45" s="79"/>
    </row>
    <row r="46" spans="1:16">
      <c r="A46" s="156" t="s">
        <v>36</v>
      </c>
      <c r="B46" s="377">
        <v>720287571</v>
      </c>
      <c r="C46" s="377"/>
      <c r="D46" s="377"/>
      <c r="E46" s="367">
        <v>256813242</v>
      </c>
      <c r="F46" s="367">
        <v>219751637</v>
      </c>
      <c r="G46" s="380">
        <v>476564879</v>
      </c>
      <c r="H46" s="380"/>
      <c r="I46" s="380"/>
      <c r="J46" s="380">
        <v>277846049</v>
      </c>
      <c r="K46" s="81"/>
      <c r="L46" s="81"/>
      <c r="M46" s="81"/>
      <c r="N46" s="81"/>
      <c r="O46" s="81"/>
      <c r="P46" s="368">
        <v>198718830</v>
      </c>
    </row>
    <row r="47" spans="1:16">
      <c r="A47" s="369" t="s">
        <v>674</v>
      </c>
      <c r="B47" s="377">
        <v>21999273</v>
      </c>
      <c r="C47" s="377"/>
      <c r="D47" s="377"/>
      <c r="E47" s="81"/>
      <c r="F47" s="370">
        <v>13382875</v>
      </c>
      <c r="G47" s="81"/>
      <c r="H47" s="81"/>
      <c r="I47" s="81"/>
      <c r="J47" s="81"/>
      <c r="K47" s="81"/>
      <c r="L47" s="81"/>
      <c r="M47" s="81"/>
      <c r="N47" s="81"/>
      <c r="O47" s="81"/>
      <c r="P47" s="81"/>
    </row>
    <row r="48" spans="1:16">
      <c r="A48" s="156" t="s">
        <v>253</v>
      </c>
      <c r="B48" s="377">
        <v>742286844</v>
      </c>
      <c r="C48" s="377"/>
      <c r="D48" s="377"/>
      <c r="E48" s="81"/>
      <c r="F48" s="367">
        <v>233134512</v>
      </c>
      <c r="G48" s="81"/>
      <c r="H48" s="81"/>
      <c r="I48" s="81"/>
      <c r="J48" s="81"/>
      <c r="K48" s="81"/>
      <c r="L48" s="81"/>
      <c r="M48" s="81"/>
      <c r="N48" s="81"/>
      <c r="O48" s="81"/>
      <c r="P48" s="81"/>
    </row>
    <row r="49" spans="16:16">
      <c r="P49" s="622" t="s">
        <v>18</v>
      </c>
    </row>
    <row r="50" spans="16:16">
      <c r="P50" s="622"/>
    </row>
    <row r="51" spans="16:16">
      <c r="P51" s="622"/>
    </row>
  </sheetData>
  <mergeCells count="24">
    <mergeCell ref="A2:P2"/>
    <mergeCell ref="A4:A6"/>
    <mergeCell ref="B4:B6"/>
    <mergeCell ref="C4:C6"/>
    <mergeCell ref="D4:D6"/>
    <mergeCell ref="E4:J4"/>
    <mergeCell ref="K4:P4"/>
    <mergeCell ref="E5:G5"/>
    <mergeCell ref="H5:J5"/>
    <mergeCell ref="K5:M5"/>
    <mergeCell ref="K28:M28"/>
    <mergeCell ref="N28:P28"/>
    <mergeCell ref="A35:A39"/>
    <mergeCell ref="P49:P51"/>
    <mergeCell ref="N5:P5"/>
    <mergeCell ref="A12:A16"/>
    <mergeCell ref="A27:A29"/>
    <mergeCell ref="B27:B29"/>
    <mergeCell ref="C27:C29"/>
    <mergeCell ref="D27:D29"/>
    <mergeCell ref="E27:J27"/>
    <mergeCell ref="K27:P27"/>
    <mergeCell ref="E28:G28"/>
    <mergeCell ref="H28:J28"/>
  </mergeCells>
  <printOptions horizontalCentered="1" verticalCentered="1"/>
  <pageMargins left="0.25" right="0.25" top="0.75" bottom="0.75" header="0.3" footer="0.3"/>
  <pageSetup paperSize="9" scale="44" fitToWidth="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2B7C-56E8-4263-B5BB-28A402672710}">
  <dimension ref="A1:P17"/>
  <sheetViews>
    <sheetView showGridLines="0" view="pageBreakPreview" topLeftCell="J2" zoomScale="90" zoomScaleNormal="80" zoomScaleSheetLayoutView="90" workbookViewId="0">
      <selection activeCell="P23" sqref="P23:Q23"/>
    </sheetView>
    <sheetView workbookViewId="1"/>
  </sheetViews>
  <sheetFormatPr defaultColWidth="9.140625" defaultRowHeight="28.5" customHeight="1"/>
  <cols>
    <col min="1" max="1" width="6.7109375" style="117" customWidth="1"/>
    <col min="2" max="2" width="8.28515625" style="114" customWidth="1"/>
    <col min="3" max="3" width="23.5703125" style="114" customWidth="1"/>
    <col min="4" max="15" width="12.85546875" style="114" customWidth="1"/>
    <col min="16" max="16" width="15" style="114" customWidth="1"/>
    <col min="17" max="16384" width="9.140625" style="114"/>
  </cols>
  <sheetData>
    <row r="1" spans="1:16" ht="28.5" customHeight="1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3"/>
      <c r="O1" s="113"/>
      <c r="P1" s="113"/>
    </row>
    <row r="2" spans="1:16" ht="21">
      <c r="A2" s="627" t="s">
        <v>22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</row>
    <row r="3" spans="1:16" ht="25.15" customHeight="1">
      <c r="A3" s="111" t="s">
        <v>617</v>
      </c>
      <c r="B3" s="115"/>
      <c r="C3" s="115"/>
      <c r="D3" s="115"/>
      <c r="E3" s="115"/>
      <c r="F3" s="115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1:16" ht="25.15" customHeight="1">
      <c r="A4" s="224" t="s">
        <v>488</v>
      </c>
      <c r="B4" s="112"/>
      <c r="C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1:16" ht="25.15" customHeight="1">
      <c r="A5" s="111" t="s">
        <v>677</v>
      </c>
      <c r="B5" s="112"/>
      <c r="C5" s="111"/>
      <c r="D5" s="112"/>
      <c r="E5" s="112"/>
      <c r="F5" s="111"/>
      <c r="G5" s="112"/>
      <c r="H5" s="112"/>
      <c r="I5" s="112"/>
      <c r="J5" s="111"/>
      <c r="K5" s="112"/>
      <c r="L5" s="112"/>
      <c r="M5" s="112"/>
      <c r="N5" s="112"/>
      <c r="O5" s="112"/>
      <c r="P5" s="113" t="s">
        <v>678</v>
      </c>
    </row>
    <row r="6" spans="1:16" ht="25.15" customHeight="1">
      <c r="A6" s="628" t="s">
        <v>679</v>
      </c>
      <c r="B6" s="631" t="s">
        <v>680</v>
      </c>
      <c r="C6" s="632"/>
      <c r="D6" s="637" t="s">
        <v>681</v>
      </c>
      <c r="E6" s="638"/>
      <c r="F6" s="638"/>
      <c r="G6" s="638"/>
      <c r="H6" s="638"/>
      <c r="I6" s="638"/>
      <c r="J6" s="638"/>
      <c r="K6" s="638"/>
      <c r="L6" s="638"/>
      <c r="M6" s="638"/>
      <c r="N6" s="638"/>
      <c r="O6" s="638"/>
      <c r="P6" s="639"/>
    </row>
    <row r="7" spans="1:16" ht="25.15" customHeight="1">
      <c r="A7" s="629"/>
      <c r="B7" s="633"/>
      <c r="C7" s="634"/>
      <c r="D7" s="629" t="s">
        <v>590</v>
      </c>
      <c r="E7" s="629" t="s">
        <v>591</v>
      </c>
      <c r="F7" s="629" t="s">
        <v>592</v>
      </c>
      <c r="G7" s="629" t="s">
        <v>593</v>
      </c>
      <c r="H7" s="629" t="s">
        <v>594</v>
      </c>
      <c r="I7" s="629" t="s">
        <v>595</v>
      </c>
      <c r="J7" s="629" t="s">
        <v>596</v>
      </c>
      <c r="K7" s="629" t="s">
        <v>597</v>
      </c>
      <c r="L7" s="629" t="s">
        <v>598</v>
      </c>
      <c r="M7" s="629" t="s">
        <v>599</v>
      </c>
      <c r="N7" s="629" t="s">
        <v>600</v>
      </c>
      <c r="O7" s="629" t="s">
        <v>601</v>
      </c>
      <c r="P7" s="629" t="s">
        <v>36</v>
      </c>
    </row>
    <row r="8" spans="1:16" ht="25.15" customHeight="1">
      <c r="A8" s="630"/>
      <c r="B8" s="635"/>
      <c r="C8" s="636"/>
      <c r="D8" s="630"/>
      <c r="E8" s="630"/>
      <c r="F8" s="630"/>
      <c r="G8" s="630"/>
      <c r="H8" s="630"/>
      <c r="I8" s="630"/>
      <c r="J8" s="630"/>
      <c r="K8" s="630"/>
      <c r="L8" s="630"/>
      <c r="M8" s="630"/>
      <c r="N8" s="630"/>
      <c r="O8" s="630"/>
      <c r="P8" s="630"/>
    </row>
    <row r="9" spans="1:16" s="117" customFormat="1" ht="27" customHeight="1">
      <c r="A9" s="116">
        <v>1</v>
      </c>
      <c r="B9" s="121" t="s">
        <v>682</v>
      </c>
      <c r="C9" s="111"/>
      <c r="D9" s="118"/>
      <c r="E9" s="119"/>
      <c r="F9" s="111"/>
      <c r="G9" s="119"/>
      <c r="H9" s="111"/>
      <c r="I9" s="119"/>
      <c r="J9" s="111"/>
      <c r="K9" s="119"/>
      <c r="L9" s="111"/>
      <c r="M9" s="119"/>
      <c r="N9" s="111"/>
      <c r="O9" s="119"/>
      <c r="P9" s="119"/>
    </row>
    <row r="10" spans="1:16" s="117" customFormat="1" ht="27" customHeight="1">
      <c r="A10" s="120">
        <v>2</v>
      </c>
      <c r="B10" s="121" t="s">
        <v>683</v>
      </c>
      <c r="C10" s="111"/>
      <c r="D10" s="122"/>
      <c r="E10" s="123"/>
      <c r="F10" s="124"/>
      <c r="G10" s="123"/>
      <c r="H10" s="124"/>
      <c r="I10" s="123"/>
      <c r="J10" s="124"/>
      <c r="K10" s="123"/>
      <c r="M10" s="382"/>
      <c r="N10" s="111"/>
      <c r="O10" s="119"/>
      <c r="P10" s="119"/>
    </row>
    <row r="11" spans="1:16" s="117" customFormat="1" ht="27" customHeight="1">
      <c r="A11" s="120">
        <v>3</v>
      </c>
      <c r="B11" s="121" t="s">
        <v>684</v>
      </c>
      <c r="C11" s="111"/>
      <c r="D11" s="122"/>
      <c r="E11" s="123"/>
      <c r="F11" s="124"/>
      <c r="G11" s="123"/>
      <c r="H11" s="124"/>
      <c r="I11" s="123"/>
      <c r="J11" s="124"/>
      <c r="K11" s="123"/>
      <c r="L11" s="381">
        <f>'009 (70)'!L20</f>
        <v>0</v>
      </c>
      <c r="M11" s="382"/>
      <c r="N11" s="381"/>
      <c r="O11" s="382">
        <f>'009 (70)'!O20</f>
        <v>0</v>
      </c>
      <c r="P11" s="382">
        <f>L11+O11</f>
        <v>0</v>
      </c>
    </row>
    <row r="12" spans="1:16" ht="27" customHeight="1">
      <c r="A12" s="637" t="s">
        <v>253</v>
      </c>
      <c r="B12" s="638"/>
      <c r="C12" s="638"/>
      <c r="D12" s="182"/>
      <c r="E12" s="182"/>
      <c r="F12" s="182"/>
      <c r="G12" s="182"/>
      <c r="H12" s="182"/>
      <c r="I12" s="182"/>
      <c r="J12" s="182"/>
      <c r="K12" s="182"/>
      <c r="L12" s="383">
        <f xml:space="preserve"> L11</f>
        <v>0</v>
      </c>
      <c r="M12" s="383"/>
      <c r="N12" s="383"/>
      <c r="O12" s="383">
        <f xml:space="preserve"> O11</f>
        <v>0</v>
      </c>
      <c r="P12" s="383">
        <f>L12+O12</f>
        <v>0</v>
      </c>
    </row>
    <row r="13" spans="1:16" s="125" customFormat="1" ht="18.75">
      <c r="C13" s="125" t="s">
        <v>685</v>
      </c>
    </row>
    <row r="14" spans="1:16" s="125" customFormat="1" ht="18.75">
      <c r="C14" s="640" t="s">
        <v>686</v>
      </c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</row>
    <row r="15" spans="1:16" s="125" customFormat="1" ht="66">
      <c r="A15" s="126"/>
      <c r="B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83" t="s">
        <v>687</v>
      </c>
    </row>
    <row r="16" spans="1:16" s="125" customFormat="1" ht="18.75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</row>
    <row r="17" ht="18.75"/>
  </sheetData>
  <mergeCells count="19">
    <mergeCell ref="A12:C12"/>
    <mergeCell ref="C14:P14"/>
    <mergeCell ref="J7:J8"/>
    <mergeCell ref="K7:K8"/>
    <mergeCell ref="L7:L8"/>
    <mergeCell ref="M7:M8"/>
    <mergeCell ref="N7:N8"/>
    <mergeCell ref="O7:O8"/>
    <mergeCell ref="A2:P2"/>
    <mergeCell ref="A6:A8"/>
    <mergeCell ref="B6:C8"/>
    <mergeCell ref="D6:P6"/>
    <mergeCell ref="D7:D8"/>
    <mergeCell ref="E7:E8"/>
    <mergeCell ref="F7:F8"/>
    <mergeCell ref="G7:G8"/>
    <mergeCell ref="H7:H8"/>
    <mergeCell ref="I7:I8"/>
    <mergeCell ref="P7:P8"/>
  </mergeCells>
  <pageMargins left="0.39370078740157483" right="0.39370078740157483" top="0.39370078740157483" bottom="0" header="0.19685039370078741" footer="0.11811023622047245"/>
  <pageSetup paperSize="9" scale="7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T31"/>
  <sheetViews>
    <sheetView showGridLines="0" view="pageBreakPreview" zoomScale="70" zoomScaleNormal="100" zoomScaleSheetLayoutView="70" workbookViewId="0">
      <selection activeCell="I28" sqref="A21:I28"/>
    </sheetView>
    <sheetView topLeftCell="A7" workbookViewId="1">
      <selection activeCell="L25" sqref="L25"/>
    </sheetView>
  </sheetViews>
  <sheetFormatPr defaultColWidth="9.140625" defaultRowHeight="21"/>
  <cols>
    <col min="1" max="1" width="10" style="6" customWidth="1"/>
    <col min="2" max="2" width="38.5703125" style="6" customWidth="1"/>
    <col min="3" max="3" width="11.140625" style="6" customWidth="1"/>
    <col min="4" max="16" width="10.140625" style="6" customWidth="1"/>
    <col min="17" max="18" width="13.140625" style="6" customWidth="1"/>
    <col min="19" max="16384" width="9.140625" style="6"/>
  </cols>
  <sheetData>
    <row r="1" spans="1:18">
      <c r="R1" s="13"/>
    </row>
    <row r="2" spans="1:18" ht="32.1" customHeight="1">
      <c r="A2" s="642" t="s">
        <v>688</v>
      </c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</row>
    <row r="3" spans="1:18" ht="32.1" customHeight="1">
      <c r="A3" s="642" t="s">
        <v>689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642"/>
      <c r="Q3" s="642"/>
      <c r="R3" s="642"/>
    </row>
    <row r="4" spans="1:18" ht="32.1" customHeight="1">
      <c r="A4" s="642" t="s">
        <v>41</v>
      </c>
      <c r="B4" s="642"/>
      <c r="C4" s="642"/>
      <c r="D4" s="642"/>
      <c r="E4" s="642"/>
      <c r="F4" s="642"/>
      <c r="G4" s="642"/>
      <c r="H4" s="642"/>
      <c r="I4" s="642"/>
      <c r="J4" s="642"/>
      <c r="K4" s="642"/>
      <c r="L4" s="642"/>
      <c r="M4" s="642"/>
      <c r="N4" s="642"/>
      <c r="O4" s="642"/>
      <c r="P4" s="642"/>
      <c r="Q4" s="642"/>
      <c r="R4" s="642"/>
    </row>
    <row r="5" spans="1:18">
      <c r="A5" s="602" t="s">
        <v>487</v>
      </c>
      <c r="B5" s="602"/>
      <c r="C5" s="603"/>
      <c r="D5" s="603"/>
      <c r="E5" s="603"/>
      <c r="F5" s="603"/>
      <c r="G5" s="603"/>
      <c r="H5" s="603"/>
    </row>
    <row r="6" spans="1:18" ht="27" customHeight="1">
      <c r="A6" s="224" t="s">
        <v>488</v>
      </c>
      <c r="B6" s="221"/>
      <c r="C6" s="220"/>
      <c r="D6" s="222"/>
      <c r="E6" s="222"/>
      <c r="F6" s="222"/>
      <c r="G6" s="222"/>
      <c r="H6" s="222"/>
    </row>
    <row r="7" spans="1:18" ht="27" customHeight="1">
      <c r="A7" s="221" t="s">
        <v>489</v>
      </c>
      <c r="B7" s="221"/>
      <c r="C7" s="220"/>
      <c r="D7" s="218"/>
      <c r="E7" s="217"/>
      <c r="F7" s="217"/>
      <c r="G7" s="217"/>
      <c r="H7" s="217"/>
    </row>
    <row r="8" spans="1:18" ht="18" customHeight="1" thickBot="1">
      <c r="A8" s="5"/>
      <c r="R8" s="13" t="s">
        <v>29</v>
      </c>
    </row>
    <row r="9" spans="1:18" ht="18" customHeight="1">
      <c r="A9" s="506" t="s">
        <v>30</v>
      </c>
      <c r="B9" s="506" t="s">
        <v>235</v>
      </c>
      <c r="C9" s="501" t="s">
        <v>690</v>
      </c>
      <c r="D9" s="645" t="s">
        <v>238</v>
      </c>
      <c r="E9" s="646"/>
      <c r="F9" s="646"/>
      <c r="G9" s="646"/>
      <c r="H9" s="646"/>
      <c r="I9" s="646"/>
      <c r="J9" s="646"/>
      <c r="K9" s="646"/>
      <c r="L9" s="646"/>
      <c r="M9" s="646"/>
      <c r="N9" s="646"/>
      <c r="O9" s="646"/>
      <c r="P9" s="647"/>
      <c r="Q9" s="644" t="s">
        <v>573</v>
      </c>
      <c r="R9" s="501" t="s">
        <v>691</v>
      </c>
    </row>
    <row r="10" spans="1:18" ht="27" customHeight="1">
      <c r="A10" s="506"/>
      <c r="B10" s="506"/>
      <c r="C10" s="501"/>
      <c r="D10" s="650" t="s">
        <v>692</v>
      </c>
      <c r="E10" s="651"/>
      <c r="F10" s="651"/>
      <c r="G10" s="651"/>
      <c r="H10" s="651"/>
      <c r="I10" s="651"/>
      <c r="J10" s="651"/>
      <c r="K10" s="651"/>
      <c r="L10" s="651"/>
      <c r="M10" s="651"/>
      <c r="N10" s="651"/>
      <c r="O10" s="651"/>
      <c r="P10" s="648" t="s">
        <v>36</v>
      </c>
      <c r="Q10" s="644"/>
      <c r="R10" s="501"/>
    </row>
    <row r="11" spans="1:18" ht="27" customHeight="1">
      <c r="A11" s="506"/>
      <c r="B11" s="506"/>
      <c r="C11" s="501"/>
      <c r="D11" s="88" t="s">
        <v>590</v>
      </c>
      <c r="E11" s="32" t="s">
        <v>591</v>
      </c>
      <c r="F11" s="32" t="s">
        <v>592</v>
      </c>
      <c r="G11" s="32" t="s">
        <v>593</v>
      </c>
      <c r="H11" s="32" t="s">
        <v>594</v>
      </c>
      <c r="I11" s="32" t="s">
        <v>595</v>
      </c>
      <c r="J11" s="32" t="s">
        <v>596</v>
      </c>
      <c r="K11" s="32" t="s">
        <v>597</v>
      </c>
      <c r="L11" s="32" t="s">
        <v>598</v>
      </c>
      <c r="M11" s="32" t="s">
        <v>599</v>
      </c>
      <c r="N11" s="32" t="s">
        <v>600</v>
      </c>
      <c r="O11" s="32" t="s">
        <v>601</v>
      </c>
      <c r="P11" s="649"/>
      <c r="Q11" s="644"/>
      <c r="R11" s="501"/>
    </row>
    <row r="12" spans="1:18" ht="27" customHeight="1">
      <c r="A12" s="65"/>
      <c r="B12" s="63" t="s">
        <v>693</v>
      </c>
      <c r="C12" s="16"/>
      <c r="D12" s="84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35"/>
      <c r="P12" s="89"/>
      <c r="Q12" s="18"/>
      <c r="R12" s="18"/>
    </row>
    <row r="13" spans="1:18" ht="27" customHeight="1">
      <c r="A13" s="65"/>
      <c r="C13" s="16"/>
      <c r="D13" s="84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89"/>
      <c r="Q13" s="18"/>
      <c r="R13" s="18"/>
    </row>
    <row r="14" spans="1:18" ht="27" customHeight="1">
      <c r="A14" s="65"/>
      <c r="C14" s="16"/>
      <c r="D14" s="84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89"/>
      <c r="Q14" s="18"/>
      <c r="R14" s="18"/>
    </row>
    <row r="15" spans="1:18" ht="27" customHeight="1">
      <c r="A15" s="65"/>
      <c r="C15" s="16"/>
      <c r="D15" s="84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89"/>
      <c r="Q15" s="18"/>
      <c r="R15" s="18"/>
    </row>
    <row r="16" spans="1:18" ht="27" customHeight="1">
      <c r="A16" s="65"/>
      <c r="C16" s="16"/>
      <c r="D16" s="84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89"/>
      <c r="Q16" s="18"/>
      <c r="R16" s="18"/>
    </row>
    <row r="17" spans="1:20" ht="27" customHeight="1">
      <c r="A17" s="65"/>
      <c r="B17" s="5"/>
      <c r="C17" s="16"/>
      <c r="D17" s="84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89"/>
      <c r="Q17" s="18"/>
      <c r="R17" s="18"/>
    </row>
    <row r="18" spans="1:20" ht="27" customHeight="1">
      <c r="A18" s="65"/>
      <c r="B18" s="63" t="s">
        <v>694</v>
      </c>
      <c r="C18" s="16"/>
      <c r="D18" s="84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89"/>
      <c r="Q18" s="18"/>
      <c r="R18" s="18"/>
      <c r="T18" s="20"/>
    </row>
    <row r="19" spans="1:20" ht="27" customHeight="1">
      <c r="A19" s="65"/>
      <c r="B19" s="20" t="s">
        <v>695</v>
      </c>
      <c r="C19" s="16"/>
      <c r="D19" s="8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>
        <f>('007 (70)'!K30+'007 (70)'!K36)/1000000</f>
        <v>61.1828</v>
      </c>
      <c r="P19" s="89">
        <f>O19</f>
        <v>61.1828</v>
      </c>
      <c r="Q19" s="18"/>
      <c r="R19" s="18"/>
    </row>
    <row r="20" spans="1:20" ht="27" customHeight="1">
      <c r="A20" s="65"/>
      <c r="B20" s="20" t="s">
        <v>696</v>
      </c>
      <c r="C20" s="16"/>
      <c r="D20" s="84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89"/>
      <c r="Q20" s="18"/>
      <c r="R20" s="18"/>
    </row>
    <row r="21" spans="1:20" ht="27" customHeight="1">
      <c r="A21" s="62"/>
      <c r="C21" s="16"/>
      <c r="D21" s="84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89"/>
      <c r="Q21" s="18"/>
      <c r="R21" s="18"/>
    </row>
    <row r="22" spans="1:20" ht="27" customHeight="1">
      <c r="A22" s="65"/>
      <c r="C22" s="16"/>
      <c r="D22" s="8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89"/>
      <c r="Q22" s="18"/>
      <c r="R22" s="18"/>
    </row>
    <row r="23" spans="1:20" ht="27" customHeight="1">
      <c r="A23" s="65"/>
      <c r="C23" s="16"/>
      <c r="D23" s="84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89"/>
      <c r="Q23" s="18"/>
      <c r="R23" s="18"/>
    </row>
    <row r="24" spans="1:20" ht="27" customHeight="1">
      <c r="A24" s="16"/>
      <c r="C24" s="16"/>
      <c r="D24" s="8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89"/>
      <c r="Q24" s="18"/>
      <c r="R24" s="18"/>
    </row>
    <row r="25" spans="1:20" ht="27" customHeight="1">
      <c r="A25" s="62"/>
      <c r="C25" s="16"/>
      <c r="D25" s="8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89"/>
      <c r="Q25" s="18"/>
      <c r="R25" s="18"/>
    </row>
    <row r="26" spans="1:20" ht="29.1" customHeight="1" thickBot="1">
      <c r="A26" s="66"/>
      <c r="B26" s="48"/>
      <c r="C26" s="38"/>
      <c r="D26" s="85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7"/>
      <c r="Q26" s="48"/>
      <c r="R26" s="48"/>
    </row>
    <row r="27" spans="1:20">
      <c r="A27" s="67" t="s">
        <v>697</v>
      </c>
      <c r="B27" s="20" t="s">
        <v>698</v>
      </c>
    </row>
    <row r="28" spans="1:20" ht="21" customHeight="1">
      <c r="B28" s="20" t="s">
        <v>699</v>
      </c>
      <c r="R28" s="652" t="s">
        <v>24</v>
      </c>
      <c r="S28" s="643"/>
    </row>
    <row r="29" spans="1:20">
      <c r="R29" s="652"/>
      <c r="S29" s="643"/>
    </row>
    <row r="30" spans="1:20">
      <c r="R30" s="652"/>
      <c r="S30" s="643"/>
    </row>
    <row r="31" spans="1:20">
      <c r="R31" s="652"/>
      <c r="S31" s="643"/>
    </row>
  </sheetData>
  <mergeCells count="14">
    <mergeCell ref="A2:R2"/>
    <mergeCell ref="A3:R3"/>
    <mergeCell ref="A4:R4"/>
    <mergeCell ref="S28:S31"/>
    <mergeCell ref="R9:R11"/>
    <mergeCell ref="A9:A11"/>
    <mergeCell ref="B9:B11"/>
    <mergeCell ref="C9:C11"/>
    <mergeCell ref="Q9:Q11"/>
    <mergeCell ref="D9:P9"/>
    <mergeCell ref="P10:P11"/>
    <mergeCell ref="D10:O10"/>
    <mergeCell ref="R28:R31"/>
    <mergeCell ref="A5:H5"/>
  </mergeCells>
  <phoneticPr fontId="0" type="noConversion"/>
  <printOptions horizontalCentered="1"/>
  <pageMargins left="0.62992125984251968" right="0.39370078740157483" top="0.55118110236220474" bottom="0.39370078740157483" header="0.51181102362204722" footer="0.51181102362204722"/>
  <pageSetup paperSize="9" scale="65" orientation="landscape" r:id="rId1"/>
  <headerFooter alignWithMargins="0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8C7-107E-41F1-A9EF-13D8A991DED1}">
  <dimension ref="A1"/>
  <sheetViews>
    <sheetView workbookViewId="0"/>
    <sheetView workbookViewId="1">
      <selection activeCell="O18" sqref="O18"/>
    </sheetView>
  </sheetViews>
  <sheetFormatPr defaultRowHeight="21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budgetplaning</dc:creator>
  <cp:keywords/>
  <dc:description/>
  <cp:lastModifiedBy>Kitti Chotipruchukul</cp:lastModifiedBy>
  <cp:revision/>
  <dcterms:created xsi:type="dcterms:W3CDTF">2004-09-20T03:20:07Z</dcterms:created>
  <dcterms:modified xsi:type="dcterms:W3CDTF">2026-01-10T08:50:45Z</dcterms:modified>
  <cp:category/>
  <cp:contentStatus/>
</cp:coreProperties>
</file>