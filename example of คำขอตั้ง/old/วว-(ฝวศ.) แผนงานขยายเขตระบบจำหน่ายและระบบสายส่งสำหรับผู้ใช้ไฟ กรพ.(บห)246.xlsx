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codeName="ThisWorkbook"/>
  <xr:revisionPtr revIDLastSave="14" documentId="11_4761FAB3F6F73548C9EE0FEE199FA4B9C6B0AF71" xr6:coauthVersionLast="47" xr6:coauthVersionMax="47" xr10:uidLastSave="{0D08FA45-B91D-4AB9-998F-5478E9FF210D}"/>
  <bookViews>
    <workbookView xWindow="0" yWindow="0" windowWidth="7530" windowHeight="1995" tabRatio="897" firstSheet="4" activeTab="14" xr2:uid="{00000000-000D-0000-FFFF-FFFF00000000}"/>
  </bookViews>
  <sheets>
    <sheet name="ปก" sheetId="18" r:id="rId1"/>
    <sheet name="รายชื่อฟอร์ม" sheetId="27" r:id="rId2"/>
    <sheet name="003" sheetId="1" r:id="rId3"/>
    <sheet name="004-1" sheetId="4" r:id="rId4"/>
    <sheet name="004-2" sheetId="31" r:id="rId5"/>
    <sheet name="S" sheetId="39" state="hidden" r:id="rId6"/>
    <sheet name="004-3" sheetId="43" r:id="rId7"/>
    <sheet name="004-4" sheetId="34" r:id="rId8"/>
    <sheet name="004-5" sheetId="40" r:id="rId9"/>
    <sheet name="คำอธิบายแบบ งป.004-1-5" sheetId="44" r:id="rId10"/>
    <sheet name="005" sheetId="21" r:id="rId11"/>
    <sheet name="006" sheetId="22" r:id="rId12"/>
    <sheet name="007" sheetId="5" r:id="rId13"/>
    <sheet name="008" sheetId="26" r:id="rId14"/>
    <sheet name="009" sheetId="8" r:id="rId15"/>
    <sheet name="010-1" sheetId="9" r:id="rId16"/>
    <sheet name="010-2" sheetId="38" r:id="rId17"/>
    <sheet name="010-3" sheetId="41" r:id="rId18"/>
    <sheet name="011" sheetId="10" r:id="rId19"/>
  </sheets>
  <definedNames>
    <definedName name="_xlnm.Print_Area" localSheetId="2">'003'!$A$1:$D$33</definedName>
    <definedName name="_xlnm.Print_Area" localSheetId="3">'004-1'!$A$1:$L$32</definedName>
    <definedName name="_xlnm.Print_Area" localSheetId="4">'004-2'!$A$1:$I$39</definedName>
    <definedName name="_xlnm.Print_Area" localSheetId="7">'004-4'!$A$1:$K$31</definedName>
    <definedName name="_xlnm.Print_Area" localSheetId="8">'004-5'!$A$1:$L$59</definedName>
    <definedName name="_xlnm.Print_Area" localSheetId="11">'006'!$A$1:$F$33</definedName>
    <definedName name="_xlnm.Print_Area" localSheetId="18">'011'!$A$1:$U$34</definedName>
    <definedName name="_xlnm.Print_Area" localSheetId="9">'คำอธิบายแบบ งป.004-1-5'!$A$1:$L$89</definedName>
    <definedName name="_xlnm.Print_Area" localSheetId="1">รายชื่อฟอร์ม!$A$1:$H$29</definedName>
    <definedName name="_xlnm.Print_Titles" localSheetId="9">'คำอธิบายแบบ งป.004-1-5'!$1:$3</definedName>
    <definedName name="S1_สร้าง_กฟภ._ให้เติบโตอย่างยั่งยืน">S!$C$3:$C$12</definedName>
    <definedName name="SO1_ยกระดับการบริหาร_จัดการระดับสากล_เพื่อสร้าง_ความยั่งยืน">S!$B$3:$B$12</definedName>
    <definedName name="ยุทธศาสตร์">S!$C$2:$C$12</definedName>
    <definedName name="วัตถุประสงค์เชิงยุทธศาสตร์">S!$B$2:$B$12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8" l="1"/>
  <c r="J17" i="38"/>
  <c r="D17" i="38"/>
  <c r="C17" i="38"/>
  <c r="B17" i="38"/>
  <c r="V17" i="38"/>
  <c r="V11" i="38"/>
  <c r="R17" i="38"/>
  <c r="P17" i="38"/>
  <c r="L17" i="38"/>
  <c r="G17" i="38"/>
  <c r="G11" i="38"/>
  <c r="K11" i="38" s="1"/>
  <c r="K17" i="38" l="1"/>
  <c r="M11" i="38"/>
  <c r="F29" i="8"/>
  <c r="P30" i="8"/>
  <c r="O29" i="8"/>
  <c r="N29" i="8"/>
  <c r="M29" i="8"/>
  <c r="L29" i="8"/>
  <c r="K29" i="8"/>
  <c r="J29" i="8"/>
  <c r="I29" i="8"/>
  <c r="H29" i="8"/>
  <c r="G29" i="8"/>
  <c r="O20" i="8"/>
  <c r="N20" i="8"/>
  <c r="M20" i="8"/>
  <c r="L20" i="8"/>
  <c r="K20" i="8"/>
  <c r="J20" i="8"/>
  <c r="P33" i="8"/>
  <c r="C33" i="8"/>
  <c r="E29" i="8"/>
  <c r="D29" i="8"/>
  <c r="P21" i="8"/>
  <c r="H20" i="8"/>
  <c r="G20" i="8"/>
  <c r="G33" i="8" s="1"/>
  <c r="F20" i="8"/>
  <c r="E20" i="8"/>
  <c r="D20" i="8"/>
  <c r="K6" i="40"/>
  <c r="L33" i="8" l="1"/>
  <c r="M33" i="8"/>
  <c r="N33" i="8"/>
  <c r="O33" i="8"/>
  <c r="Q11" i="38"/>
  <c r="M17" i="38"/>
  <c r="K33" i="8"/>
  <c r="J33" i="8"/>
  <c r="I33" i="8"/>
  <c r="H33" i="8"/>
  <c r="F33" i="8"/>
  <c r="D33" i="8"/>
  <c r="E33" i="8"/>
  <c r="S11" i="38" l="1"/>
  <c r="S17" i="38" s="1"/>
  <c r="Q17" i="38"/>
</calcChain>
</file>

<file path=xl/sharedStrings.xml><?xml version="1.0" encoding="utf-8"?>
<sst xmlns="http://schemas.openxmlformats.org/spreadsheetml/2006/main" count="956" uniqueCount="671">
  <si>
    <t>แบบฟอร์มเสนอขอตั้งงบประมาณลงทุน</t>
  </si>
  <si>
    <t>เพื่อการดำเนินงานปกติ ประจำปี 2568</t>
  </si>
  <si>
    <t>1.</t>
  </si>
  <si>
    <t>แบบ งป.003</t>
  </si>
  <si>
    <t>สรุปวงเงินงบประมาณลงทุนเพื่อการดำเนินงานปกติ ที่ขอตั้งประจำปี 2568</t>
  </si>
  <si>
    <t xml:space="preserve">2. </t>
  </si>
  <si>
    <t>แบบ งป.004/1 - งป.004/5</t>
  </si>
  <si>
    <t>แบบข้อมูลพื้นฐานของงาน</t>
  </si>
  <si>
    <t xml:space="preserve">3. </t>
  </si>
  <si>
    <t>แบบ งป.005</t>
  </si>
  <si>
    <t>รายละเอียดงานในหมวดที่ดิน</t>
  </si>
  <si>
    <t xml:space="preserve">4. </t>
  </si>
  <si>
    <t>แบบ งป.006</t>
  </si>
  <si>
    <t>รายละเอียดงานในหมวดสิ่งก่อสร้าง งานโยธา</t>
  </si>
  <si>
    <t xml:space="preserve">5. </t>
  </si>
  <si>
    <t>แบบ งป.007</t>
  </si>
  <si>
    <t>รายละเอียดงานในหมวดสิ่งก่อสร้าง ค่าวัสดุอุปกรณ์ของงานระบบไฟฟ้า</t>
  </si>
  <si>
    <t xml:space="preserve">6. </t>
  </si>
  <si>
    <t>แบบ งป.008</t>
  </si>
  <si>
    <t>รายละเอียดงานในหมวดเครื่องจักรอุปกรณ์/หมวดยานพาหนะ/</t>
  </si>
  <si>
    <t>หมวดเครื่องมือเครื่องใช้ขนาดเล็ก/หมวดวิจัยและพัฒนา/หมวดอื่นๆ</t>
  </si>
  <si>
    <t xml:space="preserve">7. </t>
  </si>
  <si>
    <t>แบบ งป.009</t>
  </si>
  <si>
    <t>รายงานความก้าวหน้าของแผนจัดซื้อ/จัดจ้างตามงบลงทุนเพื่อการดำเนินงานปกติ</t>
  </si>
  <si>
    <t xml:space="preserve">8. </t>
  </si>
  <si>
    <t>แบบ งป.010/1</t>
  </si>
  <si>
    <t>แผนการลงทุนรายปี</t>
  </si>
  <si>
    <t xml:space="preserve">9. </t>
  </si>
  <si>
    <t>แบบ งป.010/2</t>
  </si>
  <si>
    <t>แผนการจ่ายเงินตามงบผูกพันปี 2568 (กรณีแผนระยะยาว/งานต่อเนื่อง)</t>
  </si>
  <si>
    <t xml:space="preserve">10. </t>
  </si>
  <si>
    <t>แบบ งป.010/3</t>
  </si>
  <si>
    <t>เป้าหมายการเบิกจ่ายรายเดือน ปี 2568 แยกรายภาคและสำนักงานใหญ่</t>
  </si>
  <si>
    <t>11.</t>
  </si>
  <si>
    <t>แบบ งป.011</t>
  </si>
  <si>
    <t>ประมาณการวัสดุอุปกรณ์นำเข้าจากต่างประเทศ (Import Content) ปี 2568</t>
  </si>
  <si>
    <t>12.</t>
  </si>
  <si>
    <t>แบบ งป.012/1</t>
  </si>
  <si>
    <t>การจัดทำงบประมาณสัญญาเช่าที่ไม่ก่อให้เกิดรายได้จากกิจกรรมหลัก ปี 2567</t>
  </si>
  <si>
    <t>13.</t>
  </si>
  <si>
    <t>แบบ งป.012/2</t>
  </si>
  <si>
    <t>การจัดทำงบประมาณสัญญาเช่าที่ไม่ก่อให้เกิดรายได้จากกิจกรรมหลัก ปี 2568</t>
  </si>
  <si>
    <t>14.</t>
  </si>
  <si>
    <t>แบบ งป.012/3</t>
  </si>
  <si>
    <t>การจัดทำงบประมาณสัญญาเช่าที่ไม่ก่อให้เกิดรายได้จากกิจกรรมหลัก ปี 2569</t>
  </si>
  <si>
    <t>15.</t>
  </si>
  <si>
    <t>แบบ งป.012/4</t>
  </si>
  <si>
    <t>การจัดทำงบประมาณสัญญาเช่าที่ไม่ก่อให้เกิดรายได้จากกิจกรรมหลัก ปี 2570</t>
  </si>
  <si>
    <t>16.</t>
  </si>
  <si>
    <t>แบบ งป.012/5</t>
  </si>
  <si>
    <t>การจัดทำงบประมาณสัญญาเช่าที่ไม่ก่อให้เกิดรายได้จากกิจกรรมหลัก ปี 2571</t>
  </si>
  <si>
    <t>สรุปวงเงินงบประมาณลงทุนเพื่อการดำเนินงานปกติ</t>
  </si>
  <si>
    <t>ที่ขอตั้งประจำปี 2568</t>
  </si>
  <si>
    <t xml:space="preserve">หน่วยงาน ฝวศ.      </t>
  </si>
  <si>
    <t>กลุ่มโครงสร้าง กลุ่มธุรกิจลงทุน</t>
  </si>
  <si>
    <t>หน่วย : บาท</t>
  </si>
  <si>
    <t>ที่</t>
  </si>
  <si>
    <t>ชื่องาน</t>
  </si>
  <si>
    <t>วงเงินเสนอ</t>
  </si>
  <si>
    <t>ขอตั้งปี 2568 *</t>
  </si>
  <si>
    <t>แผนงานขยายเขตระบบจำหน่ายและระบบสายส่งสำหรับผู้ใช้ไฟ</t>
  </si>
  <si>
    <t>2,400,000,000.-</t>
  </si>
  <si>
    <t>รวม</t>
  </si>
  <si>
    <t>*หมายเหตุ</t>
  </si>
  <si>
    <t>แผนงานระยะยาว กรอกจำนวนเงินที่ขอตั้งดำเนินการในปีงบประมาณ 2568</t>
  </si>
  <si>
    <t>แบบ งป.004/1</t>
  </si>
  <si>
    <t>(งบลงทุนเพื่อการดำเนินงานปกติ)</t>
  </si>
  <si>
    <t>ชื่องาน/แผนงาน</t>
  </si>
  <si>
    <t>2. รายละเอียดของงาน/แผนงาน</t>
  </si>
  <si>
    <t>2.1 ผู้รับผิดชอบ</t>
  </si>
  <si>
    <r>
      <rPr>
        <b/>
        <sz val="16"/>
        <rFont val="TH SarabunPSK"/>
        <family val="2"/>
      </rPr>
      <t>แผนก :</t>
    </r>
    <r>
      <rPr>
        <sz val="16"/>
        <rFont val="TH SarabunPSK"/>
        <family val="2"/>
      </rPr>
      <t xml:space="preserve"> …..…...................……………………………………………............……………………............................</t>
    </r>
  </si>
  <si>
    <r>
      <rPr>
        <b/>
        <sz val="16"/>
        <rFont val="TH SarabunPSK"/>
        <family val="2"/>
      </rPr>
      <t>กอง :</t>
    </r>
    <r>
      <rPr>
        <sz val="16"/>
        <rFont val="TH SarabunPSK"/>
        <family val="2"/>
      </rPr>
      <t xml:space="preserve">  ….......……......……………………………</t>
    </r>
  </si>
  <si>
    <r>
      <rPr>
        <b/>
        <sz val="16"/>
        <rFont val="TH SarabunPSK"/>
        <family val="2"/>
      </rPr>
      <t>ฝ่าย :</t>
    </r>
    <r>
      <rPr>
        <sz val="16"/>
        <rFont val="TH SarabunPSK"/>
        <family val="2"/>
      </rPr>
      <t xml:space="preserve">  ฝ่ายวิศวกรรม</t>
    </r>
  </si>
  <si>
    <r>
      <rPr>
        <b/>
        <sz val="16"/>
        <rFont val="TH SarabunPSK"/>
        <family val="2"/>
      </rPr>
      <t xml:space="preserve">สายงาน : </t>
    </r>
    <r>
      <rPr>
        <sz val="16"/>
        <rFont val="TH SarabunPSK"/>
        <family val="2"/>
      </rPr>
      <t>วางแผนและวิศวกรรม</t>
    </r>
  </si>
  <si>
    <r>
      <t xml:space="preserve">2.2 ความจำเป็นในการดำเนินงาน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</si>
  <si>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 xml:space="preserve">(    ) </t>
  </si>
  <si>
    <t>มีสัญญา ข้อผูกพัน หรือมีเงื่อนไขที่ต้องดำเนินการ</t>
  </si>
  <si>
    <t xml:space="preserve">( / ) </t>
  </si>
  <si>
    <t>นโยบายสำคัญของรัฐบาล</t>
  </si>
  <si>
    <t>นโยบายสำคัญของ กฟภ.</t>
  </si>
  <si>
    <t>อื่นๆ ..........................…………………</t>
  </si>
  <si>
    <r>
      <t xml:space="preserve">2.3 ประเภทการลงทุน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</si>
  <si>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 xml:space="preserve">  </t>
  </si>
  <si>
    <t>(  /  ) งานก่อสร้าง ขยายเขตและปรับปรุงระบบจำหน่าย</t>
  </si>
  <si>
    <t>(    )</t>
  </si>
  <si>
    <t>งานบำรุงรักษาด้านระบบไฟฟ้า</t>
  </si>
  <si>
    <t>(    ) งานติดตั้งระบบศูนย์สั่งการจ่ายไฟ</t>
  </si>
  <si>
    <t>งาน IT</t>
  </si>
  <si>
    <t>(    ) งานจัดหาที่ดิน อาคาร ยานพาหนะ และ</t>
  </si>
  <si>
    <t>งานพัฒนาระบบสื่อสาร</t>
  </si>
  <si>
    <t xml:space="preserve">เครื่องมือเครื่องใช้ต่างๆ </t>
  </si>
  <si>
    <t>2.4 สถานะของงาน</t>
  </si>
  <si>
    <t>(       )</t>
  </si>
  <si>
    <t>งาน/แผนงาน ต่อเนื่อง</t>
  </si>
  <si>
    <t>(  /  )</t>
  </si>
  <si>
    <t xml:space="preserve"> งาน/แผนงาน ใหม่</t>
  </si>
  <si>
    <t>2.5 ได้รับอนุมัติจาก</t>
  </si>
  <si>
    <t>ผวก. ลงนาม วันที่ .....................................................................................</t>
  </si>
  <si>
    <t>คณะกรรมการ กฟภ. วันที่ .......................................................................</t>
  </si>
  <si>
    <t>คณะรัฐมนตรี วันที่ ....................................................................................</t>
  </si>
  <si>
    <r>
      <t xml:space="preserve">2.6 พื้นที่ดำเนินการ </t>
    </r>
    <r>
      <rPr>
        <sz val="16"/>
        <rFont val="TH SarabunPSK"/>
        <family val="2"/>
      </rPr>
      <t>กฟข. ทั้ง 12 เขต</t>
    </r>
  </si>
  <si>
    <r>
      <t xml:space="preserve">2.7 ระยะเวลาดำเนินการ </t>
    </r>
    <r>
      <rPr>
        <sz val="16"/>
        <rFont val="TH SarabunPSK"/>
        <family val="2"/>
      </rPr>
      <t xml:space="preserve">...............1................. </t>
    </r>
    <r>
      <rPr>
        <b/>
        <sz val="16"/>
        <rFont val="TH SarabunPSK"/>
        <family val="2"/>
      </rPr>
      <t>ปี (ปี 2568 - 2569)</t>
    </r>
  </si>
  <si>
    <r>
      <t>2.8 วงเงินลงทุนทั้งสิ้น ของงาน/แผนงาน</t>
    </r>
    <r>
      <rPr>
        <sz val="16"/>
        <rFont val="TH SarabunPSK"/>
        <family val="2"/>
      </rPr>
      <t xml:space="preserve"> </t>
    </r>
  </si>
  <si>
    <t>บาท</t>
  </si>
  <si>
    <t>2.9 วงเงินลงทุนปี 2568 ของงาน/แผนงาน</t>
  </si>
  <si>
    <t>2.10 เป้าหมายการเบิกจ่ายงบลงทุนปี 2568</t>
  </si>
  <si>
    <t>500,000,000.-</t>
  </si>
  <si>
    <r>
      <t xml:space="preserve">2.11 วงเงิน </t>
    </r>
    <r>
      <rPr>
        <b/>
        <u/>
        <sz val="16"/>
        <rFont val="TH SarabunPSK"/>
        <family val="2"/>
      </rPr>
      <t>งบทำการ</t>
    </r>
    <r>
      <rPr>
        <b/>
        <sz val="16"/>
        <rFont val="TH SarabunPSK"/>
        <family val="2"/>
      </rPr>
      <t xml:space="preserve"> ที่ขอตั้งในปี 2568 (ถ้ามี) </t>
    </r>
  </si>
  <si>
    <t>.........................................................................</t>
  </si>
  <si>
    <t>3.  วัตถุประสงค์ของงาน/แผนงาน</t>
  </si>
  <si>
    <t>เพื่อรองรับความต้องการใช้ไฟฟ้าของผู้ใช้ไฟฟ้าในนิคมอุตสาหกรรม/ผู้ใช้ไฟฟ้าทั่วไป ที่มีความประสงค์</t>
  </si>
  <si>
    <t>จะขอใช้ไฟฟ้าจาก กฟภ. โดยยังไม่อยู่ในโครงการใดๆ</t>
  </si>
  <si>
    <t>...................................................................................................................................................................................................</t>
  </si>
  <si>
    <t>แบบ งป.004/2</t>
  </si>
  <si>
    <t>4. ผลประโยชน์ที่คาดว่าจะได้รับ</t>
  </si>
  <si>
    <t>4.1 ผลประโยชน์ที่คาดว่าจะได้รับหลังเสร็จสิ้นงาน/แผนงาน</t>
  </si>
  <si>
    <r>
      <rPr>
        <b/>
        <sz val="16"/>
        <color rgb="FF000000"/>
        <rFont val="TH SarabunPSK"/>
      </rPr>
      <t xml:space="preserve"> - ผลผลิต(Output) </t>
    </r>
    <r>
      <rPr>
        <sz val="16"/>
        <color rgb="FF000000"/>
        <rFont val="TH SarabunPSK"/>
      </rPr>
      <t xml:space="preserve"> ขยายเขตระบบแรงต่ำ ระยะทาง 1,307 วงจร-กม. ระบบแรงสูง 1,470 วงจร-กม</t>
    </r>
  </si>
  <si>
    <t>หม้อแปลง 99,980 kVA และสายส่ง 20 วงจร-กม.</t>
  </si>
  <si>
    <r>
      <rPr>
        <b/>
        <sz val="16"/>
        <color rgb="FF000000"/>
        <rFont val="TH SarabunPSK"/>
      </rPr>
      <t xml:space="preserve"> - ผลลัพธ์(Outcome)</t>
    </r>
    <r>
      <rPr>
        <sz val="16"/>
        <color rgb="FF000000"/>
        <rFont val="TH SarabunPSK"/>
      </rPr>
      <t xml:space="preserve"> เพิ่มประสิทธิภาพระบบส่งจ่ายไฟฟ้า เพื่อเสริมสร้างการพัฒนาทางเศษฐกิจ </t>
    </r>
  </si>
  <si>
    <t>........................................................................................................................................................................</t>
  </si>
  <si>
    <t>4.2 ผลประโยชน์ที่คาดว่าจะได้รับในปี 2568 (กรณีเป็นแผนงานระยะยาว)</t>
  </si>
  <si>
    <r>
      <t xml:space="preserve"> - ผลผลิต(Output) </t>
    </r>
    <r>
      <rPr>
        <sz val="16"/>
        <rFont val="TH SarabunPSK"/>
        <family val="2"/>
      </rPr>
      <t>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</si>
  <si>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</t>
  </si>
  <si>
    <r>
      <t xml:space="preserve"> - ผลลัพธ์(Outcome) </t>
    </r>
    <r>
      <rPr>
        <sz val="16"/>
        <rFont val="TH SarabunPSK"/>
        <family val="2"/>
      </rPr>
      <t>...........................................................................................................................</t>
    </r>
  </si>
  <si>
    <t>5. การวิเคราะห์ผลกระทบทางธุรกิจ</t>
  </si>
  <si>
    <t>5.1 ผลกระทบต่อองค์กร</t>
  </si>
  <si>
    <t>.............................................................................................................................................................</t>
  </si>
  <si>
    <t>5.2 ผลกระทบต่อชุมชน สังคม และสิ่งแวดล้อม</t>
  </si>
  <si>
    <t>............................................................................................................................................................</t>
  </si>
  <si>
    <t>6. ผลกระทบจากการไม่ได้รับพิจารณาให้ตั้งงบประมาณ</t>
  </si>
  <si>
    <t xml:space="preserve"> - ไม่สารมารถตอบสนองความต้องการการขอใช้ไฟฟ้าได้อย่างเพียงพอ</t>
  </si>
  <si>
    <t xml:space="preserve">                   </t>
  </si>
  <si>
    <t xml:space="preserve"> - การพัฒนาและการขยายตัวทางเศษฐกิจลดลง</t>
  </si>
  <si>
    <t xml:space="preserve"> - การบริการสาธารณูปโภคด้านไฟฟ้าแก่ประชาชนไม่ทั่วถึงเพียงพอ</t>
  </si>
  <si>
    <t>7. ปัญหา อุปสรรค และแนวทางในการแก้ไขปัญหา อุปสรรค</t>
  </si>
  <si>
    <t>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</si>
  <si>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</t>
  </si>
  <si>
    <t>8. รายงานความก้าวหน้าของแผนจัดซื้อ/จัดจ้างตามแผนงานปกติ แบบ งป.009</t>
  </si>
  <si>
    <t>9. แผนการลงทุนรายปี ในกรณีที่ทำมากกว่า 1 ปี ตาม งป.010/1</t>
  </si>
  <si>
    <t>และแผนการจ่ายเงินตามงบผูกพัน(กรณีแผนระยะยาว/งานต่อเนื่อง) ตาม งป.010/2</t>
  </si>
  <si>
    <t>10. เป้าหมายการเบิกจ่ายรายเดือน แยกรายภาคและสำนักงานใหญ่ ตาม งป.010/3</t>
  </si>
  <si>
    <t>11. ประมาณการวัสดุอุปกรณ์นำเข้าจากต่างประเทศ ตามแบบ งป.011</t>
  </si>
  <si>
    <t>การวิเคราะห์ประโยชน์และความคุ้มค่างาน/แผนงาน</t>
  </si>
  <si>
    <t xml:space="preserve"> -</t>
  </si>
  <si>
    <t>ประมาณการผลตอบแทนงาน/แผนงาน</t>
  </si>
  <si>
    <t xml:space="preserve">    ระยะเวลาคืนทุน (Payback Period)</t>
  </si>
  <si>
    <t>...................................</t>
  </si>
  <si>
    <t xml:space="preserve">   ปี</t>
  </si>
  <si>
    <t xml:space="preserve">    อัตราผลตอบแทนเฉลี่ยรายปี (IRR) </t>
  </si>
  <si>
    <t xml:space="preserve">   %</t>
  </si>
  <si>
    <t xml:space="preserve">    มูลค่าปัจจุบันสุทธิ (NPV) </t>
  </si>
  <si>
    <t xml:space="preserve">   ล้านบาท</t>
  </si>
  <si>
    <t xml:space="preserve">    อัตราผลตอบแทนเฉลี่ยด้านการเงิน (FIRR) </t>
  </si>
  <si>
    <t xml:space="preserve">    อัตราผลตอบแทนเฉลี่ยด้านเศรษฐศาสตร์ (EIRR) </t>
  </si>
  <si>
    <t>วัตถุประสงค์เชิงยุทธศาสตร์</t>
  </si>
  <si>
    <t>ยุทธศาสตร์</t>
  </si>
  <si>
    <t>กลยุทธ์</t>
  </si>
  <si>
    <t>BSC</t>
  </si>
  <si>
    <t>SO1 ยกระดับการบริหารจัดการระดับสากลเพื่อสร้างความยั่งยืน</t>
  </si>
  <si>
    <t>S1 สร้าง กฟภ. ให้เติบโตอย่างยั่งยืน</t>
  </si>
  <si>
    <t>เป้าหมายองค์กร (Financial Goal)</t>
  </si>
  <si>
    <t>SO2 ระบบจําหน่ายที่มีประสิทธิภาพและสร้างความน่าเชื่อถือ
ต่อลูกค้า และทุกกลุ่มผู้มีส่วนได้ส่วนเสีย</t>
  </si>
  <si>
    <t>S2 ยกระดับการบริหารทุนมนุษย์</t>
  </si>
  <si>
    <t>ลูกค้า (Customer Goal)</t>
  </si>
  <si>
    <t>SO3 เสริมสร้างศักยภาพด้าน Digital Utility และ มุ่งสู่การเป็นผู้นํา
ระบบไฟฟ้าในอนาคตระดับภูมิภาค</t>
  </si>
  <si>
    <t>S3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 อย่างมีประสิทธิภาพ (Digital Transformation)</t>
  </si>
  <si>
    <t>กระบวนการภายใน (Internal Process Goal)</t>
  </si>
  <si>
    <t>SO4 ยกระดับผลประกอบการและทิศทางของ PEA Portfolio</t>
  </si>
  <si>
    <t>S4 การพัฒนาระบบจัดการนวัตกรรมองค์กร (Corporate Innovation System :CIS)</t>
  </si>
  <si>
    <t>การเรียนรู้และพัฒนา (Learning &amp; Growth)</t>
  </si>
  <si>
    <t>S5 พัฒนาระบบจําหน่ายที่ได้คุณภาพในระดับชั้นนําของภูมิภาค</t>
  </si>
  <si>
    <t>S6 ยกระดับความพึงพอใจและความผูกพันของลูกค้าและกลุ่มผู้มี ส่วนได้ส่วนเสีย</t>
  </si>
  <si>
    <t>S7 ยกระดับ Grid Modernization Roadmap &amp; Implementation</t>
  </si>
  <si>
    <t>S8 ส่งเสริมบทบาท กฟภ. ในการผลักดันบทบาทเพื่อรองรับนโยบาย การเปิดไฟฟ้าเสรี</t>
  </si>
  <si>
    <t>S9 การกําหนดทิศทางเชิงยุทธศาสตร์ระหว่าง กฟภ. และบริษัทในเครือ</t>
  </si>
  <si>
    <t>S10 การดําเนินงานตามแผนสําหรับธุรกิจเกี่ยวเนื่อง และการบริหาร Product Portfolio</t>
  </si>
  <si>
    <t>S11 การปรับปรุงกฎระเบียบที่เกี่ยวข้องให้มีความคล่องตัว และ สามารถแข่งขันได้</t>
  </si>
  <si>
    <t>OC1 วิเคราะห GAP และแนวทางการผลักดันองคกรสูความยั่งยืน</t>
  </si>
  <si>
    <t>OC2 สนับสนุนการใชพลังงานอยางมีประสิทธิภาพ</t>
  </si>
  <si>
    <t>HCM1 สงเสริมการบริหารทุนมนุษยโดยใชเทคโนโลยีดิจิทัลในการพัฒนาระบบงานดาน HCM</t>
  </si>
  <si>
    <t>HCM2 พัฒนาระบบการเรียนรูและพัฒนาในการเสริมสรางและยกระดับสมรรถนะของบุคลากร</t>
  </si>
  <si>
    <t>DT1 พัฒนาขีดความสามารถดานเทคโนโลยีดิจิทัล เพื่อสะทอนถึงประสิทธิภาพของการบริหารคาใชจายและประสิทธิภาพของกระบวนการดําเนินงาน</t>
  </si>
  <si>
    <t>DT2 พัฒนาขีดความสามารถดาน Cyber Security และการบริหารจัดการเทคโนโลยีดิจิทัลสูมาตรฐานสากล</t>
  </si>
  <si>
    <t>CIS1 พัฒนาโครงสรางและกระบวนการดานนวัตกรรม</t>
  </si>
  <si>
    <t>OM1 การเพิ่มประสิทธิภาพและความนาเชื่อถือของระบบจําหนายอยางตอเนื่อง</t>
  </si>
  <si>
    <t>OM2 ยกระดับคุณภาพระบบจําหนายไฟฟาแรงต่ำรองรับการเปลี่ยนแปลงของอุตสาหกรรมไฟฟา</t>
  </si>
  <si>
    <t>SCM1 มุงตอบสนองความตองการความคาดหวังและความกังวลผูมีสวนไดสวนเสีย</t>
  </si>
  <si>
    <t>SCM2 การสรางประสบการณที่ดีของการ ใหบริการแบบ New Normal (Digital Customer Experience)</t>
  </si>
  <si>
    <t>SCM3 การรักษาฐานลูกคารายสําคัญ (Key Account)</t>
  </si>
  <si>
    <t>GM1 การเสริมสรางศักยภาพของระบบจําหนายโดย Smart Grid และระบบที่รองรับธุรกิจในอนาคต</t>
  </si>
  <si>
    <t>GM2 การผลักดันความสําเร็จของการรองรับการเปดไฟฟาเสรี</t>
  </si>
  <si>
    <t>NM1 การกําหนดนโยบายและกําหนดทิศทางการดําเนินงานของบริษัทในเครือรวมถึงการวิเคราะหถึง Business Alignment</t>
  </si>
  <si>
    <t>NM2 การดําเนินงานตามแผน PEA Portfolio Management</t>
  </si>
  <si>
    <t>NM3 ยกระดับผลประกอบการขององคกร และการจัดทําบัญชีตนทุนระหวาง Regulated Business และ Nonregulated Business รวมถึงการทำบัญชีต้นทุนรายกิจกรรม (ABC Costing)</t>
  </si>
  <si>
    <t>NM4 มุงเนนการสรางมูลคาเพิ่มจากฐานขอมูลผูใช้ไฟ</t>
  </si>
  <si>
    <t>RS1 ทบทวนกฎหมายระเบียบ ขอบังคับ เพื่อรองรับการดําเนินงานในธุรกิจเกี่ยวเนื่อง รวมถึงกํากับการดําเนินงานของบริษัทในเครือ เพื่อใหเกิด Synergy</t>
  </si>
  <si>
    <t>S1 ยกระดับการบริหารองค์กรและทุนมนุษย์</t>
  </si>
  <si>
    <t>S2 ส่งเสริมและพัฒนาขีดความสามารถด้วย
เทคโนโลยีดิจิทัล (Digital Technology)
ที่มีความมั่นคงปลอดภัย เพื่อการขับเคลื่อน
องค์กรอย่างมีประสิทธิภาพ
(Digital Transformation)</t>
  </si>
  <si>
    <t>S3 พัฒนาระบบจัดการนวัตกรรมองค์กร
(Corporate Innovation System :CIS)</t>
  </si>
  <si>
    <t>S4 พัฒนาระบบจำหน่ายที่ได้คุณภาพใน
ระดับชั้นนำของภูมิภาค ตาม Grid
Modernization Roadmap</t>
  </si>
  <si>
    <t>S5 ยกระดับความพึงพอใจและความผูกพัน
ของลูกค้าและกลุ่มผู้มีส่วนได้ส่วนเสีย</t>
  </si>
  <si>
    <t>S6 กำหนดทิศทางเชิงยุทธศาสตร์ ระหว่าง กฟภ.
และบริษัทในเครือ</t>
  </si>
  <si>
    <t>S7 ดำเนินงานตามแผนสำหรับธุรกิจเกี่ยวเนื่อง และ
การบริหารกลุ่มผลิตภัณฑ์(Product Portfolio)</t>
  </si>
  <si>
    <t>S8 ปรับปรุงกฎระเบียบที่เกี่ยวข้องให้มี
ความคล่องตัว และสามารถแข่งขันได้</t>
  </si>
  <si>
    <t>S9 ส่งเสริมบทบาท กฟภ. ในการขับเคลื่อนนโยบาย
การเปิดเสรีกิจการไฟฟ้า</t>
  </si>
  <si>
    <t>S10 เติบโตอย่างยั่งยืน เพิ่ม Eco-efficiency</t>
  </si>
  <si>
    <t xml:space="preserve">S11 เพิ่มสัดส่วนไฟฟ้าจาก Renewable
Energy </t>
  </si>
  <si>
    <t>แบบ งป.004/3</t>
  </si>
  <si>
    <t>13.  เหตุผลและความจำเป็นของงาน/แผนงาน</t>
  </si>
  <si>
    <r>
      <t xml:space="preserve">13.1 การสนับสนุนต่อยุทธศาสตร์  และวัตถุประสงค์เชิงยุทธศาสตร์ (เลือกได้มากกว่า 1 ยุทธศาสตร์)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</si>
  <si>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SO1</t>
  </si>
  <si>
    <t>SO2</t>
  </si>
  <si>
    <t>SO3</t>
  </si>
  <si>
    <t>SO4</t>
  </si>
  <si>
    <t>ยกระดับการบริหารจัดการระดับสากลด้วย
ดิจิทัลและนวัตกรรมโดยมีทุนมนุษย์เป็น
แกนขับเคลื่อนสำคัญ</t>
  </si>
  <si>
    <t>พัฒนาระบบจำหน่ายที่มีประสิทธิภาพเชื่อถือได้และยกระดับสู่โครงข่ายอัจฉริยะ (Smart Grid) เพื่อเป็นผู้นำระบบไฟฟ้า ตอบสนองความพึงพอใจแก่ลูกค้าและผู้มีส่วนได้ส่วนเสีย</t>
  </si>
  <si>
    <t>ยกระดับผลประกอบการต่อยอดสู่ธุรกิจใหม่ 
มุ่งสู่การเปิดเสรีกิจการไฟฟ้า</t>
  </si>
  <si>
    <t>เป็นองค์กรไฟฟ้าชั้นนำตอบโจทย์
ความท้าทายของประเทศเพื่อความยั่งยืน
ของสังคมและสิ่งแวดล้อม</t>
  </si>
  <si>
    <t>(   )</t>
  </si>
  <si>
    <r>
      <rPr>
        <b/>
        <sz val="16"/>
        <rFont val="TH SarabunPSK"/>
        <family val="2"/>
      </rPr>
      <t>S1</t>
    </r>
    <r>
      <rPr>
        <sz val="16"/>
        <rFont val="TH SarabunPSK"/>
        <family val="2"/>
      </rPr>
      <t xml:space="preserve"> ยกระดับการบริหารองค์กรและทุนมนุษย์</t>
    </r>
  </si>
  <si>
    <t>.......%</t>
  </si>
  <si>
    <t>(  )</t>
  </si>
  <si>
    <r>
      <rPr>
        <b/>
        <sz val="16"/>
        <rFont val="TH SarabunPSK"/>
        <family val="2"/>
      </rPr>
      <t xml:space="preserve">S4 </t>
    </r>
    <r>
      <rPr>
        <sz val="16"/>
        <rFont val="TH SarabunPSK"/>
        <family val="2"/>
      </rPr>
      <t>พัฒนาระบบจำหน่ายที่ได้คุณภาพในระดับชั้นนำของภูมิภาค ตาม Grid Modernization Roadmap</t>
    </r>
  </si>
  <si>
    <t>........%</t>
  </si>
  <si>
    <r>
      <rPr>
        <b/>
        <sz val="16"/>
        <rFont val="TH SarabunPSK"/>
        <family val="2"/>
      </rPr>
      <t>S6</t>
    </r>
    <r>
      <rPr>
        <sz val="16"/>
        <rFont val="TH SarabunPSK"/>
        <family val="2"/>
      </rPr>
      <t xml:space="preserve"> กำหนดทิศทางเชิงยุทธศาสตร์ ระหว่าง กฟภ.และบริษัทในเครือ</t>
    </r>
  </si>
  <si>
    <r>
      <rPr>
        <b/>
        <sz val="16"/>
        <rFont val="TH SarabunPSK"/>
        <family val="2"/>
      </rPr>
      <t>S10</t>
    </r>
    <r>
      <rPr>
        <sz val="16"/>
        <rFont val="TH SarabunPSK"/>
        <family val="2"/>
      </rPr>
      <t xml:space="preserve"> เติบโตอย่างยั่งยืน เพิ่ม Eco-efficiency</t>
    </r>
  </si>
  <si>
    <r>
      <rPr>
        <b/>
        <sz val="16"/>
        <rFont val="TH SarabunPSK"/>
        <family val="2"/>
      </rPr>
      <t>S2</t>
    </r>
    <r>
      <rPr>
        <sz val="16"/>
        <rFont val="TH SarabunPSK"/>
        <family val="2"/>
      </rPr>
      <t xml:space="preserve">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เพื่อการขับเคลื่อนองค์กรอย่างมีประสิทธิภาพ (Digital Transformation)</t>
    </r>
  </si>
  <si>
    <r>
      <rPr>
        <b/>
        <sz val="16"/>
        <rFont val="TH SarabunPSK"/>
        <family val="2"/>
      </rPr>
      <t>S5</t>
    </r>
    <r>
      <rPr>
        <sz val="16"/>
        <rFont val="TH SarabunPSK"/>
        <family val="2"/>
      </rPr>
      <t xml:space="preserve"> ยกระดับความพึงพอใจและความผูกพันของลูกค้าและกลุ่มผู้มีส่วนได้ส่วนเสีย</t>
    </r>
  </si>
  <si>
    <r>
      <rPr>
        <b/>
        <sz val="16"/>
        <rFont val="TH SarabunPSK"/>
        <family val="2"/>
      </rPr>
      <t>S7</t>
    </r>
    <r>
      <rPr>
        <sz val="16"/>
        <rFont val="TH SarabunPSK"/>
        <family val="2"/>
      </rPr>
      <t xml:space="preserve"> ดำเนินงานตามแผนสำหรับธุรกิจเกี่ยวเนื่อง และการบริหารกลุ่มผลิตภัณฑ์ (Product Portfolio)</t>
    </r>
  </si>
  <si>
    <r>
      <rPr>
        <b/>
        <sz val="16"/>
        <rFont val="TH SarabunPSK"/>
        <family val="2"/>
      </rPr>
      <t>S11</t>
    </r>
    <r>
      <rPr>
        <sz val="16"/>
        <rFont val="TH SarabunPSK"/>
        <family val="2"/>
      </rPr>
      <t xml:space="preserve"> เพิ่มสัดส่วนไฟฟ้าจาก Renewable Energy </t>
    </r>
  </si>
  <si>
    <r>
      <rPr>
        <b/>
        <sz val="16"/>
        <rFont val="TH SarabunPSK"/>
        <family val="2"/>
      </rPr>
      <t>S3</t>
    </r>
    <r>
      <rPr>
        <sz val="16"/>
        <rFont val="TH SarabunPSK"/>
        <family val="2"/>
      </rPr>
      <t xml:space="preserve"> พัฒนาระบบจัดการนวัตกรรมองค์กร (Corporate Innovation System :CIS)</t>
    </r>
  </si>
  <si>
    <r>
      <rPr>
        <b/>
        <sz val="16"/>
        <rFont val="TH SarabunPSK"/>
        <family val="2"/>
      </rPr>
      <t>S8</t>
    </r>
    <r>
      <rPr>
        <sz val="16"/>
        <rFont val="TH SarabunPSK"/>
        <family val="2"/>
      </rPr>
      <t xml:space="preserve"> ปรับปรุงกฎระเบียบที่เกี่ยวข้องให้มีความคล่องตัว และสามารถแข่งขันได้</t>
    </r>
  </si>
  <si>
    <r>
      <rPr>
        <b/>
        <sz val="16"/>
        <rFont val="TH SarabunPSK"/>
        <family val="2"/>
      </rPr>
      <t>S9</t>
    </r>
    <r>
      <rPr>
        <sz val="16"/>
        <rFont val="TH SarabunPSK"/>
        <family val="2"/>
      </rPr>
      <t xml:space="preserve"> ส่งเสริมบทบาท กฟภ. ในการขับเคลื่อนนโยบาย
การเปิดเสรีกิจการไฟฟ้า</t>
    </r>
  </si>
  <si>
    <r>
      <rPr>
        <b/>
        <sz val="16"/>
        <rFont val="TH SarabunPSK"/>
        <family val="2"/>
      </rPr>
      <t>หมายเหตุ</t>
    </r>
    <r>
      <rPr>
        <sz val="16"/>
        <rFont val="TH SarabunPSK"/>
        <family val="2"/>
      </rPr>
      <t xml:space="preserve"> : ทุกยุทธศาสตร์รวมกัน = 100%</t>
    </r>
  </si>
  <si>
    <t xml:space="preserve">13.2 การสนับสนุนต่อมุมมองตาม Balanced Scorecard </t>
  </si>
  <si>
    <t>มุมมอง :</t>
  </si>
  <si>
    <t>ตัวชี้วัดและเป้าหมาย :</t>
  </si>
  <si>
    <t>ความพึงพอใจของลูกค้า ระดับ 4.4781</t>
  </si>
  <si>
    <t>14. แนวทางในการดำเนินงานของงาน/แผนงาน</t>
  </si>
  <si>
    <t>14.1 แผนการดำเนินงาน</t>
  </si>
  <si>
    <t>กิจกรรมหลัก</t>
  </si>
  <si>
    <t>หน่วยนับ</t>
  </si>
  <si>
    <t>ระยะเวลาดำเนินการ</t>
  </si>
  <si>
    <t>ปีงบประมาณ</t>
  </si>
  <si>
    <t>ปี 66</t>
  </si>
  <si>
    <t>ปี 67</t>
  </si>
  <si>
    <t>ปี 68</t>
  </si>
  <si>
    <t>ปี 69</t>
  </si>
  <si>
    <t>ปี 70</t>
  </si>
  <si>
    <t>เริ่มต้น - ปี 65</t>
  </si>
  <si>
    <t xml:space="preserve"> - สิ้นสุดแผนงาน</t>
  </si>
  <si>
    <t>2.</t>
  </si>
  <si>
    <t>3.</t>
  </si>
  <si>
    <t>4.</t>
  </si>
  <si>
    <t>ร้อยละของงาน</t>
  </si>
  <si>
    <t>(        ) ดำเนินการเอง …………… %</t>
  </si>
  <si>
    <t>(        ) จ้างเหมา ….……….……… %</t>
  </si>
  <si>
    <t>(        ) จ้างเหมาแบบ Turnkey</t>
  </si>
  <si>
    <t>แบบ งป.004/4</t>
  </si>
  <si>
    <t>14.2 งบประมาณลงทุนเพื่อการดำเนินงานปกติ ที่ขอตั้งประจำปี 2568</t>
  </si>
  <si>
    <t xml:space="preserve"> </t>
  </si>
  <si>
    <t>รายการ</t>
  </si>
  <si>
    <t>วงเงินดำเนินการ</t>
  </si>
  <si>
    <t>เป้าหมายการเบิกจ่าย(รายปี)</t>
  </si>
  <si>
    <t>ปี 2568</t>
  </si>
  <si>
    <t>เป้าหมายการเบิกจ่าย</t>
  </si>
  <si>
    <t>1. หมวดที่ดิน (งป.005)</t>
  </si>
  <si>
    <t>ใช้เฉพาะการตั้งงบฯ ตามแผนสนับสนุนการดำเนินงาน</t>
  </si>
  <si>
    <t>2. หมวดสิ่งก่อสร้าง</t>
  </si>
  <si>
    <t xml:space="preserve">   งานโยธา (งป.006)</t>
  </si>
  <si>
    <t xml:space="preserve">   งานระบบไฟฟ้า</t>
  </si>
  <si>
    <t xml:space="preserve"> - ค่าวัสดุอุปกรณ์ (งป.007)</t>
  </si>
  <si>
    <t xml:space="preserve"> - ค่าแรงงาน</t>
  </si>
  <si>
    <t xml:space="preserve"> - ค่าขนส่ง</t>
  </si>
  <si>
    <t xml:space="preserve"> - ค่าสำรวจออกแบบและควบคุมงาน</t>
  </si>
  <si>
    <t xml:space="preserve"> - ค่าเบ็ดเตล็ด</t>
  </si>
  <si>
    <t xml:space="preserve"> - อื่น ๆ </t>
  </si>
  <si>
    <t>รวมงานระบบไฟฟ้า</t>
  </si>
  <si>
    <t>3. หมวดเครื่องจักรอุปกรณ์ (งป.008)</t>
  </si>
  <si>
    <t>4. หมวดยานพาหนะ (งป.008)</t>
  </si>
  <si>
    <t>5. หมวดเครื่องมือ เครื่องใช้ขนาดเล็ก (งป.008)</t>
  </si>
  <si>
    <t>6. หมวดวิจัยและพัฒนา (งป.008)</t>
  </si>
  <si>
    <t>7. หมวดอื่น ๆ (งป.008)</t>
  </si>
  <si>
    <t>รวมทั้งสิ้น</t>
  </si>
  <si>
    <t>15. การประเมินระดับความเสี่ยงโดยระบุประเด็นความเสี่ยงและมิติความเสี่ยง(ที่มีความสอดคล้อง) และประเมินระดับความเสี่ยงของงาน/แผนงาน</t>
  </si>
  <si>
    <t xml:space="preserve">     15.1 การประเมินประสิทธิผลการควบคุมที่มีอยู่ของงาน/แผนงาน</t>
  </si>
  <si>
    <t>งาน/แผนงาน
(ปัจจัยเสี่ยง)</t>
  </si>
  <si>
    <t>ประเภทของปัจจัยเสี่ยง
S / O / F / C</t>
  </si>
  <si>
    <t>ประสิทธิผลการควบคุมที่มีอยู่</t>
  </si>
  <si>
    <t>ผลสรุป 
(เพียงพอ/ไม่เพียงพอ)</t>
  </si>
  <si>
    <t xml:space="preserve">ผลการดำเนินงานเมื่อเทียบกับเป้าหมาย </t>
  </si>
  <si>
    <t xml:space="preserve">กระบวนการควบคุม </t>
  </si>
  <si>
    <t xml:space="preserve">การติดตาม </t>
  </si>
  <si>
    <t>การเบิกจ่าย</t>
  </si>
  <si>
    <t>F ความเสี่ยงด้านการเงิน</t>
  </si>
  <si>
    <t>ผลการดำเนินงานดีกว่าเป้าหมาย</t>
  </si>
  <si>
    <t>มีกระบวนการหรือกิจกรรมควบคุม</t>
  </si>
  <si>
    <t>มีการติดตามทุกเดือน</t>
  </si>
  <si>
    <t>เพียงพอ</t>
  </si>
  <si>
    <t>หมายเหตุ : 1) หากปัจจัยเสี่ยงที่ระบุได้เป็นเรื่องใหม่และยังไม่เคยดำเนินการมาก่อน ให้ประเมินคะแนนประสิทธิผลการควบคุมที่มีอยู่ เท่ากับ 1 คะแนน</t>
  </si>
  <si>
    <r>
      <t xml:space="preserve"> 2) ผลการประเมินประสิทธิผลการควบคุมที่มีอยู่ ด้านใดด้านหนึ่ง มีคะแนน 1 คะแนน ให้ถือว่าประสิทธิผลการควบคุมที่มีอยู่</t>
    </r>
    <r>
      <rPr>
        <b/>
        <u/>
        <sz val="16"/>
        <rFont val="TH SarabunPSK"/>
        <family val="2"/>
      </rPr>
      <t>ไม่เพียงพอ</t>
    </r>
    <r>
      <rPr>
        <sz val="16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</si>
  <si>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r>
      <t xml:space="preserve"> 3) ผลการประเมินประสิทธิผลการควบคุมที่มีอยู่ ในทุกด้านมีคะแนนตั้งแต่ 2 คะแนนขึ้นไป แต่</t>
    </r>
    <r>
      <rPr>
        <b/>
        <u/>
        <sz val="16"/>
        <rFont val="TH SarabunPSK"/>
        <family val="2"/>
      </rPr>
      <t>ผู้บริหารให้ความสำคัญ</t>
    </r>
    <r>
      <rPr>
        <sz val="16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</si>
  <si>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t>คะแนน</t>
  </si>
  <si>
    <t>ผลการดำเนินงานเมื่อเทียบกับเป้าหมาย</t>
  </si>
  <si>
    <t>กระบวนการควบคุม</t>
  </si>
  <si>
    <t>การติดตาม</t>
  </si>
  <si>
    <t>ผลการดำเนินงานไม่เป็นไปตามเป้าหมาย</t>
  </si>
  <si>
    <t>ไม่มีกระบวนการหรือกิจกรรมควบคุม</t>
  </si>
  <si>
    <t>ไม่มีการติดตาม/รายงานผลการดำเนินงาน</t>
  </si>
  <si>
    <t>ผลการดำเนินงานเป็นไปตามเป้าหมาย</t>
  </si>
  <si>
    <t>มีการติดตาม/รายงานผลการดำเนินงานอย่างน้อยไตรมาสละ 1 ครั้ง</t>
  </si>
  <si>
    <t>มีกระบวนการหรือกิจกรรมควบคุมและได้จัดทำเป็นคู่มือการปฏิบัติงานที่ชัดเจน</t>
  </si>
  <si>
    <t>มีการติดตาม/รายงานผลการดำเนินงานเป็นประจำทุกเดือน</t>
  </si>
  <si>
    <t xml:space="preserve">     15.2 การประเมินระดับความรุนแรงของโครงการ (ปัจจัยเสี่ยง)</t>
  </si>
  <si>
    <t>ประเด็นความเสี่ยงของงาน/แผนงาน
(สาเหตุ)</t>
  </si>
  <si>
    <t>ระดับความรุนแรง</t>
  </si>
  <si>
    <t>แนวทางในการจัดการความเสี่ยง</t>
  </si>
  <si>
    <t>คาดการณ์ระดับความรุนแรง</t>
  </si>
  <si>
    <t>เป้าหมาย</t>
  </si>
  <si>
    <t>คาดการณ์
ผลการดำเนินงาน
ค่า KRI 
(ณ สิ้นปี 2566)</t>
  </si>
  <si>
    <r>
      <t>ก่อน</t>
    </r>
    <r>
      <rPr>
        <b/>
        <sz val="16"/>
        <rFont val="TH SarabunPSK"/>
        <family val="2"/>
      </rPr>
      <t>การบริหารความเสี่ยง (ต้นปี 2566)</t>
    </r>
  </si>
  <si>
    <r>
      <t>หลัง</t>
    </r>
    <r>
      <rPr>
        <b/>
        <sz val="16"/>
        <rFont val="TH SarabunPSK"/>
        <family val="2"/>
      </rPr>
      <t>การบริหารความเสี่ยง (ณ สิ้นปี 2566)</t>
    </r>
  </si>
  <si>
    <t>(งาน/แผนงาน)</t>
  </si>
  <si>
    <t>โอกาส</t>
  </si>
  <si>
    <t>ผลกระทบ</t>
  </si>
  <si>
    <t>ระดับความเสี่ยง</t>
  </si>
  <si>
    <t xml:space="preserve">ระดับความเสี่ยง </t>
  </si>
  <si>
    <t>ดัชนีชี้วัดความเสี่ยง</t>
  </si>
  <si>
    <t>ค่าเป้าหมาย</t>
  </si>
  <si>
    <t>ค่าเบี่ยงเบนที่ยอมรับได้</t>
  </si>
  <si>
    <t>Likelihood (L)</t>
  </si>
  <si>
    <t>Impact (I)</t>
  </si>
  <si>
    <t>(LxI)</t>
  </si>
  <si>
    <t>(KRI)</t>
  </si>
  <si>
    <t>(RA)</t>
  </si>
  <si>
    <t>(RT)</t>
  </si>
  <si>
    <t>1)1) งานขยายเขตระบบไฟฟ้าให้ผู้ใช้ไฟฟ้า (การจัดหาอุปกรณ์ที่ล่าช้า)</t>
  </si>
  <si>
    <t>จัดหาอุปกรณ์ให้เพียงพอ</t>
  </si>
  <si>
    <t>2)</t>
  </si>
  <si>
    <t>3)</t>
  </si>
  <si>
    <t>หมายเหตุ : *1) ให้อธิบายผลการดำเนินงาน</t>
  </si>
  <si>
    <t xml:space="preserve">                2) หากผลการดำเนินงานไม่เป็นไปตามเป้าหมาย ให้ระบุปัญหา/อุปสรรค และแนวทางแก้ไขด้วย</t>
  </si>
  <si>
    <t>แบบ งป.004/5</t>
  </si>
  <si>
    <t>ตารางโอกาสเกิด/ผลกระทบ</t>
  </si>
  <si>
    <t>โอกาสเกิด (Likelihood : L)</t>
  </si>
  <si>
    <t>ผลกระทบ (Impact : I)</t>
  </si>
  <si>
    <t>ระดับ</t>
  </si>
  <si>
    <t>ความหมาย</t>
  </si>
  <si>
    <t>โอกาส/ความน่าจะเกิดทางสถิติ</t>
  </si>
  <si>
    <t>มีโอกาสเกิดขึ้นต่ำมาก</t>
  </si>
  <si>
    <t>1 - 20%</t>
  </si>
  <si>
    <t>มีผลกระทบต่ำมาก</t>
  </si>
  <si>
    <t>มีโอกาสเกิดขึ้นต่ำ</t>
  </si>
  <si>
    <t>21 - 40%</t>
  </si>
  <si>
    <t>มีผลกระทบต่ำ</t>
  </si>
  <si>
    <t>มีโอกาสเกิดขึ้นปานกลาง</t>
  </si>
  <si>
    <t>41 - 60%</t>
  </si>
  <si>
    <t>มีผลกระทบปานกลาง</t>
  </si>
  <si>
    <t>มีโอกาสเกิดขึ้นสูง</t>
  </si>
  <si>
    <t>61 - 80%</t>
  </si>
  <si>
    <t>มีผลกระทบสูง</t>
  </si>
  <si>
    <t>มีโอกาสเกิดขึ้นสูงมาก</t>
  </si>
  <si>
    <t>81 - 100%</t>
  </si>
  <si>
    <t>มีผลกระทบสูงมาก</t>
  </si>
  <si>
    <t>ตารางระดับความเสี่ยง</t>
  </si>
  <si>
    <t>ลำดับ</t>
  </si>
  <si>
    <t>(Risk Severity) (ผลคูณ LxI)</t>
  </si>
  <si>
    <t>ระดับคะแนน 1-4</t>
  </si>
  <si>
    <t>ผลกระทบต่ำ</t>
  </si>
  <si>
    <t>ระดับคะแนน &gt;4 และ ≤12</t>
  </si>
  <si>
    <t>ผลกระทบปานกลาง</t>
  </si>
  <si>
    <t>ระดับคะแนนมากกว่า 12</t>
  </si>
  <si>
    <t>ผลกระทบสูง</t>
  </si>
  <si>
    <t xml:space="preserve">จัดทำโดย </t>
  </si>
  <si>
    <t>ตรวจสอบโดย</t>
  </si>
  <si>
    <t>.......................................................................</t>
  </si>
  <si>
    <t>..........................................................................</t>
  </si>
  <si>
    <t xml:space="preserve">  (                                                    )</t>
  </si>
  <si>
    <t xml:space="preserve">   (                                                )</t>
  </si>
  <si>
    <t>ตำแหน่ง  (ชก.)</t>
  </si>
  <si>
    <t>ตำแหน่ง  (อก.)</t>
  </si>
  <si>
    <t>เบอร์โทรศัพท์</t>
  </si>
  <si>
    <t>วันที่</t>
  </si>
  <si>
    <t>คำอธิบายแบบ งป.004/1 - งป.004/5</t>
  </si>
  <si>
    <t>(แบบข้อมูลพื้นฐานของงาน)</t>
  </si>
  <si>
    <r>
      <t xml:space="preserve">ชื่องาน/แผนงาน หมายถึง </t>
    </r>
    <r>
      <rPr>
        <sz val="16"/>
        <rFont val="TH SarabunPSK"/>
        <family val="2"/>
      </rPr>
      <t>ชื่อของงานที่หน่วยงานจะดำเนินการ เพื่อให้บรรลุตามวัตถุประสงค์ที่ตั้งไว้</t>
    </r>
  </si>
  <si>
    <t>รายละเอียดของงาน/แผนงาน</t>
  </si>
  <si>
    <t>ผู้รับผิดชอบ</t>
  </si>
  <si>
    <t>ให้ระบุหน่วยงานเป็นระดับแผนก, กอง, ฝ่าย, สายงาน</t>
  </si>
  <si>
    <t>ความจำเป็นในการดำเนินงาน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</si>
  <si>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ในหัวข้อที่เลือกว่าเป็นงาน/แผนงาน </t>
    </r>
  </si>
  <si>
    <t xml:space="preserve">ที่มีความจำเป็นจะต้องดำเนินการ เช่น มีสัญญา ข้อผูกพัน </t>
  </si>
  <si>
    <t xml:space="preserve">หรือมีเงื่อนไขที่ต้องดำเนินการ หรือเป็นนโยบายที่สำคัญของ กฟภ. </t>
  </si>
  <si>
    <t>ถ้าไม่ดำเนินการจะก่อให้เกิดความเสียหาย หรือสอดคล้องกับ</t>
  </si>
  <si>
    <t>นโยบายของรัฐบาล เช่น งานขยายเขตต่างๆ ให้บ้านเรือนราษฎร</t>
  </si>
  <si>
    <t>ที่ไม่มีไฟฟ้าใช้  เป็นต้น</t>
  </si>
  <si>
    <t>ประเภทการลงทุน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</si>
  <si>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ในหัวข้อที่เลือกว่างาน/แผนงาน เป็นประเภทการลงทุนใด</t>
    </r>
  </si>
  <si>
    <t>สถานะของงาน</t>
  </si>
  <si>
    <r>
      <rPr>
        <b/>
        <sz val="16"/>
        <rFont val="TH SarabunPSK"/>
        <family val="2"/>
      </rPr>
      <t xml:space="preserve">หมายถึง </t>
    </r>
    <r>
      <rPr>
        <sz val="16"/>
        <rFont val="TH SarabunPSK"/>
        <family val="2"/>
      </rPr>
      <t>สถานภาพของงานในปีที่ขอตั้งงบประมาณว่าเป็น</t>
    </r>
  </si>
  <si>
    <t xml:space="preserve">งาน/แผนงานต่อเนื่องหรืองาน/แผนงานใหม่ </t>
  </si>
  <si>
    <t>ได้รับอนุมัติจาก</t>
  </si>
  <si>
    <r>
      <t xml:space="preserve">ให้ทำเครื่องหมาย </t>
    </r>
    <r>
      <rPr>
        <sz val="16"/>
        <rFont val="Wingdings"/>
        <charset val="2"/>
      </rPr>
      <t xml:space="preserve">ü </t>
    </r>
    <r>
      <rPr>
        <sz val="16"/>
        <rFont val="TH SarabunIT๙"/>
        <family val="2"/>
      </rPr>
      <t>ในหัวข้อที่ได้รับการอนุมัติ และระบุวันที่ที่ได้รับอนุมัติ</t>
    </r>
  </si>
  <si>
    <t>พื้นที่ดำเนินการ</t>
  </si>
  <si>
    <t>ให้ระบุสถานที่และจังหวัดที่ดำเนินการของงาน/แผนงาน</t>
  </si>
  <si>
    <t>ให้ระบุระยะเวลาเริ่มต้นที่ได้รับอนุมัติงาน/แผนงาน และระยะ</t>
  </si>
  <si>
    <t>เวลาสิ้นสุด คือระยะเวลาที่คาดว่าจะได้รับมอบงานงวดสุดท้าย</t>
  </si>
  <si>
    <t xml:space="preserve">วงเงินลงทุนทั้งสิ้นของงาน/แผนงาน 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</si>
  <si>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วงเงินงบประมาณรวมทั้งสิ้นที่จะใช้ในการดำเนินการ</t>
    </r>
  </si>
  <si>
    <t>วงเงินลงทุนปี 2568 ของงาน/แผนงาน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</si>
  <si>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วงเงินที่ขอตั้งงบประมาณปี 2568</t>
    </r>
  </si>
  <si>
    <t>2.10</t>
  </si>
  <si>
    <t>เป้าหมายการเบิกจ่ายงบลงทุนปี 2568</t>
  </si>
  <si>
    <t>ให้ประมาณการค่าใช้จ่ายที่จะใช้ในปีที่ขอตั้งงบประมาณ</t>
  </si>
  <si>
    <t>โดยวงเงินรวมเป้าหมายการเบิกจ่ายต้องเท่ากับวงเงินดำเนินการปี 2568</t>
  </si>
  <si>
    <t>วงเงินงบทำการที่ขอตั้งในปี 2568</t>
  </si>
  <si>
    <t>ให้ใส่วงเงินที่ขอใช้จากงบทำการ (ถ้ามี)</t>
  </si>
  <si>
    <t>วัตถุประสงค์ของงาน/แผนงาน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</si>
  <si>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 จุดมุ่งหมายในการดำเนินการเพื่อให้บรรลุผลเมื่อสิ้นสุดงาน/แผนงาน</t>
    </r>
  </si>
  <si>
    <t>ผลประโยชน์ที่คาดว่าจะได้รับ</t>
  </si>
  <si>
    <t>ผลประโยชน์ที่คาดว่าจะได้รับหลังเสร็จสิ้น</t>
  </si>
  <si>
    <r>
      <rPr>
        <b/>
        <sz val="16"/>
        <rFont val="TH SarabunPSK"/>
        <family val="2"/>
      </rPr>
      <t xml:space="preserve">ผลผลิต (Output)  หมายถึง </t>
    </r>
    <r>
      <rPr>
        <sz val="16"/>
        <rFont val="TH SarabunPSK"/>
        <family val="2"/>
      </rPr>
      <t>ผลผลิตต่อหน่วยนับ สำหรับหน่วยของผลผลิต</t>
    </r>
  </si>
  <si>
    <t>งาน/แผนงาน</t>
  </si>
  <si>
    <t>ระบุตามหน่วยที่สามารถวัดเป็นเชิงปริมาณได้ หากไม่สามารถวัดเป็นหน่วยนับได้</t>
  </si>
  <si>
    <t>กำหนดเป็นเปอร์เซนต์</t>
  </si>
  <si>
    <r>
      <t>ผลลัพธ์ (Outcome) หมายถึง</t>
    </r>
    <r>
      <rPr>
        <sz val="16"/>
        <rFont val="TH SarabunPSK"/>
        <family val="2"/>
      </rPr>
      <t xml:space="preserve"> ผลที่คาดว่าจะได้รับ ที่เกิดขึ้นตามมาจากการเกิด</t>
    </r>
  </si>
  <si>
    <t>ผลผลิต</t>
  </si>
  <si>
    <t>ผลประโยชน์ที่คาดว่าจะได้รับในปี 2568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</si>
  <si>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ผลผลิต(Output) และ ผลลัพธ์ (Outcome) ในปี 2568</t>
    </r>
  </si>
  <si>
    <t>(กรณีเป็นแผนงานระยะยาว)</t>
  </si>
  <si>
    <t>ของแผนงานระยะยาว</t>
  </si>
  <si>
    <t>5.</t>
  </si>
  <si>
    <t>การวิเคราะห์ผลกระทบทางธุรกิจ</t>
  </si>
  <si>
    <t>ผลกระทบต่อองค์กร</t>
  </si>
  <si>
    <t>ให้ระบุถึง</t>
  </si>
  <si>
    <t xml:space="preserve"> - สนับสนุนวิสัยทัศน์ พันธกิจขององค์กร </t>
  </si>
  <si>
    <t xml:space="preserve"> - สนับสนุนยุทธศาสตร์หลักขององค์กร  </t>
  </si>
  <si>
    <t xml:space="preserve"> - หน่วยงานกำกับกำหนด (องค์กรจำเป็นต้องดำเนินการ)</t>
  </si>
  <si>
    <t>ผลกระทบต่อชุมชน สังคม</t>
  </si>
  <si>
    <t xml:space="preserve">ให้ระบุถึงบทวิเคราะห์ผลกระทบทางลบต่อสังคม / </t>
  </si>
  <si>
    <t>และสิ่งแวดล้อม</t>
  </si>
  <si>
    <t>ความกังวลของสาธารณะชน / สิ่งแวดล้อมที่เกิดจากการดำเนินงาน</t>
  </si>
  <si>
    <t>ของงาน/แผนงาน</t>
  </si>
  <si>
    <t>6.</t>
  </si>
  <si>
    <t>ผลกระทบจากการไม่ได้รับพิจารณา</t>
  </si>
  <si>
    <t>ระบุผลกระทบที่ได้รับหากไม่ได้รับการพิจารณาตั้งงบประมาณ</t>
  </si>
  <si>
    <t>ให้ตั้งงบประมาณ</t>
  </si>
  <si>
    <t>7.</t>
  </si>
  <si>
    <t>ปัญหา อุปสรรค และแนวทางในการแก้ไข</t>
  </si>
  <si>
    <t>ให้ระบุ (ถ้ามี)</t>
  </si>
  <si>
    <t>ปัญหา อุปสรรค</t>
  </si>
  <si>
    <t>8.</t>
  </si>
  <si>
    <t>รายงานความก้าวหน้าของแผนจัดซื้อ/จัดจ้างตาม</t>
  </si>
  <si>
    <t>ให้กำหนดขั้นตอนการปฎิบัติงาน การดำเนินการจัดซื้อจัดจ้าง การส่งของ</t>
  </si>
  <si>
    <t>แผนงานปกติ Workflow</t>
  </si>
  <si>
    <t>/ก่อสร้าง การตรวจรับและทดสอบพร้อมทั้งประมาณการเบิกจ่ายของแต่ละงาน</t>
  </si>
  <si>
    <t>ลงในเดือนที่คาดว่าจะจ่ายจริงจนสิ้นสุดวงเงินที่ขอตั้งงบประมาณ</t>
  </si>
  <si>
    <t>ในแบบ งป.009</t>
  </si>
  <si>
    <t>9.</t>
  </si>
  <si>
    <t>การจัดทำแผนการลงทุนให้จัดทำเป็นรายปี ในกรณีที่ทำมากกว่า 1 ปี</t>
  </si>
  <si>
    <t>และแผนการจ่ายเงินตามงบผูกพัน</t>
  </si>
  <si>
    <t>ให้จัดทำตั้งแต่เริ่มต้นแผนงานจนสิ้นสุดแผนงาน ตามแบบ งป.010/1</t>
  </si>
  <si>
    <t xml:space="preserve">(กรณีแผนระยะยาว/งานต่อเนื่อง) </t>
  </si>
  <si>
    <t>สำหรับแผนงานเก่าให้แสดงสถานะการใช้เงินด้วย ตามแบบ งป.010/2</t>
  </si>
  <si>
    <t>10.</t>
  </si>
  <si>
    <t>เป้าหมายการเบิกจ่ายรายเดือน 2568</t>
  </si>
  <si>
    <r>
      <rPr>
        <b/>
        <sz val="16"/>
        <rFont val="TH SarabunPSK"/>
        <family val="2"/>
      </rPr>
      <t xml:space="preserve">หมายถึง </t>
    </r>
    <r>
      <rPr>
        <sz val="16"/>
        <rFont val="TH SarabunPSK"/>
        <family val="2"/>
      </rPr>
      <t>ให้จัดทำเป้าหมายการเบิกจ่ายรายเดือน โดยพิจารณาให้สอดคล้องกับ</t>
    </r>
  </si>
  <si>
    <t>แยกรายภาคและสำนักงานใหญ่</t>
  </si>
  <si>
    <t>การจัดสรรทรัพย์สินลงในแต่ละภาคและสำนักงานใหญ่ ตามแบบ งป.010/3</t>
  </si>
  <si>
    <t>ประมาณการวัสดุอุปกรณ์นำเข้าจากต่างประเทศ</t>
  </si>
  <si>
    <t>ให้แสดงรายการประมาณการวัสดุอุปกรณ์นำเข้าจากต่างประเทศของแต่ละ</t>
  </si>
  <si>
    <t>แผนงานตั้งแต่ปีเริ่มต้นจนถึงปีสิ้นสุดแผนงาน และปีที่ขอตั้งงบประมาณ</t>
  </si>
  <si>
    <t>แยกประมาณการเบิกจ่ายเป็นรายเดือน ตามแบบ งป.011</t>
  </si>
  <si>
    <t>ให้ระบุผลการวิเคราะห์ผลตอบแทนการลงทุนของงาน/แผนงานทุก</t>
  </si>
  <si>
    <t>รายการเพื่อใช้เป็นข้อมูลประกอบการพิจารณางบประมาณและการกู้เงิน</t>
  </si>
  <si>
    <t>เสนอ สศช., สคร. และ สบน.</t>
  </si>
  <si>
    <t>เหตุผลและความจำเป็นของงานและแผนงาน</t>
  </si>
  <si>
    <t xml:space="preserve">การสนับสนุนต่อยุทธศาสตร์  </t>
  </si>
  <si>
    <r>
      <t xml:space="preserve">ให้ทำเครื่องหมาย </t>
    </r>
    <r>
      <rPr>
        <sz val="16"/>
        <rFont val="Wingdings"/>
        <charset val="2"/>
      </rPr>
      <t xml:space="preserve">ü </t>
    </r>
    <r>
      <rPr>
        <sz val="16"/>
        <rFont val="TH Sarabun New"/>
        <family val="2"/>
      </rPr>
      <t>ระบุว่าสอดคล้องกับยุทธศาสตร์และวัตถุประสงค์</t>
    </r>
  </si>
  <si>
    <t xml:space="preserve">และวัตถุประสงค์เชิงยุทธศาสตร์ </t>
  </si>
  <si>
    <t xml:space="preserve">เชิงยุทธศาสตร์ใดขององค์กร โดยสามารถระบุได้มากกว่า 1 ยุทธศาสตร์ </t>
  </si>
  <si>
    <t>การสนับสนุนต่อมุมมอง</t>
  </si>
  <si>
    <r>
      <rPr>
        <b/>
        <sz val="16"/>
        <rFont val="TH SarabunPSK"/>
        <family val="2"/>
      </rPr>
      <t xml:space="preserve"> - มุมมอง</t>
    </r>
    <r>
      <rPr>
        <sz val="16"/>
        <rFont val="TH SarabunPSK"/>
        <family val="2"/>
      </rPr>
      <t xml:space="preserve"> ให้ระบุว่าสอดรับกับยุทธศาสตร์ด้านใดใน BSC</t>
    </r>
  </si>
  <si>
    <t xml:space="preserve">ตาม Balanced Scorecard </t>
  </si>
  <si>
    <r>
      <rPr>
        <b/>
        <sz val="16"/>
        <rFont val="TH SarabunPSK"/>
        <family val="2"/>
      </rPr>
      <t xml:space="preserve"> - ตัวชี้วัดและเป้าหมาย</t>
    </r>
    <r>
      <rPr>
        <sz val="16"/>
        <rFont val="TH SarabunPSK"/>
        <family val="2"/>
      </rPr>
      <t xml:space="preserve"> ให้ระบุเกณฑ์วัดในการดำเนินงาน และค่าเป้าหมาย</t>
    </r>
  </si>
  <si>
    <t xml:space="preserve">  ตามที่กำหนดไว้ใน BSC</t>
  </si>
  <si>
    <t xml:space="preserve">14. </t>
  </si>
  <si>
    <t>แนวทางในการดำเนินงานของงาน/แผนงาน</t>
  </si>
  <si>
    <t>แผนการดำเนินงาน</t>
  </si>
  <si>
    <t>ให้ระบุลักษณะกิจกรรมหลักของงาน โดยแสดงปริมาณงานที่คาดว่าจะดำเนินการ</t>
  </si>
  <si>
    <t>ในปีงบประมาณจนจบแผนงาน (ถ้าทำมากกว่า 1 ปี)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</si>
  <si>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ระบุว่าจะดำเนินการเองหรือจ้างเหมาดำเนินการ</t>
    </r>
  </si>
  <si>
    <t>เป็นร้อยละเท่าไร (จ้างเหมาเฉพาะค่าแรง หรือ จ้างเหมาแบบ Turnkey)</t>
  </si>
  <si>
    <t>งบประมาณลงทุนเพื่อการดำเนินงานปกติ ที่ขอตั้งประจำปี 2568</t>
  </si>
  <si>
    <t xml:space="preserve">   1. หมวดที่ดิน</t>
  </si>
  <si>
    <t>รายละเอียดงานจัดหาที่ดิน/ปรับปรุงที่ดินตามแผนสนับสนุน</t>
  </si>
  <si>
    <t>การดำเนินงาน ลงในแบบ งป.005</t>
  </si>
  <si>
    <t xml:space="preserve">   2. หมวดสิ่งก่อสร้าง</t>
  </si>
  <si>
    <t xml:space="preserve">รายละเอียดงานโยธา ตามแผนสนับสนุนการดำเนินงาน </t>
  </si>
  <si>
    <t>ลงในแบบ งป.006</t>
  </si>
  <si>
    <t xml:space="preserve">รายละเอียดค่าวัสดุอุปกรณ์ของงานระบบไฟฟ้าลงใน </t>
  </si>
  <si>
    <t xml:space="preserve">   3. หมวดเครื่องจักรอุปกรณ์</t>
  </si>
  <si>
    <t>งานจัดหามิเตอร์และหม้อแปลงสำรองจ่ายแสดง</t>
  </si>
  <si>
    <t>รายละเอียดของอุปกรณ์ในแบบ งป.008</t>
  </si>
  <si>
    <t xml:space="preserve">   4. หมวดยานพาหนะ</t>
  </si>
  <si>
    <t>กรอกรายละเอียด ในแบบฟอร์ม งป.008</t>
  </si>
  <si>
    <t xml:space="preserve">   5. หมวดเครื่องมือเครื่องใช้ขนาดเล็ก</t>
  </si>
  <si>
    <t xml:space="preserve">   6. หมวดวิจัยและพัฒนา</t>
  </si>
  <si>
    <t>กรอกรายละเอียดครุภัณฑ์ตามแบบ งป.008</t>
  </si>
  <si>
    <t xml:space="preserve">   7. หมวดอื่น ๆ</t>
  </si>
  <si>
    <t xml:space="preserve"> 15.</t>
  </si>
  <si>
    <t>การประเมินระดับความเสี่ยงโดยระบุ</t>
  </si>
  <si>
    <t>ให้ระบุถึงปัจจัยหรือสาเหตุของความเสี่ยง เพื่อประเมินโอกาสที่จะเกิดความเสี่ยง</t>
  </si>
  <si>
    <t>ประเด็นความเสี่ยงและมิติความเสี่ยง</t>
  </si>
  <si>
    <t>(Likelihood:L) ระดับความรุนแรงของผลกระทบจากความเสี่ยง (Impact:I)</t>
  </si>
  <si>
    <t>(ที่มีความสอดคล้อง) และประเมินระดับ</t>
  </si>
  <si>
    <t>และจัดระดับความเสี่ยง (Risk Severity:LxI)</t>
  </si>
  <si>
    <t>ความเสี่ยงของแผนงาน</t>
  </si>
  <si>
    <t>แบบฟอร์ม</t>
  </si>
  <si>
    <t>หมวดที่ดิน</t>
  </si>
  <si>
    <t>ปีงบประมาณ ........2568.....................</t>
  </si>
  <si>
    <t>กลุ่มโครงสร้าง</t>
  </si>
  <si>
    <t xml:space="preserve">หน่วยงาน            </t>
  </si>
  <si>
    <t>ซื้อที่ดิน</t>
  </si>
  <si>
    <t>ปรับปรุงที่ดิน</t>
  </si>
  <si>
    <t>ชื่อการไฟฟ้า</t>
  </si>
  <si>
    <t>จำนวน</t>
  </si>
  <si>
    <t>จำนวนเงิน</t>
  </si>
  <si>
    <t>วัตถุประสงค์</t>
  </si>
  <si>
    <t>(ไร่)</t>
  </si>
  <si>
    <t>(บาท)</t>
  </si>
  <si>
    <t>เหตุผล</t>
  </si>
  <si>
    <r>
      <t>ม.</t>
    </r>
    <r>
      <rPr>
        <b/>
        <vertAlign val="superscript"/>
        <sz val="16"/>
        <rFont val="TH SarabunPSK"/>
        <family val="2"/>
      </rPr>
      <t>3</t>
    </r>
  </si>
  <si>
    <t>หมวดสิ่งก่อสร้าง</t>
  </si>
  <si>
    <t>งานโยธา</t>
  </si>
  <si>
    <t>ปีงบประมาณ ........2568........................</t>
  </si>
  <si>
    <t>ขนาด</t>
  </si>
  <si>
    <t>รายละเอียดค่าวัสดุอุปกรณ์ของงานระบบไฟฟ้า</t>
  </si>
  <si>
    <t>ปีงบประมาณ..........2568...................</t>
  </si>
  <si>
    <t>หน่วยงาน</t>
  </si>
  <si>
    <t>ราคา
ต่อหน่วย</t>
  </si>
  <si>
    <t>แหล่งที่มาของราคาที่ขอตั้งงบประมาณ</t>
  </si>
  <si>
    <t>วงเงินรวม
(บาท)</t>
  </si>
  <si>
    <t>ประมาณจ่าย</t>
  </si>
  <si>
    <t>คำชี้แจง</t>
  </si>
  <si>
    <t>ครั้งสุดท้ายเมื่อ
.................</t>
  </si>
  <si>
    <t>ท้องตลาด
เฉลี่ย 3 บริษัท</t>
  </si>
  <si>
    <t>อื่นๆ</t>
  </si>
  <si>
    <t>ปี 2569</t>
  </si>
  <si>
    <t>หมวด..............................................................</t>
  </si>
  <si>
    <t>รายละเอียดครุภัณฑ์.....................................................</t>
  </si>
  <si>
    <t>ปีงบประมาณ..........2568.......................</t>
  </si>
  <si>
    <t>วงเงินรวม</t>
  </si>
  <si>
    <r>
      <t xml:space="preserve">หมายเหตุ </t>
    </r>
    <r>
      <rPr>
        <u/>
        <sz val="16"/>
        <rFont val="TH SarabunPSK"/>
        <family val="2"/>
      </rPr>
      <t xml:space="preserve"> </t>
    </r>
  </si>
  <si>
    <t>1. หมวด ให้ระบุหมวดที่ขอตั้งงบประมาณ เช่น หมวดเครื่องจักรอุปกรณ์ ,หมวดยานพาหนะ</t>
  </si>
  <si>
    <t>2. กรณีจัดซื้อเครื่องมือเครื่องใช้ขนาดเล็ก ให้ระบุรายละเอียดครุภัณฑ์ เช่น ครุภัณฑ์สื่อสาร, ครุภัณฑ์โรงงานโรงซ่อม</t>
  </si>
  <si>
    <t>ที่ขอตั้งงบประมาณประจำปี 2568</t>
  </si>
  <si>
    <r>
      <t xml:space="preserve">กลุ่มโครงสร้าง </t>
    </r>
    <r>
      <rPr>
        <b/>
        <u/>
        <sz val="16"/>
        <rFont val="TH SarabunPSK"/>
        <family val="2"/>
      </rPr>
      <t>กลุ่มเครือข่ายและบริการ</t>
    </r>
  </si>
  <si>
    <r>
      <t xml:space="preserve">ชื่องาน </t>
    </r>
    <r>
      <rPr>
        <b/>
        <u/>
        <sz val="16"/>
        <rFont val="TH SarabunPSK"/>
        <family val="2"/>
      </rPr>
      <t>ขยายเขตระบบจำหน่ายและระบบสายส่งสำหรับผู้ใช้ไฟ</t>
    </r>
  </si>
  <si>
    <r>
      <t xml:space="preserve">หน่วยงาน </t>
    </r>
    <r>
      <rPr>
        <b/>
        <u/>
        <sz val="16"/>
        <rFont val="TH SarabunPSK"/>
        <family val="2"/>
      </rPr>
      <t>ฝวศ.</t>
    </r>
  </si>
  <si>
    <t>หน่วย : ล้านบาท(ทศนิยม 3 ตำแหน่ง)</t>
  </si>
  <si>
    <t>ขั้นตอนการดำเนินงาน</t>
  </si>
  <si>
    <t>วงเงิน</t>
  </si>
  <si>
    <t>กำหนดเวลาดำเนินการใช้เงิน</t>
  </si>
  <si>
    <t>ดำเนินการ</t>
  </si>
  <si>
    <t>ปี 2568 - ปีสิ้นสุดการเบิกจ่าย/แผนงาน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</si>
  <si>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</si>
  <si>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</si>
  <si>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</si>
  <si>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</si>
  <si>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</si>
  <si>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</si>
  <si>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</si>
  <si>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</si>
  <si>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</si>
  <si>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</si>
  <si>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</si>
  <si>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</si>
  <si>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อนุมัติหลักการ / อนุมัติสเปค</t>
  </si>
  <si>
    <t>การดำเนินการจัดซื้อจัดจ้าง</t>
  </si>
  <si>
    <t xml:space="preserve"> - จัดทำเอกสารประกวดราคา/สอบราคา</t>
  </si>
  <si>
    <t xml:space="preserve"> - ประกวดราคา /สอบราคา</t>
  </si>
  <si>
    <t xml:space="preserve"> - อนุมัติจัดซื้อ / จัดจ้าง</t>
  </si>
  <si>
    <t xml:space="preserve"> - ทำสัญญา</t>
  </si>
  <si>
    <t>ส่งของ / ดำเนินการก่อสร้าง</t>
  </si>
  <si>
    <t>ตรวจรับและทดสอบ</t>
  </si>
  <si>
    <t>เบิกจ่ายเงิน(ล้านบาท)</t>
  </si>
  <si>
    <t xml:space="preserve"> - ค่าวัสดุอุปกรณ์</t>
  </si>
  <si>
    <t>ร้อยละการเบิกจ่าย</t>
  </si>
  <si>
    <t>หน่วยงานผู้รับผิดชอบดำเนินการ</t>
  </si>
  <si>
    <t>พัสดุหลัก</t>
  </si>
  <si>
    <t>กจต. และ กผภ.</t>
  </si>
  <si>
    <t>พัสดุรอง</t>
  </si>
  <si>
    <t>กจน. และ กฟฟ.. ทั้ง 12 เขต</t>
  </si>
  <si>
    <t>สำรองเพื่อการปรับแผนจัดหา</t>
  </si>
  <si>
    <t>ฝรฟ.</t>
  </si>
  <si>
    <t xml:space="preserve"> - ค่าใช้จ่ายหน้างาน</t>
  </si>
  <si>
    <t>กฟฟ.. ทั้ง 12 เขต</t>
  </si>
  <si>
    <t>(ระบุวงเงินแต่ละเดือนให้ชัดเจน)</t>
  </si>
  <si>
    <t>หมายเหตุ</t>
  </si>
  <si>
    <t>1. ให้แสดง Workflow สถานะการดำเนินงานตามขั้นตอนต่าง ๆ เป็นรายเดือนตั้งแต่ปีที่ตั้งงบประมาณจนสิ้นสุดแผนงาน</t>
  </si>
  <si>
    <t>2. การประมาณเบิกจ่ายรายเดือน แยกรายละเอียด การจัดซื้ออุปกรณ์, ค่าใช้จ่ายหน้างาน, ค่าจ้างเหมาก่อสร้าง สำหรับสำรองค่าปรับราคา ไม่ต้องประมาณจ่าย</t>
  </si>
  <si>
    <t>3. สำหรับแผนงานที่ได้รับอนุมัติแล้ว ให้แสดง work flow ตั้งแต่เริ่มแผนจนสิ้นสุดแผนงงาน</t>
  </si>
  <si>
    <t>แผนการลงทุนรายปี (การลงทุนเพื่อการดำเนินงานปกติ)</t>
  </si>
  <si>
    <t>กลุ่มโครงสร้าง..............................................</t>
  </si>
  <si>
    <t>ชื่องาน...................................</t>
  </si>
  <si>
    <t xml:space="preserve">หน่วยงาน............................................                 </t>
  </si>
  <si>
    <t>วงเงินลงทุน</t>
  </si>
  <si>
    <t>ปีที่เริ่มต้น-ถึงปี 2566</t>
  </si>
  <si>
    <t>ปี 2567</t>
  </si>
  <si>
    <t>ปี 2570</t>
  </si>
  <si>
    <t>ปี 2571</t>
  </si>
  <si>
    <t>ปี 2572-สิ้นสุดแผนงาน</t>
  </si>
  <si>
    <t>1. หมวดที่ดิน</t>
  </si>
  <si>
    <t xml:space="preserve">   งานโยธา</t>
  </si>
  <si>
    <t>3. หมวดเครื่องจักรอุปกรณ์</t>
  </si>
  <si>
    <t>4. หมวดยานพาหนะ</t>
  </si>
  <si>
    <t>5. หมวดเครื่องมือเครื่องใช้ขนาดเล็ก</t>
  </si>
  <si>
    <t xml:space="preserve">6. หมวดวิจัยและพัฒนา </t>
  </si>
  <si>
    <t xml:space="preserve">7. หมวดอื่น ๆ </t>
  </si>
  <si>
    <t>สำรองค่าปรับราคา(กรณีแผนระยะยาว)</t>
  </si>
  <si>
    <t xml:space="preserve">หมายเหตุ* </t>
  </si>
  <si>
    <t xml:space="preserve">1. วงเงินลงทุนรวมต้องเท่ากับวงเงินเต็มแผนงาน </t>
  </si>
  <si>
    <t>2. สำรองค่าปรับราคา เป็นการตั้งวงเงินสำหรับสมทบการจัดซื้อ จัดจ้าง/จ้างเหมา กรณีเป็นแผนงานใหม่ จะเริ่มตั้งสำรองราคาปี 2569 จนสิ้นสุดแผน</t>
  </si>
  <si>
    <t>ลงทุน+ผูกพัน</t>
  </si>
  <si>
    <t>ลงทุน</t>
  </si>
  <si>
    <t>หน่วย : ล้านบาท</t>
  </si>
  <si>
    <t>วงเงินเต็ม
แผนงาน</t>
  </si>
  <si>
    <t>อนุมัติถึง 
ปี 2565</t>
  </si>
  <si>
    <t>จ่ายจริงถึง 
ปี 2565</t>
  </si>
  <si>
    <t>ปี 2566</t>
  </si>
  <si>
    <t>งบประมาณ</t>
  </si>
  <si>
    <t>เบิกจ่ายจริง</t>
  </si>
  <si>
    <t>ผูกพัน</t>
  </si>
  <si>
    <t>งานระบบไฟฟ้า</t>
  </si>
  <si>
    <t>-</t>
  </si>
  <si>
    <t xml:space="preserve"> - ค่าสำรวจออกแบบและควบคุม</t>
  </si>
  <si>
    <t xml:space="preserve"> - ค่าเบ็ดเตล็ต</t>
  </si>
  <si>
    <t xml:space="preserve"> - อื่น ๆ</t>
  </si>
  <si>
    <t>3. หมวดเครื่องอุปกรณ์ไฟฟ้า</t>
  </si>
  <si>
    <t>6. หมวดวิจัยและพัฒนา</t>
  </si>
  <si>
    <t>7. หมวดอื่น ๆ</t>
  </si>
  <si>
    <t>สำรองค่าปรับราคา</t>
  </si>
  <si>
    <t>แบบ งป. 010/3</t>
  </si>
  <si>
    <t>หน่วยงาน...................................................................</t>
  </si>
  <si>
    <t>งาน/แผนงาน.............................................................</t>
  </si>
  <si>
    <t>ชุด (ผูกพัน+ลงทุน)</t>
  </si>
  <si>
    <t>หน่วย: ล้านบาท</t>
  </si>
  <si>
    <t>ลำดับ
ที่</t>
  </si>
  <si>
    <t>ศูนย์การไฟฟ้า</t>
  </si>
  <si>
    <t>ประมาณจ่ายปี 2568</t>
  </si>
  <si>
    <t xml:space="preserve">การไฟฟ้าภาค 1 </t>
  </si>
  <si>
    <t>การไฟฟ้าภาค 2</t>
  </si>
  <si>
    <t>การไฟฟ้าภาค 3</t>
  </si>
  <si>
    <t xml:space="preserve">การไฟฟ้าภาค 4 </t>
  </si>
  <si>
    <t xml:space="preserve">  สำนักงานใหญ่</t>
  </si>
  <si>
    <r>
      <rPr>
        <b/>
        <u/>
        <sz val="14"/>
        <rFont val="TH SarabunPSK"/>
        <family val="2"/>
      </rPr>
      <t>หมายเหตุ</t>
    </r>
    <r>
      <rPr>
        <sz val="14"/>
        <rFont val="TH SarabunPSK"/>
        <family val="2"/>
      </rPr>
      <t xml:space="preserve">      - ดำเนินการภายหลังจากได้รับอนุมัติงบประมาณประจำปีจากคณะกรรมการ กฟภ. แล้ว</t>
    </r>
  </si>
  <si>
    <t xml:space="preserve">                   - ประมาณจ่ายแบ่งตามพื้นที่ดำเนินการ (ภาค 1-4 , สำนักงานใหญ่)</t>
  </si>
  <si>
    <t>ประมาณการวัสดุอุปกรณ์นำเข้าจากต่างประเทศ (Import Content)</t>
  </si>
  <si>
    <t>ประจำปี .......2568...............</t>
  </si>
  <si>
    <t>ชื่องาน.................................................</t>
  </si>
  <si>
    <t>ปีเริ่มต้น - 
ปี 2565</t>
  </si>
  <si>
    <t>ปี 2570 - 
ปีสิ้นสุด</t>
  </si>
  <si>
    <t>ประมาณการเบิกจ่ายรายเดือน</t>
  </si>
  <si>
    <t>ทางตรง</t>
  </si>
  <si>
    <t>ทางอ้อม</t>
  </si>
  <si>
    <t>หมายถึง การจัดซื้อจัดหาผ่านตัวแทนจำหน่าย</t>
  </si>
  <si>
    <t>หรือผ่านผู้รับเหมา</t>
  </si>
  <si>
    <r>
      <t>หมายเหตุ</t>
    </r>
    <r>
      <rPr>
        <u/>
        <sz val="14"/>
        <rFont val="TH SarabunPSK"/>
        <family val="2"/>
      </rPr>
      <t xml:space="preserve">  </t>
    </r>
  </si>
  <si>
    <t>วัสดุอุปกรณ์นำเข้าจากต่างประเทศ (Import Content) หมายถึง การใช้หรือการนำเข้าพัสดุที่ผลิตสำเร็จรูปแล้วจากต่างประเทศ</t>
  </si>
  <si>
    <t>ไม่ว่าจะนำเข้าโดยคู่สัญญาหรือบุคคลอื่นใด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</si>
</sst>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0.0"/>
    <numFmt numFmtId="166" formatCode="_-* #,##0.000_-;\-* #,##0.000_-;_-* &quot;-&quot;??_-;_-@_-"/>
    <numFmt numFmtId="167" formatCode="_-* #,##0.00_-;\-* #,##0.00_-;_-* &quot;-&quot;??_-;_-@"/>
    <numFmt numFmtId="168" formatCode="_-* #,##0_-;\-* #,##0_-;_-* &quot;-&quot;??_-;_-@_-"/>
    <numFmt numFmtId="169" formatCode="_-* #,##0.000_-;\-* #,##0.000_-;_-* &quot;-&quot;???_-;_-@_-"/>
    <numFmt numFmtId="170" formatCode="0.000%"/>
    <numFmt numFmtId="171" formatCode="#,##0.000"/>
  </numFmts>
  <fonts count="40">
    <font>
      <sz val="14"/>
      <name val="Cordia New"/>
      <charset val="222"/>
    </font>
    <font>
      <sz val="11"/>
      <color theme="1"/>
      <name val="Tahoma"/>
      <family val="2"/>
      <charset val="222"/>
      <scheme val="minor"/>
    </font>
    <font>
      <sz val="8"/>
      <name val="Cordia New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6"/>
      <name val="Wingdings"/>
      <charset val="2"/>
    </font>
    <font>
      <b/>
      <sz val="22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b/>
      <u/>
      <sz val="16"/>
      <name val="TH SarabunPSK"/>
      <family val="2"/>
    </font>
    <font>
      <sz val="16"/>
      <color indexed="36"/>
      <name val="TH SarabunPSK"/>
      <family val="2"/>
    </font>
    <font>
      <b/>
      <sz val="50"/>
      <name val="TH SarabunPSK"/>
      <family val="2"/>
    </font>
    <font>
      <b/>
      <sz val="20"/>
      <name val="TH SarabunPSK"/>
      <family val="2"/>
    </font>
    <font>
      <b/>
      <vertAlign val="superscript"/>
      <sz val="16"/>
      <name val="TH SarabunPSK"/>
      <family val="2"/>
    </font>
    <font>
      <u/>
      <sz val="16"/>
      <name val="TH SarabunPSK"/>
      <family val="2"/>
    </font>
    <font>
      <b/>
      <sz val="18"/>
      <name val="TH SarabunPSK"/>
      <family val="2"/>
    </font>
    <font>
      <u/>
      <sz val="14"/>
      <color indexed="8"/>
      <name val="TH SarabunPSK"/>
      <family val="2"/>
    </font>
    <font>
      <u/>
      <sz val="14"/>
      <name val="TH SarabunPSK"/>
      <family val="2"/>
    </font>
    <font>
      <b/>
      <sz val="42"/>
      <name val="TH SarabunPSK"/>
      <family val="2"/>
    </font>
    <font>
      <sz val="16"/>
      <name val="Wingdings"/>
      <charset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4"/>
      <name val="Cordia New"/>
      <family val="2"/>
    </font>
    <font>
      <sz val="10"/>
      <name val="Arial"/>
      <family val="2"/>
      <charset val="222"/>
    </font>
    <font>
      <sz val="16"/>
      <name val="TH Sarabun New"/>
      <family val="2"/>
    </font>
    <font>
      <sz val="16"/>
      <name val="TH SarabunIT๙"/>
      <family val="2"/>
    </font>
    <font>
      <sz val="10"/>
      <name val="Arial"/>
      <family val="2"/>
    </font>
    <font>
      <sz val="11"/>
      <color theme="1"/>
      <name val="AngsanaUPC"/>
      <family val="2"/>
      <charset val="222"/>
    </font>
    <font>
      <sz val="14"/>
      <color theme="1"/>
      <name val="AngsanaUPC"/>
      <family val="1"/>
    </font>
    <font>
      <sz val="14"/>
      <name val="AngsanaUPC"/>
      <family val="1"/>
      <charset val="222"/>
    </font>
    <font>
      <sz val="16"/>
      <color theme="1"/>
      <name val="AngsanaUPC"/>
      <family val="1"/>
    </font>
    <font>
      <sz val="16"/>
      <name val="AngsanaUPC"/>
      <family val="1"/>
      <charset val="222"/>
    </font>
    <font>
      <b/>
      <sz val="16"/>
      <color rgb="FF000000"/>
      <name val="TH SarabunPSK"/>
    </font>
    <font>
      <sz val="16"/>
      <color rgb="FF000000"/>
      <name val="TH SarabunPSK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64" fontId="28" fillId="0" borderId="0" applyFont="0" applyFill="0" applyBorder="0" applyAlignment="0" applyProtection="0"/>
    <xf numFmtId="0" fontId="28" fillId="0" borderId="0">
      <alignment vertical="top"/>
    </xf>
    <xf numFmtId="0" fontId="32" fillId="0" borderId="0"/>
    <xf numFmtId="0" fontId="33" fillId="0" borderId="0"/>
  </cellStyleXfs>
  <cellXfs count="379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/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10" fillId="0" borderId="7" xfId="0" applyFont="1" applyBorder="1"/>
    <xf numFmtId="0" fontId="10" fillId="0" borderId="6" xfId="0" applyFont="1" applyBorder="1"/>
    <xf numFmtId="0" fontId="10" fillId="0" borderId="5" xfId="0" applyFont="1" applyBorder="1"/>
    <xf numFmtId="0" fontId="10" fillId="0" borderId="10" xfId="0" applyFont="1" applyBorder="1"/>
    <xf numFmtId="0" fontId="10" fillId="0" borderId="4" xfId="0" applyFont="1" applyBorder="1"/>
    <xf numFmtId="0" fontId="10" fillId="0" borderId="2" xfId="0" applyFont="1" applyBorder="1"/>
    <xf numFmtId="0" fontId="10" fillId="0" borderId="11" xfId="0" applyFont="1" applyBorder="1"/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4" xfId="0" applyFont="1" applyBorder="1"/>
    <xf numFmtId="0" fontId="5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/>
    <xf numFmtId="0" fontId="5" fillId="0" borderId="6" xfId="0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11" xfId="0" applyFont="1" applyBorder="1"/>
    <xf numFmtId="0" fontId="12" fillId="0" borderId="10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3" xfId="0" applyFont="1" applyBorder="1"/>
    <xf numFmtId="0" fontId="5" fillId="0" borderId="2" xfId="0" applyFont="1" applyBorder="1"/>
    <xf numFmtId="0" fontId="4" fillId="0" borderId="11" xfId="0" applyFont="1" applyBorder="1" applyAlignment="1">
      <alignment horizontal="center"/>
    </xf>
    <xf numFmtId="0" fontId="4" fillId="0" borderId="3" xfId="0" applyFont="1" applyBorder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quotePrefix="1" applyFont="1"/>
    <xf numFmtId="0" fontId="4" fillId="0" borderId="13" xfId="0" applyFont="1" applyBorder="1" applyAlignment="1">
      <alignment horizontal="center" vertical="center"/>
    </xf>
    <xf numFmtId="0" fontId="4" fillId="0" borderId="6" xfId="0" quotePrefix="1" applyFont="1" applyBorder="1"/>
    <xf numFmtId="2" fontId="4" fillId="0" borderId="8" xfId="0" applyNumberFormat="1" applyFont="1" applyBorder="1"/>
    <xf numFmtId="0" fontId="5" fillId="0" borderId="0" xfId="0" quotePrefix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0" borderId="15" xfId="0" applyFont="1" applyBorder="1"/>
    <xf numFmtId="0" fontId="10" fillId="0" borderId="13" xfId="0" applyFont="1" applyBorder="1"/>
    <xf numFmtId="0" fontId="4" fillId="0" borderId="0" xfId="0" quotePrefix="1" applyFont="1" applyAlignment="1">
      <alignment horizontal="left"/>
    </xf>
    <xf numFmtId="0" fontId="1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2" fillId="0" borderId="0" xfId="0" applyFont="1"/>
    <xf numFmtId="0" fontId="5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11" fillId="0" borderId="0" xfId="0" applyFont="1"/>
    <xf numFmtId="0" fontId="9" fillId="0" borderId="0" xfId="0" applyFont="1" applyAlignment="1">
      <alignment horizontal="left"/>
    </xf>
    <xf numFmtId="0" fontId="5" fillId="0" borderId="10" xfId="0" applyFont="1" applyBorder="1"/>
    <xf numFmtId="0" fontId="5" fillId="0" borderId="5" xfId="0" applyFont="1" applyBorder="1"/>
    <xf numFmtId="0" fontId="18" fillId="0" borderId="4" xfId="0" applyFont="1" applyBorder="1" applyAlignment="1">
      <alignment horizontal="center"/>
    </xf>
    <xf numFmtId="0" fontId="19" fillId="0" borderId="0" xfId="0" applyFont="1"/>
    <xf numFmtId="2" fontId="5" fillId="0" borderId="0" xfId="0" applyNumberFormat="1" applyFont="1"/>
    <xf numFmtId="164" fontId="4" fillId="0" borderId="0" xfId="1" applyFont="1" applyAlignment="1"/>
    <xf numFmtId="0" fontId="23" fillId="0" borderId="0" xfId="0" applyFont="1"/>
    <xf numFmtId="0" fontId="24" fillId="0" borderId="0" xfId="0" applyFont="1"/>
    <xf numFmtId="0" fontId="5" fillId="0" borderId="0" xfId="0" applyFont="1" applyAlignment="1">
      <alignment horizontal="left" vertical="top"/>
    </xf>
    <xf numFmtId="0" fontId="12" fillId="0" borderId="0" xfId="0" quotePrefix="1" applyFont="1"/>
    <xf numFmtId="0" fontId="3" fillId="0" borderId="0" xfId="2"/>
    <xf numFmtId="0" fontId="25" fillId="0" borderId="0" xfId="2" applyFont="1" applyAlignment="1">
      <alignment horizontal="center" vertical="center"/>
    </xf>
    <xf numFmtId="0" fontId="25" fillId="0" borderId="0" xfId="2" applyFont="1" applyAlignment="1">
      <alignment horizontal="right" vertical="center"/>
    </xf>
    <xf numFmtId="0" fontId="25" fillId="0" borderId="8" xfId="2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6" fillId="0" borderId="15" xfId="2" applyFont="1" applyBorder="1" applyAlignment="1">
      <alignment horizontal="center" vertical="center"/>
    </xf>
    <xf numFmtId="0" fontId="26" fillId="0" borderId="5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8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9" fillId="0" borderId="0" xfId="0" applyFont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5" fillId="0" borderId="20" xfId="0" applyFont="1" applyBorder="1" applyAlignment="1">
      <alignment horizontal="center"/>
    </xf>
    <xf numFmtId="0" fontId="4" fillId="0" borderId="22" xfId="0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8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quotePrefix="1" applyFont="1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textRotation="180"/>
    </xf>
    <xf numFmtId="0" fontId="5" fillId="0" borderId="0" xfId="0" applyFont="1" applyAlignment="1">
      <alignment textRotation="180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4"/>
    </xf>
    <xf numFmtId="0" fontId="4" fillId="0" borderId="0" xfId="0" applyFont="1" applyAlignment="1">
      <alignment horizontal="left" vertical="top" indent="4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9" fillId="0" borderId="0" xfId="5" applyFont="1">
      <alignment vertical="top"/>
    </xf>
    <xf numFmtId="0" fontId="10" fillId="0" borderId="0" xfId="5" applyFont="1">
      <alignment vertical="top"/>
    </xf>
    <xf numFmtId="0" fontId="9" fillId="0" borderId="0" xfId="5" applyFont="1" applyAlignment="1">
      <alignment horizontal="right"/>
    </xf>
    <xf numFmtId="0" fontId="10" fillId="0" borderId="0" xfId="5" applyFont="1" applyAlignment="1"/>
    <xf numFmtId="0" fontId="9" fillId="0" borderId="0" xfId="5" applyFont="1" applyAlignment="1">
      <alignment horizontal="left"/>
    </xf>
    <xf numFmtId="0" fontId="10" fillId="0" borderId="0" xfId="5" applyFont="1" applyAlignment="1">
      <alignment horizontal="right"/>
    </xf>
    <xf numFmtId="0" fontId="9" fillId="0" borderId="1" xfId="5" applyFont="1" applyBorder="1" applyAlignment="1">
      <alignment horizontal="center" vertical="center"/>
    </xf>
    <xf numFmtId="0" fontId="9" fillId="0" borderId="0" xfId="5" applyFont="1" applyAlignment="1"/>
    <xf numFmtId="0" fontId="9" fillId="0" borderId="6" xfId="5" applyFont="1" applyBorder="1">
      <alignment vertical="top"/>
    </xf>
    <xf numFmtId="0" fontId="9" fillId="0" borderId="5" xfId="5" applyFont="1" applyBorder="1">
      <alignment vertical="top"/>
    </xf>
    <xf numFmtId="0" fontId="9" fillId="0" borderId="1" xfId="5" applyFont="1" applyBorder="1">
      <alignment vertical="top"/>
    </xf>
    <xf numFmtId="0" fontId="9" fillId="0" borderId="6" xfId="5" applyFont="1" applyBorder="1" applyAlignment="1">
      <alignment horizontal="center" vertical="center"/>
    </xf>
    <xf numFmtId="0" fontId="9" fillId="0" borderId="6" xfId="5" applyFont="1" applyBorder="1" applyAlignment="1">
      <alignment horizontal="left" vertical="center" indent="1"/>
    </xf>
    <xf numFmtId="166" fontId="10" fillId="0" borderId="6" xfId="4" applyNumberFormat="1" applyFont="1" applyBorder="1" applyAlignment="1">
      <alignment vertical="top"/>
    </xf>
    <xf numFmtId="166" fontId="10" fillId="0" borderId="5" xfId="4" applyNumberFormat="1" applyFont="1" applyBorder="1" applyAlignment="1">
      <alignment vertical="top"/>
    </xf>
    <xf numFmtId="166" fontId="10" fillId="0" borderId="0" xfId="4" applyNumberFormat="1" applyFont="1" applyBorder="1" applyAlignment="1">
      <alignment vertical="top"/>
    </xf>
    <xf numFmtId="166" fontId="29" fillId="0" borderId="27" xfId="4" applyNumberFormat="1" applyFont="1" applyFill="1" applyBorder="1" applyProtection="1">
      <protection hidden="1"/>
    </xf>
    <xf numFmtId="166" fontId="29" fillId="0" borderId="28" xfId="4" applyNumberFormat="1" applyFont="1" applyFill="1" applyBorder="1" applyProtection="1">
      <protection hidden="1"/>
    </xf>
    <xf numFmtId="0" fontId="9" fillId="0" borderId="5" xfId="5" applyFont="1" applyBorder="1" applyAlignment="1">
      <alignment horizontal="center" vertical="center"/>
    </xf>
    <xf numFmtId="0" fontId="9" fillId="0" borderId="6" xfId="5" applyFont="1" applyBorder="1" applyAlignment="1">
      <alignment horizontal="left" vertical="center"/>
    </xf>
    <xf numFmtId="0" fontId="10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 applyProtection="1">
      <alignment horizontal="righ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2" fontId="5" fillId="0" borderId="0" xfId="0" applyNumberFormat="1" applyFont="1" applyAlignment="1">
      <alignment horizontal="left"/>
    </xf>
    <xf numFmtId="0" fontId="5" fillId="0" borderId="0" xfId="0" applyFont="1" applyAlignment="1" applyProtection="1">
      <alignment horizontal="right"/>
      <protection locked="0"/>
    </xf>
    <xf numFmtId="0" fontId="4" fillId="7" borderId="0" xfId="0" applyFont="1" applyFill="1"/>
    <xf numFmtId="0" fontId="4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2" xfId="0" applyFont="1" applyBorder="1" applyAlignment="1">
      <alignment horizontal="center" vertical="top"/>
    </xf>
    <xf numFmtId="167" fontId="26" fillId="0" borderId="0" xfId="0" applyNumberFormat="1" applyFont="1" applyAlignment="1">
      <alignment horizontal="left" vertical="center"/>
    </xf>
    <xf numFmtId="0" fontId="4" fillId="0" borderId="13" xfId="0" applyFont="1" applyBorder="1" applyAlignment="1">
      <alignment horizontal="left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left" indent="2"/>
    </xf>
    <xf numFmtId="0" fontId="5" fillId="0" borderId="0" xfId="0" quotePrefix="1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4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2" fontId="5" fillId="0" borderId="0" xfId="0" quotePrefix="1" applyNumberFormat="1" applyFont="1" applyAlignment="1">
      <alignment horizontal="center" vertical="center"/>
    </xf>
    <xf numFmtId="2" fontId="5" fillId="0" borderId="0" xfId="0" applyNumberFormat="1" applyFont="1" applyAlignment="1">
      <alignment vertical="top"/>
    </xf>
    <xf numFmtId="0" fontId="25" fillId="0" borderId="1" xfId="2" applyFont="1" applyBorder="1" applyAlignment="1">
      <alignment horizontal="left" vertical="center"/>
    </xf>
    <xf numFmtId="0" fontId="25" fillId="0" borderId="5" xfId="2" applyFont="1" applyBorder="1" applyAlignment="1">
      <alignment horizontal="left" vertical="center"/>
    </xf>
    <xf numFmtId="0" fontId="25" fillId="0" borderId="5" xfId="2" applyFont="1" applyBorder="1" applyAlignment="1">
      <alignment horizontal="left" vertical="center" indent="2"/>
    </xf>
    <xf numFmtId="0" fontId="25" fillId="0" borderId="5" xfId="2" applyFont="1" applyBorder="1" applyAlignment="1">
      <alignment horizontal="left" vertical="center" indent="3"/>
    </xf>
    <xf numFmtId="0" fontId="25" fillId="0" borderId="5" xfId="2" applyFont="1" applyBorder="1" applyAlignment="1">
      <alignment horizontal="center" vertical="center"/>
    </xf>
    <xf numFmtId="0" fontId="25" fillId="0" borderId="4" xfId="2" applyFont="1" applyBorder="1" applyAlignment="1">
      <alignment horizontal="center" vertical="center"/>
    </xf>
    <xf numFmtId="166" fontId="29" fillId="0" borderId="29" xfId="4" applyNumberFormat="1" applyFont="1" applyFill="1" applyBorder="1" applyProtection="1">
      <protection hidden="1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/>
    </xf>
    <xf numFmtId="168" fontId="4" fillId="0" borderId="5" xfId="0" applyNumberFormat="1" applyFont="1" applyBorder="1"/>
    <xf numFmtId="168" fontId="4" fillId="0" borderId="6" xfId="0" applyNumberFormat="1" applyFont="1" applyBorder="1"/>
    <xf numFmtId="168" fontId="4" fillId="0" borderId="5" xfId="1" applyNumberFormat="1" applyFont="1" applyBorder="1" applyAlignment="1">
      <alignment horizontal="center"/>
    </xf>
    <xf numFmtId="168" fontId="4" fillId="0" borderId="0" xfId="1" applyNumberFormat="1" applyFont="1" applyBorder="1" applyAlignment="1">
      <alignment horizontal="center"/>
    </xf>
    <xf numFmtId="168" fontId="4" fillId="0" borderId="12" xfId="1" applyNumberFormat="1" applyFont="1" applyBorder="1" applyAlignment="1">
      <alignment horizontal="center"/>
    </xf>
    <xf numFmtId="168" fontId="4" fillId="0" borderId="8" xfId="1" applyNumberFormat="1" applyFont="1" applyBorder="1" applyAlignment="1">
      <alignment horizontal="center"/>
    </xf>
    <xf numFmtId="168" fontId="5" fillId="0" borderId="12" xfId="1" applyNumberFormat="1" applyFont="1" applyBorder="1" applyAlignment="1">
      <alignment horizontal="center"/>
    </xf>
    <xf numFmtId="168" fontId="5" fillId="0" borderId="8" xfId="1" applyNumberFormat="1" applyFont="1" applyBorder="1" applyAlignment="1">
      <alignment horizontal="center"/>
    </xf>
    <xf numFmtId="0" fontId="10" fillId="0" borderId="5" xfId="6" applyFont="1" applyBorder="1" applyAlignment="1">
      <alignment horizontal="center"/>
    </xf>
    <xf numFmtId="0" fontId="9" fillId="4" borderId="0" xfId="6" applyFont="1" applyFill="1"/>
    <xf numFmtId="169" fontId="10" fillId="4" borderId="5" xfId="6" applyNumberFormat="1" applyFont="1" applyFill="1" applyBorder="1"/>
    <xf numFmtId="169" fontId="34" fillId="4" borderId="0" xfId="7" applyNumberFormat="1" applyFont="1" applyFill="1"/>
    <xf numFmtId="169" fontId="34" fillId="4" borderId="5" xfId="7" applyNumberFormat="1" applyFont="1" applyFill="1" applyBorder="1"/>
    <xf numFmtId="0" fontId="10" fillId="0" borderId="0" xfId="6" applyFont="1"/>
    <xf numFmtId="169" fontId="10" fillId="0" borderId="5" xfId="6" applyNumberFormat="1" applyFont="1" applyBorder="1"/>
    <xf numFmtId="169" fontId="35" fillId="0" borderId="5" xfId="6" applyNumberFormat="1" applyFont="1" applyBorder="1"/>
    <xf numFmtId="0" fontId="10" fillId="0" borderId="0" xfId="6" applyFont="1" applyAlignment="1">
      <alignment horizontal="left"/>
    </xf>
    <xf numFmtId="0" fontId="10" fillId="0" borderId="5" xfId="6" applyFont="1" applyBorder="1"/>
    <xf numFmtId="0" fontId="20" fillId="0" borderId="0" xfId="6" applyFont="1" applyAlignment="1">
      <alignment horizontal="left"/>
    </xf>
    <xf numFmtId="0" fontId="10" fillId="0" borderId="0" xfId="6" applyFont="1" applyAlignment="1">
      <alignment horizontal="center"/>
    </xf>
    <xf numFmtId="0" fontId="10" fillId="4" borderId="0" xfId="6" applyFont="1" applyFill="1" applyAlignment="1">
      <alignment horizontal="center"/>
    </xf>
    <xf numFmtId="0" fontId="10" fillId="0" borderId="4" xfId="6" applyFont="1" applyBorder="1"/>
    <xf numFmtId="0" fontId="10" fillId="0" borderId="11" xfId="6" applyFont="1" applyBorder="1"/>
    <xf numFmtId="169" fontId="4" fillId="4" borderId="5" xfId="6" applyNumberFormat="1" applyFont="1" applyFill="1" applyBorder="1"/>
    <xf numFmtId="169" fontId="36" fillId="4" borderId="0" xfId="7" applyNumberFormat="1" applyFont="1" applyFill="1"/>
    <xf numFmtId="169" fontId="36" fillId="4" borderId="5" xfId="7" applyNumberFormat="1" applyFont="1" applyFill="1" applyBorder="1"/>
    <xf numFmtId="164" fontId="26" fillId="4" borderId="5" xfId="7" applyNumberFormat="1" applyFont="1" applyFill="1" applyBorder="1"/>
    <xf numFmtId="164" fontId="4" fillId="4" borderId="5" xfId="6" applyNumberFormat="1" applyFont="1" applyFill="1" applyBorder="1"/>
    <xf numFmtId="169" fontId="4" fillId="0" borderId="5" xfId="6" applyNumberFormat="1" applyFont="1" applyBorder="1"/>
    <xf numFmtId="169" fontId="37" fillId="0" borderId="5" xfId="6" applyNumberFormat="1" applyFont="1" applyBorder="1"/>
    <xf numFmtId="170" fontId="4" fillId="0" borderId="5" xfId="6" applyNumberFormat="1" applyFont="1" applyBorder="1"/>
    <xf numFmtId="3" fontId="4" fillId="0" borderId="12" xfId="0" applyNumberFormat="1" applyFont="1" applyBorder="1"/>
    <xf numFmtId="3" fontId="5" fillId="0" borderId="12" xfId="0" applyNumberFormat="1" applyFont="1" applyBorder="1"/>
    <xf numFmtId="171" fontId="26" fillId="0" borderId="5" xfId="2" applyNumberFormat="1" applyFont="1" applyBorder="1" applyAlignment="1">
      <alignment horizontal="center" vertical="center"/>
    </xf>
    <xf numFmtId="171" fontId="26" fillId="0" borderId="0" xfId="2" applyNumberFormat="1" applyFont="1" applyAlignment="1">
      <alignment horizontal="center" vertical="center"/>
    </xf>
    <xf numFmtId="171" fontId="26" fillId="0" borderId="8" xfId="2" applyNumberFormat="1" applyFont="1" applyBorder="1" applyAlignment="1">
      <alignment horizontal="center" vertical="center"/>
    </xf>
    <xf numFmtId="171" fontId="26" fillId="0" borderId="5" xfId="2" quotePrefix="1" applyNumberFormat="1" applyFont="1" applyBorder="1" applyAlignment="1">
      <alignment horizontal="center" vertical="center"/>
    </xf>
    <xf numFmtId="171" fontId="26" fillId="0" borderId="8" xfId="2" quotePrefix="1" applyNumberFormat="1" applyFont="1" applyBorder="1" applyAlignment="1">
      <alignment horizontal="center" vertical="center"/>
    </xf>
    <xf numFmtId="166" fontId="26" fillId="4" borderId="5" xfId="7" applyNumberFormat="1" applyFont="1" applyFill="1" applyBorder="1"/>
    <xf numFmtId="0" fontId="38" fillId="0" borderId="0" xfId="0" applyFont="1"/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top"/>
      <protection locked="0"/>
    </xf>
    <xf numFmtId="0" fontId="18" fillId="0" borderId="15" xfId="0" applyFont="1" applyBorder="1" applyAlignment="1" applyProtection="1">
      <alignment horizontal="center" vertical="top"/>
      <protection locked="0"/>
    </xf>
    <xf numFmtId="0" fontId="18" fillId="0" borderId="13" xfId="0" applyFont="1" applyBorder="1" applyAlignment="1" applyProtection="1">
      <alignment horizontal="center" vertical="top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 applyProtection="1">
      <alignment horizontal="left" vertical="top"/>
      <protection locked="0"/>
    </xf>
    <xf numFmtId="0" fontId="4" fillId="0" borderId="11" xfId="0" applyFont="1" applyBorder="1" applyAlignment="1">
      <alignment horizontal="left" vertical="top" wrapText="1"/>
    </xf>
    <xf numFmtId="9" fontId="4" fillId="0" borderId="15" xfId="0" applyNumberFormat="1" applyFont="1" applyBorder="1" applyAlignment="1">
      <alignment horizontal="center" vertical="top" wrapText="1"/>
    </xf>
    <xf numFmtId="9" fontId="4" fillId="0" borderId="0" xfId="0" applyNumberFormat="1" applyFont="1" applyAlignment="1">
      <alignment horizontal="center" vertical="top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8" fontId="4" fillId="0" borderId="6" xfId="1" applyNumberFormat="1" applyFont="1" applyBorder="1" applyAlignment="1">
      <alignment horizontal="center"/>
    </xf>
    <xf numFmtId="168" fontId="4" fillId="0" borderId="7" xfId="1" applyNumberFormat="1" applyFont="1" applyBorder="1" applyAlignment="1">
      <alignment horizontal="center"/>
    </xf>
    <xf numFmtId="168" fontId="5" fillId="0" borderId="12" xfId="1" applyNumberFormat="1" applyFont="1" applyBorder="1" applyAlignment="1">
      <alignment horizontal="center"/>
    </xf>
    <xf numFmtId="168" fontId="5" fillId="0" borderId="9" xfId="1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 indent="4"/>
    </xf>
    <xf numFmtId="0" fontId="4" fillId="0" borderId="0" xfId="0" applyFont="1" applyAlignment="1">
      <alignment horizontal="left" vertical="top" indent="4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0" fontId="10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textRotation="180"/>
    </xf>
    <xf numFmtId="0" fontId="18" fillId="0" borderId="0" xfId="0" applyFont="1" applyAlignment="1">
      <alignment horizontal="left" vertical="top" textRotation="180"/>
    </xf>
    <xf numFmtId="0" fontId="27" fillId="0" borderId="0" xfId="2" applyFont="1" applyAlignment="1">
      <alignment horizontal="center" vertical="center"/>
    </xf>
    <xf numFmtId="0" fontId="25" fillId="0" borderId="8" xfId="2" applyFont="1" applyBorder="1" applyAlignment="1">
      <alignment horizontal="center" vertical="center"/>
    </xf>
    <xf numFmtId="0" fontId="25" fillId="0" borderId="8" xfId="2" applyFont="1" applyBorder="1" applyAlignment="1">
      <alignment horizontal="center" vertical="center" wrapText="1"/>
    </xf>
    <xf numFmtId="0" fontId="5" fillId="0" borderId="0" xfId="5" applyFont="1" applyAlignment="1">
      <alignment horizontal="center"/>
    </xf>
    <xf numFmtId="0" fontId="9" fillId="0" borderId="1" xfId="5" applyFont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/>
    </xf>
    <xf numFmtId="0" fontId="9" fillId="0" borderId="4" xfId="5" applyFont="1" applyBorder="1" applyAlignment="1">
      <alignment horizontal="center" vertical="center"/>
    </xf>
    <xf numFmtId="0" fontId="9" fillId="0" borderId="10" xfId="5" applyFont="1" applyBorder="1" applyAlignment="1">
      <alignment horizontal="center" vertical="center"/>
    </xf>
    <xf numFmtId="0" fontId="9" fillId="0" borderId="15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0" fontId="9" fillId="0" borderId="11" xfId="5" applyFont="1" applyBorder="1" applyAlignment="1">
      <alignment horizontal="center" vertical="center"/>
    </xf>
    <xf numFmtId="0" fontId="9" fillId="0" borderId="12" xfId="5" applyFont="1" applyBorder="1" applyAlignment="1">
      <alignment horizontal="center" vertical="center"/>
    </xf>
    <xf numFmtId="0" fontId="9" fillId="0" borderId="14" xfId="5" applyFont="1" applyBorder="1" applyAlignment="1">
      <alignment horizontal="center" vertical="center"/>
    </xf>
    <xf numFmtId="0" fontId="9" fillId="0" borderId="9" xfId="5" applyFont="1" applyBorder="1" applyAlignment="1">
      <alignment horizontal="center" vertical="center"/>
    </xf>
    <xf numFmtId="0" fontId="10" fillId="0" borderId="0" xfId="5" applyFont="1" applyAlignment="1">
      <alignment horizontal="left" vertical="center"/>
    </xf>
    <xf numFmtId="0" fontId="9" fillId="0" borderId="0" xfId="5" applyFont="1" applyAlignment="1">
      <alignment horizontal="left" vertic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8">
    <cellStyle name="Comma" xfId="4" builtinId="3"/>
    <cellStyle name="Comma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5" xr:uid="{00000000-0005-0000-0000-000005000000}"/>
    <cellStyle name="Normal 5" xfId="6" xr:uid="{00000000-0005-0000-0000-000006000000}"/>
    <cellStyle name="ปกติ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327660</xdr:colOff>
      <xdr:row>10</xdr:row>
      <xdr:rowOff>91440</xdr:rowOff>
    </xdr:from>
    <xdr:to>
      <xdr:col>6</xdr:col>
      <xdr:colOff>396240</xdr:colOff>
      <xdr:row>11</xdr:row>
      <xdr:rowOff>144780</xdr:rowOff>
    </xdr:to>
    <xdr:sp macro="" textlink="">
      <xdr:nvSpPr>
        <xdr:cNvPr id="2302" name="Text Box 1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SpPr txBox="1">
          <a:spLocks noChangeArrowheads="1"/>
        </xdr:cNvSpPr>
      </xdr:nvSpPr>
      <xdr:spPr bwMode="auto">
        <a:xfrm>
          <a:off x="7360920" y="3604260"/>
          <a:ext cx="685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23</xdr:row>
      <xdr:rowOff>0</xdr:rowOff>
    </xdr:from>
    <xdr:to>
      <xdr:col>5</xdr:col>
      <xdr:colOff>68580</xdr:colOff>
      <xdr:row>24</xdr:row>
      <xdr:rowOff>3810</xdr:rowOff>
    </xdr:to>
    <xdr:sp macro="" textlink="">
      <xdr:nvSpPr>
        <xdr:cNvPr id="2" name="Text Box 7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2705100" y="626745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39</xdr:row>
      <xdr:rowOff>0</xdr:rowOff>
    </xdr:from>
    <xdr:to>
      <xdr:col>5</xdr:col>
      <xdr:colOff>68580</xdr:colOff>
      <xdr:row>40</xdr:row>
      <xdr:rowOff>60960</xdr:rowOff>
    </xdr:to>
    <xdr:sp macro="" textlink="">
      <xdr:nvSpPr>
        <xdr:cNvPr id="23168" name="Text Box 5">
          <a:extLst>
            <a:ext uri="{FF2B5EF4-FFF2-40B4-BE49-F238E27FC236}">
              <a16:creationId xmlns:a16="http://schemas.microsoft.com/office/drawing/2014/main" id="{00000000-0008-0000-0400-0000805A0000}"/>
            </a:ext>
          </a:extLst>
        </xdr:cNvPr>
        <xdr:cNvSpPr txBox="1">
          <a:spLocks noChangeArrowheads="1"/>
        </xdr:cNvSpPr>
      </xdr:nvSpPr>
      <xdr:spPr bwMode="auto">
        <a:xfrm>
          <a:off x="1813560" y="1004316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68580</xdr:colOff>
      <xdr:row>13</xdr:row>
      <xdr:rowOff>156210</xdr:rowOff>
    </xdr:to>
    <xdr:sp macro="" textlink="">
      <xdr:nvSpPr>
        <xdr:cNvPr id="23169" name="Text Box 5">
          <a:extLst>
            <a:ext uri="{FF2B5EF4-FFF2-40B4-BE49-F238E27FC236}">
              <a16:creationId xmlns:a16="http://schemas.microsoft.com/office/drawing/2014/main" id="{00000000-0008-0000-0400-0000815A0000}"/>
            </a:ext>
          </a:extLst>
        </xdr:cNvPr>
        <xdr:cNvSpPr txBox="1">
          <a:spLocks noChangeArrowheads="1"/>
        </xdr:cNvSpPr>
      </xdr:nvSpPr>
      <xdr:spPr bwMode="auto">
        <a:xfrm>
          <a:off x="1813560" y="320040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68580</xdr:colOff>
      <xdr:row>3</xdr:row>
      <xdr:rowOff>0</xdr:rowOff>
    </xdr:to>
    <xdr:sp macro="" textlink="">
      <xdr:nvSpPr>
        <xdr:cNvPr id="23170" name="Text Box 72">
          <a:extLst>
            <a:ext uri="{FF2B5EF4-FFF2-40B4-BE49-F238E27FC236}">
              <a16:creationId xmlns:a16="http://schemas.microsoft.com/office/drawing/2014/main" id="{00000000-0008-0000-0400-0000825A0000}"/>
            </a:ext>
          </a:extLst>
        </xdr:cNvPr>
        <xdr:cNvSpPr txBox="1">
          <a:spLocks noChangeArrowheads="1"/>
        </xdr:cNvSpPr>
      </xdr:nvSpPr>
      <xdr:spPr bwMode="auto">
        <a:xfrm>
          <a:off x="3825240" y="533400"/>
          <a:ext cx="6858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76200</xdr:rowOff>
    </xdr:from>
    <xdr:to>
      <xdr:col>5</xdr:col>
      <xdr:colOff>68580</xdr:colOff>
      <xdr:row>21</xdr:row>
      <xdr:rowOff>60960</xdr:rowOff>
    </xdr:to>
    <xdr:sp macro="" textlink="">
      <xdr:nvSpPr>
        <xdr:cNvPr id="26917" name="Text Box 77">
          <a:extLst>
            <a:ext uri="{FF2B5EF4-FFF2-40B4-BE49-F238E27FC236}">
              <a16:creationId xmlns:a16="http://schemas.microsoft.com/office/drawing/2014/main" id="{00000000-0008-0000-0700-000025690000}"/>
            </a:ext>
          </a:extLst>
        </xdr:cNvPr>
        <xdr:cNvSpPr txBox="1">
          <a:spLocks noChangeArrowheads="1"/>
        </xdr:cNvSpPr>
      </xdr:nvSpPr>
      <xdr:spPr bwMode="auto">
        <a:xfrm>
          <a:off x="2743200" y="662940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68580</xdr:colOff>
      <xdr:row>29</xdr:row>
      <xdr:rowOff>0</xdr:rowOff>
    </xdr:to>
    <xdr:sp macro="" textlink="">
      <xdr:nvSpPr>
        <xdr:cNvPr id="26918" name="Text Box 5">
          <a:extLst>
            <a:ext uri="{FF2B5EF4-FFF2-40B4-BE49-F238E27FC236}">
              <a16:creationId xmlns:a16="http://schemas.microsoft.com/office/drawing/2014/main" id="{00000000-0008-0000-0700-000026690000}"/>
            </a:ext>
          </a:extLst>
        </xdr:cNvPr>
        <xdr:cNvSpPr txBox="1">
          <a:spLocks noChangeArrowheads="1"/>
        </xdr:cNvSpPr>
      </xdr:nvSpPr>
      <xdr:spPr bwMode="auto">
        <a:xfrm>
          <a:off x="2743200" y="91744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68580</xdr:colOff>
      <xdr:row>24</xdr:row>
      <xdr:rowOff>0</xdr:rowOff>
    </xdr:to>
    <xdr:sp macro="" textlink="">
      <xdr:nvSpPr>
        <xdr:cNvPr id="26919" name="Text Box 72">
          <a:extLst>
            <a:ext uri="{FF2B5EF4-FFF2-40B4-BE49-F238E27FC236}">
              <a16:creationId xmlns:a16="http://schemas.microsoft.com/office/drawing/2014/main" id="{00000000-0008-0000-0700-000027690000}"/>
            </a:ext>
          </a:extLst>
        </xdr:cNvPr>
        <xdr:cNvSpPr txBox="1">
          <a:spLocks noChangeArrowheads="1"/>
        </xdr:cNvSpPr>
      </xdr:nvSpPr>
      <xdr:spPr bwMode="auto">
        <a:xfrm>
          <a:off x="3291840" y="75361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819151</xdr:colOff>
      <xdr:row>11</xdr:row>
      <xdr:rowOff>180975</xdr:rowOff>
    </xdr:from>
    <xdr:to>
      <xdr:col>4</xdr:col>
      <xdr:colOff>180975</xdr:colOff>
      <xdr:row>16</xdr:row>
      <xdr:rowOff>28575</xdr:rowOff>
    </xdr:to>
    <xdr:sp macro="" textlink="">
      <xdr:nvSpPr>
        <xdr:cNvPr id="5" name="Right Brace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 bwMode="auto">
        <a:xfrm>
          <a:off x="3390901" y="3743325"/>
          <a:ext cx="219074" cy="1466850"/>
        </a:xfrm>
        <a:prstGeom prst="rightBrace">
          <a:avLst>
            <a:gd name="adj1" fmla="val 0"/>
            <a:gd name="adj2" fmla="val 48484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411480</xdr:colOff>
      <xdr:row>4</xdr:row>
      <xdr:rowOff>220980</xdr:rowOff>
    </xdr:from>
    <xdr:to>
      <xdr:col>1</xdr:col>
      <xdr:colOff>1623060</xdr:colOff>
      <xdr:row>4</xdr:row>
      <xdr:rowOff>220980</xdr:rowOff>
    </xdr:to>
    <xdr:sp macro="" textlink="">
      <xdr:nvSpPr>
        <xdr:cNvPr id="5880" name="Line 2">
          <a:extLst>
            <a:ext uri="{FF2B5EF4-FFF2-40B4-BE49-F238E27FC236}">
              <a16:creationId xmlns:a16="http://schemas.microsoft.com/office/drawing/2014/main" id="{00000000-0008-0000-0A00-0000F8160000}"/>
            </a:ext>
          </a:extLst>
        </xdr:cNvPr>
        <xdr:cNvSpPr>
          <a:spLocks noChangeShapeType="1"/>
        </xdr:cNvSpPr>
      </xdr:nvSpPr>
      <xdr:spPr bwMode="auto">
        <a:xfrm>
          <a:off x="784860" y="1508760"/>
          <a:ext cx="12115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5</xdr:row>
      <xdr:rowOff>198120</xdr:rowOff>
    </xdr:from>
    <xdr:to>
      <xdr:col>2</xdr:col>
      <xdr:colOff>228600</xdr:colOff>
      <xdr:row>5</xdr:row>
      <xdr:rowOff>198120</xdr:rowOff>
    </xdr:to>
    <xdr:sp macro="" textlink="">
      <xdr:nvSpPr>
        <xdr:cNvPr id="5881" name="Line 3">
          <a:extLst>
            <a:ext uri="{FF2B5EF4-FFF2-40B4-BE49-F238E27FC236}">
              <a16:creationId xmlns:a16="http://schemas.microsoft.com/office/drawing/2014/main" id="{00000000-0008-0000-0A00-0000F9160000}"/>
            </a:ext>
          </a:extLst>
        </xdr:cNvPr>
        <xdr:cNvSpPr>
          <a:spLocks noChangeShapeType="1"/>
        </xdr:cNvSpPr>
      </xdr:nvSpPr>
      <xdr:spPr bwMode="auto">
        <a:xfrm>
          <a:off x="419100" y="1752600"/>
          <a:ext cx="18821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205740</xdr:colOff>
      <xdr:row>6</xdr:row>
      <xdr:rowOff>198120</xdr:rowOff>
    </xdr:from>
    <xdr:to>
      <xdr:col>2</xdr:col>
      <xdr:colOff>388620</xdr:colOff>
      <xdr:row>6</xdr:row>
      <xdr:rowOff>198120</xdr:rowOff>
    </xdr:to>
    <xdr:sp macro="" textlink="">
      <xdr:nvSpPr>
        <xdr:cNvPr id="5882" name="Line 13">
          <a:extLst>
            <a:ext uri="{FF2B5EF4-FFF2-40B4-BE49-F238E27FC236}">
              <a16:creationId xmlns:a16="http://schemas.microsoft.com/office/drawing/2014/main" id="{00000000-0008-0000-0A00-0000FA160000}"/>
            </a:ext>
          </a:extLst>
        </xdr:cNvPr>
        <xdr:cNvSpPr>
          <a:spLocks noChangeShapeType="1"/>
        </xdr:cNvSpPr>
      </xdr:nvSpPr>
      <xdr:spPr bwMode="auto">
        <a:xfrm>
          <a:off x="579120" y="2019300"/>
          <a:ext cx="18821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6</xdr:row>
      <xdr:rowOff>236220</xdr:rowOff>
    </xdr:from>
    <xdr:to>
      <xdr:col>2</xdr:col>
      <xdr:colOff>0</xdr:colOff>
      <xdr:row>6</xdr:row>
      <xdr:rowOff>236220</xdr:rowOff>
    </xdr:to>
    <xdr:sp macro="" textlink="">
      <xdr:nvSpPr>
        <xdr:cNvPr id="6904" name="Line 2">
          <a:extLst>
            <a:ext uri="{FF2B5EF4-FFF2-40B4-BE49-F238E27FC236}">
              <a16:creationId xmlns:a16="http://schemas.microsoft.com/office/drawing/2014/main" id="{00000000-0008-0000-0B00-0000F81A0000}"/>
            </a:ext>
          </a:extLst>
        </xdr:cNvPr>
        <xdr:cNvSpPr>
          <a:spLocks noChangeShapeType="1"/>
        </xdr:cNvSpPr>
      </xdr:nvSpPr>
      <xdr:spPr bwMode="auto">
        <a:xfrm>
          <a:off x="419100" y="2194560"/>
          <a:ext cx="148590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205740</xdr:colOff>
      <xdr:row>7</xdr:row>
      <xdr:rowOff>198120</xdr:rowOff>
    </xdr:from>
    <xdr:to>
      <xdr:col>2</xdr:col>
      <xdr:colOff>0</xdr:colOff>
      <xdr:row>7</xdr:row>
      <xdr:rowOff>198120</xdr:rowOff>
    </xdr:to>
    <xdr:sp macro="" textlink="">
      <xdr:nvSpPr>
        <xdr:cNvPr id="6905" name="Line 12">
          <a:extLst>
            <a:ext uri="{FF2B5EF4-FFF2-40B4-BE49-F238E27FC236}">
              <a16:creationId xmlns:a16="http://schemas.microsoft.com/office/drawing/2014/main" id="{00000000-0008-0000-0B00-0000F91A0000}"/>
            </a:ext>
          </a:extLst>
        </xdr:cNvPr>
        <xdr:cNvSpPr>
          <a:spLocks noChangeShapeType="1"/>
        </xdr:cNvSpPr>
      </xdr:nvSpPr>
      <xdr:spPr bwMode="auto">
        <a:xfrm>
          <a:off x="579120" y="2476500"/>
          <a:ext cx="13258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403860</xdr:colOff>
      <xdr:row>5</xdr:row>
      <xdr:rowOff>220980</xdr:rowOff>
    </xdr:from>
    <xdr:to>
      <xdr:col>1</xdr:col>
      <xdr:colOff>1447800</xdr:colOff>
      <xdr:row>5</xdr:row>
      <xdr:rowOff>220980</xdr:rowOff>
    </xdr:to>
    <xdr:sp macro="" textlink="">
      <xdr:nvSpPr>
        <xdr:cNvPr id="6906" name="Line 22">
          <a:extLst>
            <a:ext uri="{FF2B5EF4-FFF2-40B4-BE49-F238E27FC236}">
              <a16:creationId xmlns:a16="http://schemas.microsoft.com/office/drawing/2014/main" id="{00000000-0008-0000-0B00-0000FA1A0000}"/>
            </a:ext>
          </a:extLst>
        </xdr:cNvPr>
        <xdr:cNvSpPr>
          <a:spLocks noChangeShapeType="1"/>
        </xdr:cNvSpPr>
      </xdr:nvSpPr>
      <xdr:spPr bwMode="auto">
        <a:xfrm>
          <a:off x="777240" y="1912620"/>
          <a:ext cx="10439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6</xdr:row>
      <xdr:rowOff>259080</xdr:rowOff>
    </xdr:from>
    <xdr:to>
      <xdr:col>2</xdr:col>
      <xdr:colOff>0</xdr:colOff>
      <xdr:row>6</xdr:row>
      <xdr:rowOff>259080</xdr:rowOff>
    </xdr:to>
    <xdr:sp macro="" textlink="">
      <xdr:nvSpPr>
        <xdr:cNvPr id="7825" name="Line 35">
          <a:extLst>
            <a:ext uri="{FF2B5EF4-FFF2-40B4-BE49-F238E27FC236}">
              <a16:creationId xmlns:a16="http://schemas.microsoft.com/office/drawing/2014/main" id="{00000000-0008-0000-0C00-0000911E0000}"/>
            </a:ext>
          </a:extLst>
        </xdr:cNvPr>
        <xdr:cNvSpPr>
          <a:spLocks noChangeShapeType="1"/>
        </xdr:cNvSpPr>
      </xdr:nvSpPr>
      <xdr:spPr bwMode="auto">
        <a:xfrm>
          <a:off x="304800" y="2103120"/>
          <a:ext cx="20497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426720</xdr:colOff>
      <xdr:row>5</xdr:row>
      <xdr:rowOff>220980</xdr:rowOff>
    </xdr:from>
    <xdr:to>
      <xdr:col>1</xdr:col>
      <xdr:colOff>2034540</xdr:colOff>
      <xdr:row>5</xdr:row>
      <xdr:rowOff>220980</xdr:rowOff>
    </xdr:to>
    <xdr:sp macro="" textlink="">
      <xdr:nvSpPr>
        <xdr:cNvPr id="7826" name="Line 36">
          <a:extLst>
            <a:ext uri="{FF2B5EF4-FFF2-40B4-BE49-F238E27FC236}">
              <a16:creationId xmlns:a16="http://schemas.microsoft.com/office/drawing/2014/main" id="{00000000-0008-0000-0C00-0000921E0000}"/>
            </a:ext>
          </a:extLst>
        </xdr:cNvPr>
        <xdr:cNvSpPr>
          <a:spLocks noChangeShapeType="1"/>
        </xdr:cNvSpPr>
      </xdr:nvSpPr>
      <xdr:spPr bwMode="auto">
        <a:xfrm>
          <a:off x="685800" y="1798320"/>
          <a:ext cx="16078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236220</xdr:colOff>
      <xdr:row>7</xdr:row>
      <xdr:rowOff>198120</xdr:rowOff>
    </xdr:from>
    <xdr:to>
      <xdr:col>1</xdr:col>
      <xdr:colOff>1844040</xdr:colOff>
      <xdr:row>7</xdr:row>
      <xdr:rowOff>198120</xdr:rowOff>
    </xdr:to>
    <xdr:sp macro="" textlink="">
      <xdr:nvSpPr>
        <xdr:cNvPr id="7827" name="Line 36">
          <a:extLst>
            <a:ext uri="{FF2B5EF4-FFF2-40B4-BE49-F238E27FC236}">
              <a16:creationId xmlns:a16="http://schemas.microsoft.com/office/drawing/2014/main" id="{00000000-0008-0000-0C00-0000931E0000}"/>
            </a:ext>
          </a:extLst>
        </xdr:cNvPr>
        <xdr:cNvSpPr>
          <a:spLocks noChangeShapeType="1"/>
        </xdr:cNvSpPr>
      </xdr:nvSpPr>
      <xdr:spPr bwMode="auto">
        <a:xfrm>
          <a:off x="495300" y="2369820"/>
          <a:ext cx="16078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5</xdr:row>
      <xdr:rowOff>220980</xdr:rowOff>
    </xdr:from>
    <xdr:to>
      <xdr:col>1</xdr:col>
      <xdr:colOff>1813560</xdr:colOff>
      <xdr:row>5</xdr:row>
      <xdr:rowOff>220980</xdr:rowOff>
    </xdr:to>
    <xdr:sp macro="" textlink="">
      <xdr:nvSpPr>
        <xdr:cNvPr id="12739" name="Line 36">
          <a:extLst>
            <a:ext uri="{FF2B5EF4-FFF2-40B4-BE49-F238E27FC236}">
              <a16:creationId xmlns:a16="http://schemas.microsoft.com/office/drawing/2014/main" id="{00000000-0008-0000-0D00-0000C3310000}"/>
            </a:ext>
          </a:extLst>
        </xdr:cNvPr>
        <xdr:cNvSpPr>
          <a:spLocks noChangeShapeType="1"/>
        </xdr:cNvSpPr>
      </xdr:nvSpPr>
      <xdr:spPr bwMode="auto">
        <a:xfrm>
          <a:off x="480060" y="1798320"/>
          <a:ext cx="16154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403860</xdr:colOff>
      <xdr:row>6</xdr:row>
      <xdr:rowOff>259080</xdr:rowOff>
    </xdr:from>
    <xdr:to>
      <xdr:col>1</xdr:col>
      <xdr:colOff>1447800</xdr:colOff>
      <xdr:row>6</xdr:row>
      <xdr:rowOff>259080</xdr:rowOff>
    </xdr:to>
    <xdr:sp macro="" textlink="">
      <xdr:nvSpPr>
        <xdr:cNvPr id="12740" name="Line 36">
          <a:extLst>
            <a:ext uri="{FF2B5EF4-FFF2-40B4-BE49-F238E27FC236}">
              <a16:creationId xmlns:a16="http://schemas.microsoft.com/office/drawing/2014/main" id="{00000000-0008-0000-0D00-0000C4310000}"/>
            </a:ext>
          </a:extLst>
        </xdr:cNvPr>
        <xdr:cNvSpPr>
          <a:spLocks noChangeShapeType="1"/>
        </xdr:cNvSpPr>
      </xdr:nvSpPr>
      <xdr:spPr bwMode="auto">
        <a:xfrm>
          <a:off x="281940" y="2103120"/>
          <a:ext cx="144780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205740</xdr:rowOff>
    </xdr:from>
    <xdr:to>
      <xdr:col>1</xdr:col>
      <xdr:colOff>1615440</xdr:colOff>
      <xdr:row>7</xdr:row>
      <xdr:rowOff>205740</xdr:rowOff>
    </xdr:to>
    <xdr:sp macro="" textlink="">
      <xdr:nvSpPr>
        <xdr:cNvPr id="12741" name="Line 36">
          <a:extLst>
            <a:ext uri="{FF2B5EF4-FFF2-40B4-BE49-F238E27FC236}">
              <a16:creationId xmlns:a16="http://schemas.microsoft.com/office/drawing/2014/main" id="{00000000-0008-0000-0D00-0000C5310000}"/>
            </a:ext>
          </a:extLst>
        </xdr:cNvPr>
        <xdr:cNvSpPr>
          <a:spLocks noChangeShapeType="1"/>
        </xdr:cNvSpPr>
      </xdr:nvSpPr>
      <xdr:spPr bwMode="auto">
        <a:xfrm>
          <a:off x="281940" y="2377440"/>
          <a:ext cx="16154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4224</xdr:colOff>
      <xdr:row>10</xdr:row>
      <xdr:rowOff>57150</xdr:rowOff>
    </xdr:from>
    <xdr:to>
      <xdr:col>15</xdr:col>
      <xdr:colOff>9523</xdr:colOff>
      <xdr:row>17</xdr:row>
      <xdr:rowOff>290075</xdr:rowOff>
    </xdr:to>
    <xdr:grpSp>
      <xdr:nvGrpSpPr>
        <xdr:cNvPr id="5" name="กลุ่ม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>
          <a:grpSpLocks/>
        </xdr:cNvGrpSpPr>
      </xdr:nvGrpSpPr>
      <xdr:grpSpPr bwMode="auto">
        <a:xfrm>
          <a:off x="3661824" y="2800350"/>
          <a:ext cx="11530549" cy="0"/>
          <a:chOff x="3672980" y="2886060"/>
          <a:chExt cx="6838736" cy="4163359"/>
        </a:xfrm>
      </xdr:grpSpPr>
      <xdr:sp macro="" textlink="">
        <xdr:nvSpPr>
          <xdr:cNvPr id="6" name="Rectangle 77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3676651" y="2886060"/>
            <a:ext cx="1714500" cy="17118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  <xdr:sp macro="" textlink="">
        <xdr:nvSpPr>
          <xdr:cNvPr id="7" name="Rectangle 77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/>
        </xdr:nvSpPr>
        <xdr:spPr>
          <a:xfrm>
            <a:off x="3679578" y="3452564"/>
            <a:ext cx="1704975" cy="16167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  <xdr:sp macro="" textlink="">
        <xdr:nvSpPr>
          <xdr:cNvPr id="8" name="Rectangle 7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/>
        </xdr:nvSpPr>
        <xdr:spPr>
          <a:xfrm>
            <a:off x="3672980" y="4553432"/>
            <a:ext cx="3429000" cy="19020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  <xdr:sp macro="" textlink="">
        <xdr:nvSpPr>
          <xdr:cNvPr id="9" name="Rectangle 77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4819651" y="5169755"/>
            <a:ext cx="5678870" cy="16057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  <xdr:sp macro="" textlink="">
        <xdr:nvSpPr>
          <xdr:cNvPr id="10" name="Rectangle 77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4811430" y="5744098"/>
            <a:ext cx="5673896" cy="17294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  <xdr:sp macro="" textlink="">
        <xdr:nvSpPr>
          <xdr:cNvPr id="11" name="Rectangle 77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4804833" y="6291092"/>
            <a:ext cx="5706883" cy="193633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  <xdr:sp macro="" textlink="">
        <xdr:nvSpPr>
          <xdr:cNvPr id="12" name="Rectangle 77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/>
        </xdr:nvSpPr>
        <xdr:spPr>
          <a:xfrm>
            <a:off x="4811430" y="6865433"/>
            <a:ext cx="5693688" cy="18398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  <xdr:sp macro="" textlink="">
        <xdr:nvSpPr>
          <xdr:cNvPr id="13" name="Rectangle 77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/>
        </xdr:nvSpPr>
        <xdr:spPr>
          <a:xfrm>
            <a:off x="3672981" y="4070781"/>
            <a:ext cx="1714500" cy="16167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th-TH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2778125</xdr:colOff>
      <xdr:row>11</xdr:row>
      <xdr:rowOff>15875</xdr:rowOff>
    </xdr:from>
    <xdr:to>
      <xdr:col>0</xdr:col>
      <xdr:colOff>2959099</xdr:colOff>
      <xdr:row>16</xdr:row>
      <xdr:rowOff>15875</xdr:rowOff>
    </xdr:to>
    <xdr:sp macro="" textlink="">
      <xdr:nvSpPr>
        <xdr:cNvPr id="3" name="Right Brace 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 bwMode="auto">
        <a:xfrm>
          <a:off x="2778125" y="2968625"/>
          <a:ext cx="180974" cy="1349375"/>
        </a:xfrm>
        <a:prstGeom prst="rightBrace">
          <a:avLst>
            <a:gd name="adj1" fmla="val 0"/>
            <a:gd name="adj2" fmla="val 48484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J12"/>
  <sheetViews>
    <sheetView showGridLines="0" view="pageBreakPreview" topLeftCell="A4" zoomScale="60" zoomScaleNormal="100" workbookViewId="0">
      <selection activeCell="A12" sqref="A12:J12"/>
    </sheetView>
  </sheetViews>
  <sheetFormatPr defaultColWidth="9" defaultRowHeight="18.75"/>
  <cols>
    <col min="1" max="9" width="9" style="21"/>
    <col min="10" max="10" width="12.140625" style="21" customWidth="1"/>
    <col min="11" max="16384" width="9" style="21"/>
  </cols>
  <sheetData>
    <row r="5" spans="1:10" ht="68.45" customHeight="1"/>
    <row r="10" spans="1:10" ht="53.25">
      <c r="A10" s="252" t="s">
        <v>0</v>
      </c>
      <c r="B10" s="252"/>
      <c r="C10" s="252"/>
      <c r="D10" s="252"/>
      <c r="E10" s="252"/>
      <c r="F10" s="252"/>
      <c r="G10" s="252"/>
      <c r="H10" s="252"/>
      <c r="I10" s="252"/>
      <c r="J10" s="252"/>
    </row>
    <row r="11" spans="1:10" ht="53.25">
      <c r="A11" s="252" t="s">
        <v>1</v>
      </c>
      <c r="B11" s="252"/>
      <c r="C11" s="252"/>
      <c r="D11" s="252"/>
      <c r="E11" s="252"/>
      <c r="F11" s="252"/>
      <c r="G11" s="252"/>
      <c r="H11" s="252"/>
      <c r="I11" s="252"/>
      <c r="J11" s="252"/>
    </row>
    <row r="12" spans="1:10" ht="63.75">
      <c r="A12" s="253"/>
      <c r="B12" s="253"/>
      <c r="C12" s="253"/>
      <c r="D12" s="253"/>
      <c r="E12" s="253"/>
      <c r="F12" s="253"/>
      <c r="G12" s="253"/>
      <c r="H12" s="253"/>
      <c r="I12" s="253"/>
      <c r="J12" s="253"/>
    </row>
  </sheetData>
  <mergeCells count="3">
    <mergeCell ref="A11:J11"/>
    <mergeCell ref="A12:J12"/>
    <mergeCell ref="A10:J10"/>
  </mergeCells>
  <phoneticPr fontId="2" type="noConversion"/>
  <pageMargins left="0.75" right="0.75" top="1" bottom="1" header="0.5" footer="0.5"/>
  <pageSetup paperSize="9" scale="6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6"/>
  <sheetViews>
    <sheetView showGridLines="0" zoomScaleNormal="100" zoomScaleSheetLayoutView="100" workbookViewId="0">
      <selection activeCell="C21" sqref="C21"/>
    </sheetView>
  </sheetViews>
  <sheetFormatPr defaultColWidth="9" defaultRowHeight="21"/>
  <cols>
    <col min="1" max="1" width="4" style="6" customWidth="1"/>
    <col min="2" max="2" width="26.28515625" style="6" customWidth="1"/>
    <col min="3" max="7" width="9" style="6"/>
    <col min="8" max="8" width="19.85546875" style="6" customWidth="1"/>
    <col min="9" max="9" width="14.42578125" style="6" customWidth="1"/>
    <col min="10" max="16384" width="9" style="6"/>
  </cols>
  <sheetData>
    <row r="1" spans="1:9">
      <c r="A1" s="254" t="s">
        <v>0</v>
      </c>
      <c r="B1" s="254"/>
      <c r="C1" s="254"/>
      <c r="D1" s="254"/>
      <c r="E1" s="254"/>
      <c r="F1" s="254"/>
      <c r="G1" s="254"/>
      <c r="H1" s="254"/>
      <c r="I1" s="10"/>
    </row>
    <row r="2" spans="1:9">
      <c r="A2" s="254" t="s">
        <v>1</v>
      </c>
      <c r="B2" s="254"/>
      <c r="C2" s="254"/>
      <c r="D2" s="254"/>
      <c r="E2" s="254"/>
      <c r="F2" s="254"/>
      <c r="G2" s="254"/>
      <c r="H2" s="254"/>
      <c r="I2" s="10"/>
    </row>
    <row r="4" spans="1:9">
      <c r="A4" s="61" t="s">
        <v>2</v>
      </c>
      <c r="B4" s="6" t="s">
        <v>3</v>
      </c>
      <c r="C4" s="6" t="s">
        <v>4</v>
      </c>
    </row>
    <row r="5" spans="1:9">
      <c r="A5" s="61" t="s">
        <v>5</v>
      </c>
      <c r="B5" s="6" t="s">
        <v>6</v>
      </c>
      <c r="C5" s="6" t="s">
        <v>7</v>
      </c>
    </row>
    <row r="6" spans="1:9">
      <c r="A6" s="61" t="s">
        <v>8</v>
      </c>
      <c r="B6" s="6" t="s">
        <v>9</v>
      </c>
      <c r="C6" s="6" t="s">
        <v>10</v>
      </c>
    </row>
    <row r="7" spans="1:9">
      <c r="A7" s="61" t="s">
        <v>11</v>
      </c>
      <c r="B7" s="6" t="s">
        <v>12</v>
      </c>
      <c r="C7" s="6" t="s">
        <v>13</v>
      </c>
    </row>
    <row r="8" spans="1:9">
      <c r="A8" s="61" t="s">
        <v>14</v>
      </c>
      <c r="B8" s="6" t="s">
        <v>15</v>
      </c>
      <c r="C8" s="6" t="s">
        <v>16</v>
      </c>
    </row>
    <row r="9" spans="1:9">
      <c r="A9" s="61" t="s">
        <v>17</v>
      </c>
      <c r="B9" s="6" t="s">
        <v>18</v>
      </c>
      <c r="C9" s="6" t="s">
        <v>19</v>
      </c>
    </row>
    <row r="10" spans="1:9">
      <c r="A10" s="61"/>
      <c r="C10" s="6" t="s">
        <v>20</v>
      </c>
    </row>
    <row r="11" spans="1:9">
      <c r="A11" s="61" t="s">
        <v>21</v>
      </c>
      <c r="B11" s="6" t="s">
        <v>22</v>
      </c>
      <c r="C11" s="6" t="s">
        <v>23</v>
      </c>
    </row>
    <row r="12" spans="1:9">
      <c r="A12" s="61" t="s">
        <v>24</v>
      </c>
      <c r="B12" s="6" t="s">
        <v>25</v>
      </c>
      <c r="C12" s="6" t="s">
        <v>26</v>
      </c>
    </row>
    <row r="13" spans="1:9">
      <c r="A13" s="61" t="s">
        <v>27</v>
      </c>
      <c r="B13" s="6" t="s">
        <v>28</v>
      </c>
      <c r="C13" s="6" t="s">
        <v>29</v>
      </c>
    </row>
    <row r="14" spans="1:9">
      <c r="A14" s="61" t="s">
        <v>30</v>
      </c>
      <c r="B14" s="6" t="s">
        <v>31</v>
      </c>
      <c r="C14" s="6" t="s">
        <v>32</v>
      </c>
    </row>
    <row r="15" spans="1:9">
      <c r="A15" s="71" t="s">
        <v>33</v>
      </c>
      <c r="B15" s="6" t="s">
        <v>34</v>
      </c>
      <c r="C15" s="6" t="s">
        <v>35</v>
      </c>
    </row>
    <row r="16" spans="1:9">
      <c r="A16" s="71" t="s">
        <v>36</v>
      </c>
      <c r="B16" s="6" t="s">
        <v>37</v>
      </c>
      <c r="C16" s="6" t="s">
        <v>38</v>
      </c>
    </row>
    <row r="17" spans="1:9">
      <c r="A17" s="71" t="s">
        <v>39</v>
      </c>
      <c r="B17" s="6" t="s">
        <v>40</v>
      </c>
      <c r="C17" s="6" t="s">
        <v>41</v>
      </c>
    </row>
    <row r="18" spans="1:9">
      <c r="A18" s="71" t="s">
        <v>42</v>
      </c>
      <c r="B18" s="6" t="s">
        <v>43</v>
      </c>
      <c r="C18" s="6" t="s">
        <v>44</v>
      </c>
    </row>
    <row r="19" spans="1:9">
      <c r="A19" s="71" t="s">
        <v>45</v>
      </c>
      <c r="B19" s="6" t="s">
        <v>46</v>
      </c>
      <c r="C19" s="6" t="s">
        <v>47</v>
      </c>
    </row>
    <row r="20" spans="1:9">
      <c r="A20" s="173" t="s">
        <v>48</v>
      </c>
      <c r="B20" s="6" t="s">
        <v>49</v>
      </c>
      <c r="C20" s="6" t="s">
        <v>50</v>
      </c>
    </row>
    <row r="21" spans="1:9">
      <c r="A21" s="71"/>
    </row>
    <row r="22" spans="1:9">
      <c r="A22" s="254"/>
      <c r="B22" s="254"/>
      <c r="C22" s="254"/>
      <c r="D22" s="254"/>
      <c r="E22" s="254"/>
      <c r="F22" s="254"/>
      <c r="G22" s="254"/>
      <c r="H22" s="254"/>
      <c r="I22" s="10"/>
    </row>
    <row r="23" spans="1:9">
      <c r="A23" s="254"/>
      <c r="B23" s="254"/>
      <c r="C23" s="254"/>
      <c r="D23" s="254"/>
      <c r="E23" s="254"/>
      <c r="F23" s="254"/>
      <c r="G23" s="254"/>
      <c r="H23" s="254"/>
      <c r="I23" s="10"/>
    </row>
    <row r="24" spans="1:9">
      <c r="A24" s="254"/>
      <c r="B24" s="254"/>
      <c r="C24" s="254"/>
      <c r="D24" s="254"/>
      <c r="E24" s="254"/>
      <c r="F24" s="254"/>
      <c r="G24" s="254"/>
      <c r="H24" s="254"/>
      <c r="I24" s="10"/>
    </row>
    <row r="25" spans="1:9">
      <c r="A25" s="10"/>
      <c r="B25" s="10"/>
      <c r="C25" s="10"/>
      <c r="D25" s="10"/>
      <c r="E25" s="10"/>
      <c r="F25" s="10"/>
      <c r="G25" s="10"/>
      <c r="H25" s="10"/>
      <c r="I25" s="10"/>
    </row>
    <row r="26" spans="1:9">
      <c r="A26" s="61"/>
    </row>
  </sheetData>
  <mergeCells count="5">
    <mergeCell ref="A1:H1"/>
    <mergeCell ref="A2:H2"/>
    <mergeCell ref="A22:H22"/>
    <mergeCell ref="A23:H23"/>
    <mergeCell ref="A24:H24"/>
  </mergeCells>
  <pageMargins left="0.6692913385826772" right="0.19685039370078741" top="0.78740157480314965" bottom="0.39370078740157483" header="0.51181102362204722" footer="0.51181102362204722"/>
  <pageSetup paperSize="9" orientation="portrait" r:id="rId1"/>
  <ignoredErrors>
    <ignoredError sqref="A4:A9 A21 A11:A14 A15:A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3"/>
  <sheetViews>
    <sheetView showGridLines="0" view="pageBreakPreview" zoomScaleNormal="70" zoomScaleSheetLayoutView="100" workbookViewId="0">
      <selection activeCell="H18" sqref="H18"/>
    </sheetView>
  </sheetViews>
  <sheetFormatPr defaultColWidth="9.140625" defaultRowHeight="21"/>
  <cols>
    <col min="1" max="1" width="10" style="6" customWidth="1"/>
    <col min="2" max="2" width="16.140625" style="6" customWidth="1"/>
    <col min="3" max="3" width="42.140625" style="6" customWidth="1"/>
    <col min="4" max="4" width="13.42578125" style="6" customWidth="1"/>
    <col min="5" max="16384" width="9.140625" style="6"/>
  </cols>
  <sheetData>
    <row r="1" spans="1:4">
      <c r="D1" s="13" t="s">
        <v>3</v>
      </c>
    </row>
    <row r="2" spans="1:4" ht="28.5">
      <c r="A2" s="258" t="s">
        <v>51</v>
      </c>
      <c r="B2" s="258"/>
      <c r="C2" s="258"/>
      <c r="D2" s="258"/>
    </row>
    <row r="3" spans="1:4" ht="28.5">
      <c r="A3" s="258" t="s">
        <v>52</v>
      </c>
      <c r="B3" s="258"/>
      <c r="C3" s="258"/>
      <c r="D3" s="258"/>
    </row>
    <row r="4" spans="1:4" ht="31.5" customHeight="1">
      <c r="A4" s="265" t="s">
        <v>53</v>
      </c>
      <c r="B4" s="265"/>
      <c r="C4" s="265"/>
      <c r="D4" s="265"/>
    </row>
    <row r="5" spans="1:4" ht="34.5" customHeight="1">
      <c r="A5" s="254" t="s">
        <v>54</v>
      </c>
      <c r="B5" s="254"/>
      <c r="C5" s="254"/>
      <c r="D5" s="254"/>
    </row>
    <row r="6" spans="1:4" ht="35.1" customHeight="1">
      <c r="B6" s="8"/>
      <c r="D6" s="13" t="s">
        <v>55</v>
      </c>
    </row>
    <row r="7" spans="1:4" ht="29.1" customHeight="1">
      <c r="A7" s="259" t="s">
        <v>56</v>
      </c>
      <c r="B7" s="261" t="s">
        <v>57</v>
      </c>
      <c r="C7" s="262"/>
      <c r="D7" s="15" t="s">
        <v>58</v>
      </c>
    </row>
    <row r="8" spans="1:4" ht="27" customHeight="1">
      <c r="A8" s="260"/>
      <c r="B8" s="263"/>
      <c r="C8" s="264"/>
      <c r="D8" s="16" t="s">
        <v>59</v>
      </c>
    </row>
    <row r="9" spans="1:4">
      <c r="A9" s="103">
        <v>1</v>
      </c>
      <c r="B9" s="18" t="s">
        <v>60</v>
      </c>
      <c r="C9" s="19"/>
      <c r="D9" s="211" t="s">
        <v>61</v>
      </c>
    </row>
    <row r="10" spans="1:4">
      <c r="A10" s="17"/>
      <c r="B10" s="18"/>
      <c r="C10" s="19"/>
      <c r="D10" s="17"/>
    </row>
    <row r="11" spans="1:4">
      <c r="A11" s="17"/>
      <c r="B11" s="18"/>
      <c r="C11" s="19"/>
      <c r="D11" s="17"/>
    </row>
    <row r="12" spans="1:4">
      <c r="A12" s="17"/>
      <c r="B12" s="18"/>
      <c r="C12" s="19"/>
      <c r="D12" s="17"/>
    </row>
    <row r="13" spans="1:4">
      <c r="A13" s="17"/>
      <c r="B13" s="18"/>
      <c r="C13" s="19"/>
      <c r="D13" s="17"/>
    </row>
    <row r="14" spans="1:4">
      <c r="A14" s="17"/>
      <c r="B14" s="18"/>
      <c r="C14" s="19"/>
      <c r="D14" s="17"/>
    </row>
    <row r="15" spans="1:4">
      <c r="A15" s="17"/>
      <c r="B15" s="18"/>
      <c r="C15" s="19"/>
      <c r="D15" s="17"/>
    </row>
    <row r="16" spans="1:4">
      <c r="A16" s="17"/>
      <c r="B16" s="18"/>
      <c r="C16" s="19"/>
      <c r="D16" s="17"/>
    </row>
    <row r="17" spans="1:4">
      <c r="A17" s="17"/>
      <c r="B17" s="18"/>
      <c r="C17" s="19"/>
      <c r="D17" s="17"/>
    </row>
    <row r="18" spans="1:4">
      <c r="A18" s="17"/>
      <c r="B18" s="18"/>
      <c r="C18" s="19"/>
      <c r="D18" s="17"/>
    </row>
    <row r="19" spans="1:4">
      <c r="A19" s="17"/>
      <c r="B19" s="18"/>
      <c r="C19" s="19"/>
      <c r="D19" s="17"/>
    </row>
    <row r="20" spans="1:4">
      <c r="A20" s="17"/>
      <c r="B20" s="18"/>
      <c r="C20" s="19"/>
      <c r="D20" s="17"/>
    </row>
    <row r="21" spans="1:4">
      <c r="A21" s="17"/>
      <c r="B21" s="18"/>
      <c r="C21" s="19"/>
      <c r="D21" s="17"/>
    </row>
    <row r="22" spans="1:4">
      <c r="A22" s="17"/>
      <c r="B22" s="18"/>
      <c r="C22" s="19"/>
      <c r="D22" s="17"/>
    </row>
    <row r="23" spans="1:4">
      <c r="A23" s="17"/>
      <c r="B23" s="18"/>
      <c r="C23" s="19"/>
      <c r="D23" s="17"/>
    </row>
    <row r="24" spans="1:4">
      <c r="A24" s="17"/>
      <c r="B24" s="18"/>
      <c r="C24" s="19"/>
      <c r="D24" s="17"/>
    </row>
    <row r="25" spans="1:4">
      <c r="A25" s="17"/>
      <c r="B25" s="18"/>
      <c r="C25" s="19"/>
      <c r="D25" s="17"/>
    </row>
    <row r="26" spans="1:4">
      <c r="A26" s="17"/>
      <c r="B26" s="18"/>
      <c r="C26" s="19"/>
      <c r="D26" s="17"/>
    </row>
    <row r="27" spans="1:4">
      <c r="A27" s="17"/>
      <c r="B27" s="18"/>
      <c r="C27" s="19"/>
      <c r="D27" s="17"/>
    </row>
    <row r="28" spans="1:4">
      <c r="A28" s="17"/>
      <c r="B28" s="18"/>
      <c r="C28" s="19"/>
      <c r="D28" s="17"/>
    </row>
    <row r="29" spans="1:4">
      <c r="A29" s="17"/>
      <c r="B29" s="18"/>
      <c r="C29" s="19"/>
      <c r="D29" s="17"/>
    </row>
    <row r="30" spans="1:4">
      <c r="A30" s="17"/>
      <c r="B30" s="18"/>
      <c r="C30" s="19"/>
      <c r="D30" s="17"/>
    </row>
    <row r="31" spans="1:4">
      <c r="A31" s="17"/>
      <c r="B31" s="18"/>
      <c r="C31" s="19"/>
      <c r="D31" s="17"/>
    </row>
    <row r="32" spans="1:4">
      <c r="A32" s="255" t="s">
        <v>62</v>
      </c>
      <c r="B32" s="256"/>
      <c r="C32" s="257"/>
      <c r="D32" s="209" t="s">
        <v>61</v>
      </c>
    </row>
    <row r="33" spans="1:7" ht="34.5" customHeight="1">
      <c r="A33" s="22" t="s">
        <v>63</v>
      </c>
      <c r="B33" s="21" t="s">
        <v>64</v>
      </c>
      <c r="C33" s="21"/>
      <c r="D33" s="21"/>
      <c r="E33" s="21"/>
      <c r="F33" s="21"/>
      <c r="G33" s="21"/>
    </row>
  </sheetData>
  <mergeCells count="7">
    <mergeCell ref="A32:C32"/>
    <mergeCell ref="A2:D2"/>
    <mergeCell ref="A3:D3"/>
    <mergeCell ref="A7:A8"/>
    <mergeCell ref="B7:C8"/>
    <mergeCell ref="A4:D4"/>
    <mergeCell ref="A5:D5"/>
  </mergeCells>
  <phoneticPr fontId="0" type="noConversion"/>
  <printOptions horizontalCentered="1"/>
  <pageMargins left="0.6692913385826772" right="0.39370078740157483" top="0.39370078740157483" bottom="0.19685039370078741" header="0.51181102362204722" footer="0.51181102362204722"/>
  <pageSetup paperSize="9" scale="8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32"/>
  <sheetViews>
    <sheetView showGridLines="0" view="pageBreakPreview" zoomScaleNormal="90" zoomScaleSheetLayoutView="100" workbookViewId="0">
      <selection activeCell="L26" sqref="L26"/>
    </sheetView>
  </sheetViews>
  <sheetFormatPr defaultColWidth="9.140625" defaultRowHeight="25.9" customHeight="1"/>
  <cols>
    <col min="1" max="1" width="2.85546875" style="126" customWidth="1"/>
    <col min="2" max="2" width="9.28515625" style="126" customWidth="1"/>
    <col min="3" max="3" width="3.140625" style="127" customWidth="1"/>
    <col min="4" max="4" width="2.85546875" style="126" customWidth="1"/>
    <col min="5" max="5" width="2.140625" style="126" customWidth="1"/>
    <col min="6" max="6" width="6.140625" style="126" customWidth="1"/>
    <col min="7" max="7" width="3.85546875" style="126" customWidth="1"/>
    <col min="8" max="8" width="4.7109375" style="126" customWidth="1"/>
    <col min="9" max="9" width="8.7109375" style="126" customWidth="1"/>
    <col min="10" max="10" width="3.7109375" style="126" customWidth="1"/>
    <col min="11" max="11" width="4.5703125" style="126" bestFit="1" customWidth="1"/>
    <col min="12" max="12" width="16" style="126" customWidth="1"/>
    <col min="13" max="13" width="35.85546875" style="126" bestFit="1" customWidth="1"/>
    <col min="14" max="14" width="49" style="126" customWidth="1"/>
    <col min="15" max="15" width="40.5703125" style="126" customWidth="1"/>
    <col min="16" max="16" width="28.140625" style="126" customWidth="1"/>
    <col min="17" max="16384" width="9.140625" style="126"/>
  </cols>
  <sheetData>
    <row r="1" spans="1:20" ht="25.9" customHeight="1">
      <c r="K1" s="129"/>
      <c r="L1" s="177" t="s">
        <v>65</v>
      </c>
    </row>
    <row r="2" spans="1:20" ht="25.9" customHeight="1">
      <c r="A2" s="266" t="s">
        <v>7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</row>
    <row r="3" spans="1:20" ht="25.9" customHeight="1">
      <c r="A3" s="266" t="s">
        <v>66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</row>
    <row r="4" spans="1:20" ht="25.9" customHeight="1">
      <c r="A4" s="127"/>
      <c r="B4" s="127"/>
      <c r="D4" s="127"/>
      <c r="E4" s="127"/>
      <c r="F4" s="127"/>
      <c r="G4" s="127"/>
      <c r="H4" s="127"/>
      <c r="I4" s="127"/>
      <c r="J4" s="127"/>
      <c r="K4" s="127"/>
    </row>
    <row r="5" spans="1:20" ht="25.9" customHeight="1">
      <c r="A5" s="128" t="s">
        <v>2</v>
      </c>
      <c r="B5" s="129" t="s">
        <v>67</v>
      </c>
      <c r="D5" s="130" t="s">
        <v>60</v>
      </c>
      <c r="E5" s="127"/>
      <c r="F5" s="127"/>
      <c r="G5" s="127"/>
      <c r="H5" s="127"/>
      <c r="I5" s="127"/>
      <c r="J5" s="127"/>
      <c r="K5" s="127"/>
    </row>
    <row r="6" spans="1:20" ht="25.9" customHeight="1">
      <c r="A6" s="129" t="s">
        <v>68</v>
      </c>
      <c r="C6" s="126"/>
      <c r="F6" s="129"/>
      <c r="H6" s="127"/>
      <c r="I6" s="127"/>
      <c r="J6" s="127"/>
      <c r="K6" s="127"/>
    </row>
    <row r="7" spans="1:20" ht="25.9" customHeight="1">
      <c r="A7" s="129"/>
      <c r="B7" s="129" t="s">
        <v>69</v>
      </c>
      <c r="C7" s="126"/>
      <c r="D7" s="126" t="s">
        <v>70</v>
      </c>
      <c r="H7" s="127"/>
      <c r="I7" s="127"/>
      <c r="J7" s="127"/>
      <c r="K7" s="127"/>
    </row>
    <row r="8" spans="1:20" ht="25.9" customHeight="1">
      <c r="A8" s="129"/>
      <c r="C8" s="126"/>
      <c r="D8" s="126" t="s">
        <v>71</v>
      </c>
      <c r="F8" s="130"/>
      <c r="G8" s="126" t="s">
        <v>72</v>
      </c>
      <c r="H8" s="127"/>
      <c r="I8" s="127"/>
      <c r="J8" s="127"/>
      <c r="K8" s="127"/>
    </row>
    <row r="9" spans="1:20" ht="25.9" customHeight="1">
      <c r="A9" s="129"/>
      <c r="C9" s="126"/>
      <c r="D9" s="126" t="s">
        <v>73</v>
      </c>
      <c r="F9" s="130"/>
      <c r="H9" s="127"/>
      <c r="I9" s="127"/>
      <c r="J9" s="127"/>
      <c r="K9" s="127"/>
      <c r="L9"/>
      <c r="M9"/>
      <c r="N9"/>
      <c r="O9"/>
      <c r="P9"/>
      <c r="Q9"/>
      <c r="R9"/>
      <c r="S9"/>
      <c r="T9"/>
    </row>
    <row r="10" spans="1:20" ht="25.9" customHeight="1">
      <c r="B10" s="129" t="s">
        <v>74</v>
      </c>
      <c r="C10" s="132"/>
      <c r="D10" s="132"/>
      <c r="E10" s="132"/>
    </row>
    <row r="11" spans="1:20" ht="25.9" customHeight="1">
      <c r="B11" s="129"/>
      <c r="C11" s="127" t="s">
        <v>75</v>
      </c>
      <c r="D11" s="132" t="s">
        <v>76</v>
      </c>
      <c r="E11" s="132"/>
      <c r="I11" s="127" t="s">
        <v>77</v>
      </c>
      <c r="J11" s="126" t="s">
        <v>78</v>
      </c>
    </row>
    <row r="12" spans="1:20" ht="25.9" customHeight="1">
      <c r="B12" s="131"/>
      <c r="C12" s="127" t="s">
        <v>75</v>
      </c>
      <c r="D12" s="126" t="s">
        <v>79</v>
      </c>
      <c r="I12" s="127" t="s">
        <v>75</v>
      </c>
      <c r="J12" s="126" t="s">
        <v>80</v>
      </c>
    </row>
    <row r="13" spans="1:20" ht="25.9" customHeight="1">
      <c r="B13" s="129" t="s">
        <v>81</v>
      </c>
    </row>
    <row r="14" spans="1:20" ht="25.9" customHeight="1">
      <c r="B14" s="126" t="s">
        <v>82</v>
      </c>
      <c r="C14" s="189" t="s">
        <v>83</v>
      </c>
      <c r="I14" s="127" t="s">
        <v>84</v>
      </c>
      <c r="J14" s="126" t="s">
        <v>85</v>
      </c>
    </row>
    <row r="15" spans="1:20" ht="25.9" customHeight="1">
      <c r="C15" s="189" t="s">
        <v>86</v>
      </c>
      <c r="I15" s="127" t="s">
        <v>75</v>
      </c>
      <c r="J15" s="126" t="s">
        <v>87</v>
      </c>
    </row>
    <row r="16" spans="1:20" ht="25.5" customHeight="1">
      <c r="C16" s="189" t="s">
        <v>88</v>
      </c>
      <c r="I16" s="127" t="s">
        <v>75</v>
      </c>
      <c r="J16" s="126" t="s">
        <v>89</v>
      </c>
    </row>
    <row r="17" spans="1:11" ht="21.75" customHeight="1">
      <c r="D17" s="125" t="s">
        <v>90</v>
      </c>
    </row>
    <row r="18" spans="1:11" ht="25.9" customHeight="1">
      <c r="A18" s="194" t="s">
        <v>91</v>
      </c>
      <c r="B18" s="195"/>
      <c r="C18" s="6"/>
      <c r="D18" s="6"/>
      <c r="E18" s="38" t="s">
        <v>92</v>
      </c>
      <c r="F18" s="6" t="s">
        <v>93</v>
      </c>
      <c r="G18" s="6"/>
      <c r="H18" s="6"/>
      <c r="I18" s="127" t="s">
        <v>94</v>
      </c>
      <c r="J18" s="126" t="s">
        <v>95</v>
      </c>
      <c r="K18" s="13"/>
    </row>
    <row r="19" spans="1:11" ht="25.9" customHeight="1">
      <c r="A19" s="194" t="s">
        <v>96</v>
      </c>
      <c r="B19" s="198"/>
      <c r="C19" s="5"/>
      <c r="D19" s="6"/>
      <c r="E19" s="38" t="s">
        <v>92</v>
      </c>
      <c r="F19" s="6" t="s">
        <v>97</v>
      </c>
      <c r="G19" s="6"/>
      <c r="H19" s="6"/>
      <c r="I19" s="6"/>
      <c r="J19" s="6"/>
      <c r="K19" s="13"/>
    </row>
    <row r="20" spans="1:11" ht="25.9" customHeight="1">
      <c r="A20" s="194"/>
      <c r="B20" s="194"/>
      <c r="C20" s="5"/>
      <c r="D20" s="6"/>
      <c r="E20" s="38" t="s">
        <v>92</v>
      </c>
      <c r="F20" s="6" t="s">
        <v>98</v>
      </c>
      <c r="G20" s="6"/>
      <c r="H20" s="6"/>
      <c r="I20" s="6"/>
      <c r="J20" s="6"/>
      <c r="K20" s="6"/>
    </row>
    <row r="21" spans="1:11" ht="25.9" customHeight="1">
      <c r="A21" s="196"/>
      <c r="B21" s="196"/>
      <c r="C21" s="6"/>
      <c r="D21" s="6"/>
      <c r="E21" s="38" t="s">
        <v>92</v>
      </c>
      <c r="F21" s="6" t="s">
        <v>99</v>
      </c>
      <c r="G21" s="6"/>
      <c r="H21" s="6"/>
      <c r="I21" s="6"/>
      <c r="J21" s="6"/>
      <c r="K21" s="6"/>
    </row>
    <row r="22" spans="1:11" ht="25.9" customHeight="1">
      <c r="A22" s="194" t="s">
        <v>100</v>
      </c>
      <c r="B22" s="196"/>
      <c r="C22" s="6"/>
      <c r="D22" s="6"/>
      <c r="E22" s="6"/>
      <c r="F22" s="6"/>
      <c r="G22" s="6"/>
      <c r="H22" s="6"/>
      <c r="I22" s="6"/>
      <c r="J22" s="6"/>
      <c r="K22" s="6"/>
    </row>
    <row r="23" spans="1:11" ht="25.9" customHeight="1">
      <c r="A23" s="194" t="s">
        <v>101</v>
      </c>
      <c r="B23" s="196"/>
      <c r="C23" s="6"/>
      <c r="D23" s="6"/>
      <c r="E23" s="6"/>
      <c r="F23" s="6"/>
      <c r="G23" s="6"/>
      <c r="H23" s="6"/>
      <c r="I23" s="6"/>
      <c r="J23" s="6"/>
      <c r="K23" s="6"/>
    </row>
    <row r="24" spans="1:11" ht="25.9" customHeight="1">
      <c r="A24" s="194" t="s">
        <v>102</v>
      </c>
      <c r="B24" s="196"/>
      <c r="C24" s="5"/>
      <c r="D24" s="6"/>
      <c r="E24" s="6"/>
      <c r="F24" s="6"/>
      <c r="G24" s="9"/>
      <c r="H24" s="6"/>
      <c r="I24" s="6" t="s">
        <v>61</v>
      </c>
      <c r="K24" s="5" t="s">
        <v>103</v>
      </c>
    </row>
    <row r="25" spans="1:11" ht="25.9" customHeight="1">
      <c r="A25" s="194" t="s">
        <v>104</v>
      </c>
      <c r="B25" s="194"/>
      <c r="C25" s="6"/>
      <c r="D25" s="6"/>
      <c r="E25" s="6"/>
      <c r="F25" s="6"/>
      <c r="G25" s="6"/>
      <c r="H25" s="6"/>
      <c r="I25" s="6" t="s">
        <v>61</v>
      </c>
      <c r="K25" s="5" t="s">
        <v>103</v>
      </c>
    </row>
    <row r="26" spans="1:11" ht="25.9" customHeight="1">
      <c r="A26" s="194" t="s">
        <v>105</v>
      </c>
      <c r="B26" s="196"/>
      <c r="C26" s="6"/>
      <c r="D26" s="5"/>
      <c r="E26" s="6"/>
      <c r="F26" s="7"/>
      <c r="G26" s="6"/>
      <c r="H26" s="6"/>
      <c r="I26" s="6" t="s">
        <v>106</v>
      </c>
      <c r="K26" s="5" t="s">
        <v>103</v>
      </c>
    </row>
    <row r="27" spans="1:11" ht="25.9" customHeight="1">
      <c r="A27" s="194" t="s">
        <v>107</v>
      </c>
      <c r="B27" s="196"/>
      <c r="C27" s="6"/>
      <c r="D27" s="6"/>
      <c r="E27" s="6"/>
      <c r="F27" s="6"/>
      <c r="G27" s="6" t="s">
        <v>108</v>
      </c>
      <c r="H27" s="6"/>
      <c r="I27" s="6"/>
      <c r="K27" s="5" t="s">
        <v>103</v>
      </c>
    </row>
    <row r="28" spans="1:11" ht="25.9" customHeight="1">
      <c r="A28" s="129" t="s">
        <v>109</v>
      </c>
      <c r="B28" s="131"/>
    </row>
    <row r="29" spans="1:11" ht="25.9" customHeight="1">
      <c r="C29" s="133" t="s">
        <v>110</v>
      </c>
    </row>
    <row r="30" spans="1:11" ht="25.9" customHeight="1">
      <c r="B30" s="126" t="s">
        <v>111</v>
      </c>
    </row>
    <row r="31" spans="1:11" ht="25.9" customHeight="1">
      <c r="B31" s="126" t="s">
        <v>112</v>
      </c>
    </row>
    <row r="32" spans="1:11" ht="25.9" customHeight="1">
      <c r="B32" s="126" t="s">
        <v>112</v>
      </c>
    </row>
  </sheetData>
  <mergeCells count="2">
    <mergeCell ref="A2:K2"/>
    <mergeCell ref="A3:K3"/>
  </mergeCells>
  <phoneticPr fontId="0" type="noConversion"/>
  <printOptions horizontalCentered="1"/>
  <pageMargins left="0.7" right="0.7" top="0.75" bottom="0.75" header="0.3" footer="0.3"/>
  <pageSetup paperSize="9" scale="87" orientation="portrait" r:id="rId1"/>
  <headerFooter alignWithMargins="0"/>
  <ignoredErrors>
    <ignoredError sqref="A5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M39"/>
  <sheetViews>
    <sheetView showGridLines="0" view="pageBreakPreview" zoomScaleNormal="100" zoomScaleSheetLayoutView="100" workbookViewId="0">
      <selection activeCell="D7" sqref="D7"/>
    </sheetView>
  </sheetViews>
  <sheetFormatPr defaultColWidth="9.140625" defaultRowHeight="21"/>
  <cols>
    <col min="1" max="1" width="3.42578125" style="6" customWidth="1"/>
    <col min="2" max="2" width="2.7109375" style="6" customWidth="1"/>
    <col min="3" max="3" width="5.28515625" style="6" customWidth="1"/>
    <col min="4" max="4" width="5.42578125" style="6" customWidth="1"/>
    <col min="5" max="6" width="14.85546875" style="6" customWidth="1"/>
    <col min="7" max="7" width="10.7109375" style="6" customWidth="1"/>
    <col min="8" max="8" width="11.42578125" style="6" customWidth="1"/>
    <col min="9" max="9" width="1.140625" style="6" customWidth="1"/>
    <col min="10" max="10" width="12.7109375" style="6" customWidth="1"/>
    <col min="11" max="11" width="11" style="6" customWidth="1"/>
    <col min="12" max="12" width="14" style="6" customWidth="1"/>
    <col min="13" max="16384" width="9.140625" style="6"/>
  </cols>
  <sheetData>
    <row r="1" spans="2:13">
      <c r="H1" s="267" t="s">
        <v>113</v>
      </c>
      <c r="I1" s="267"/>
      <c r="L1" s="5"/>
    </row>
    <row r="2" spans="2:13" ht="10.5" customHeight="1">
      <c r="B2" s="5"/>
      <c r="C2" s="5"/>
      <c r="D2" s="5"/>
      <c r="E2" s="5"/>
      <c r="F2" s="5"/>
      <c r="G2" s="5"/>
      <c r="H2" s="5"/>
      <c r="I2" s="5"/>
      <c r="J2" s="10"/>
      <c r="K2" s="13"/>
      <c r="L2" s="13"/>
      <c r="M2" s="13"/>
    </row>
    <row r="3" spans="2:13">
      <c r="C3" s="5" t="s">
        <v>114</v>
      </c>
      <c r="D3" s="5"/>
      <c r="E3" s="5"/>
      <c r="F3" s="5"/>
      <c r="G3" s="5"/>
      <c r="H3" s="5"/>
      <c r="I3" s="5"/>
      <c r="J3" s="5"/>
      <c r="K3" s="13"/>
      <c r="L3" s="13"/>
      <c r="M3" s="13"/>
    </row>
    <row r="4" spans="2:13">
      <c r="C4" s="5"/>
      <c r="D4" s="5" t="s">
        <v>115</v>
      </c>
      <c r="F4" s="5"/>
      <c r="G4" s="5"/>
      <c r="H4" s="5"/>
      <c r="I4" s="5"/>
      <c r="J4" s="5"/>
      <c r="L4" s="13"/>
      <c r="M4" s="13"/>
    </row>
    <row r="5" spans="2:13" ht="24">
      <c r="C5" s="5"/>
      <c r="D5" s="251" t="s">
        <v>116</v>
      </c>
      <c r="F5" s="5"/>
      <c r="G5" s="5"/>
      <c r="H5" s="5"/>
      <c r="I5" s="5"/>
      <c r="J5" s="5"/>
      <c r="L5" s="13"/>
      <c r="M5" s="13"/>
    </row>
    <row r="6" spans="2:13" ht="16.5" customHeight="1">
      <c r="C6" s="5"/>
      <c r="D6" s="6" t="s">
        <v>117</v>
      </c>
      <c r="F6" s="5"/>
      <c r="G6" s="5"/>
      <c r="H6" s="5"/>
      <c r="I6" s="5"/>
      <c r="J6" s="5"/>
      <c r="L6" s="13"/>
      <c r="M6" s="13"/>
    </row>
    <row r="7" spans="2:13" ht="24">
      <c r="C7" s="5"/>
      <c r="D7" s="251" t="s">
        <v>118</v>
      </c>
      <c r="F7" s="5"/>
      <c r="G7" s="5"/>
      <c r="H7" s="5"/>
      <c r="I7" s="5"/>
      <c r="J7" s="5"/>
      <c r="L7" s="13"/>
      <c r="M7" s="13"/>
    </row>
    <row r="8" spans="2:13" ht="17.25" customHeight="1">
      <c r="C8" s="5"/>
      <c r="D8" s="6" t="s">
        <v>119</v>
      </c>
      <c r="F8" s="5"/>
      <c r="G8" s="5"/>
      <c r="H8" s="5"/>
      <c r="I8" s="5"/>
      <c r="J8" s="5"/>
      <c r="L8" s="13"/>
      <c r="M8" s="13"/>
    </row>
    <row r="9" spans="2:13">
      <c r="B9" s="5"/>
      <c r="C9" s="5"/>
      <c r="D9" s="5" t="s">
        <v>120</v>
      </c>
      <c r="F9" s="5"/>
      <c r="G9" s="5"/>
      <c r="H9" s="5"/>
      <c r="I9" s="5"/>
      <c r="J9" s="10"/>
      <c r="K9" s="13"/>
      <c r="L9" s="13"/>
      <c r="M9" s="13"/>
    </row>
    <row r="10" spans="2:13">
      <c r="D10" s="5" t="s">
        <v>121</v>
      </c>
      <c r="J10" s="10"/>
      <c r="K10" s="13"/>
      <c r="L10" s="13"/>
      <c r="M10" s="13"/>
    </row>
    <row r="11" spans="2:13" ht="15" customHeight="1">
      <c r="D11" s="6" t="s">
        <v>122</v>
      </c>
      <c r="J11" s="10"/>
      <c r="K11" s="13"/>
      <c r="L11" s="13"/>
      <c r="M11" s="13"/>
    </row>
    <row r="12" spans="2:13">
      <c r="D12" s="5" t="s">
        <v>123</v>
      </c>
      <c r="J12" s="10"/>
      <c r="K12" s="13"/>
      <c r="L12" s="13"/>
      <c r="M12" s="13"/>
    </row>
    <row r="13" spans="2:13" ht="13.5" customHeight="1">
      <c r="D13" s="6" t="s">
        <v>122</v>
      </c>
      <c r="J13" s="10"/>
      <c r="K13" s="13"/>
      <c r="L13" s="13"/>
      <c r="M13" s="13"/>
    </row>
    <row r="14" spans="2:13">
      <c r="C14" s="11" t="s">
        <v>124</v>
      </c>
      <c r="D14" s="5"/>
    </row>
    <row r="15" spans="2:13">
      <c r="C15" s="11"/>
      <c r="D15" s="1" t="s">
        <v>125</v>
      </c>
      <c r="F15" s="1"/>
      <c r="G15" s="1"/>
      <c r="H15" s="1"/>
      <c r="I15" s="59"/>
    </row>
    <row r="16" spans="2:13" ht="13.5" customHeight="1">
      <c r="E16" s="6" t="s">
        <v>126</v>
      </c>
      <c r="F16" s="32"/>
      <c r="G16" s="32"/>
      <c r="H16" s="32"/>
      <c r="I16" s="59"/>
    </row>
    <row r="17" spans="3:13" ht="15" customHeight="1">
      <c r="D17" s="6" t="s">
        <v>122</v>
      </c>
    </row>
    <row r="18" spans="3:13">
      <c r="C18" s="11"/>
      <c r="D18" s="5" t="s">
        <v>127</v>
      </c>
    </row>
    <row r="19" spans="3:13" ht="15" customHeight="1">
      <c r="E19" s="6" t="s">
        <v>128</v>
      </c>
    </row>
    <row r="20" spans="3:13" ht="15.75" customHeight="1">
      <c r="D20" s="6" t="s">
        <v>122</v>
      </c>
    </row>
    <row r="21" spans="3:13">
      <c r="C21" s="5" t="s">
        <v>129</v>
      </c>
      <c r="J21" s="10"/>
      <c r="K21" s="13"/>
      <c r="L21" s="13"/>
      <c r="M21" s="13"/>
    </row>
    <row r="22" spans="3:13" ht="15" customHeight="1">
      <c r="D22" s="23" t="s">
        <v>130</v>
      </c>
      <c r="J22" s="10"/>
      <c r="K22" s="13"/>
      <c r="L22" s="13"/>
      <c r="M22" s="13"/>
    </row>
    <row r="23" spans="3:13" ht="13.5" customHeight="1">
      <c r="C23" s="6" t="s">
        <v>131</v>
      </c>
      <c r="D23" s="23" t="s">
        <v>132</v>
      </c>
      <c r="J23" s="10"/>
      <c r="K23" s="13"/>
      <c r="L23" s="13"/>
      <c r="M23" s="13"/>
    </row>
    <row r="24" spans="3:13" ht="13.5" customHeight="1">
      <c r="D24" s="23" t="s">
        <v>133</v>
      </c>
      <c r="J24" s="10"/>
      <c r="K24" s="13"/>
      <c r="L24" s="13"/>
      <c r="M24" s="13"/>
    </row>
    <row r="25" spans="3:13">
      <c r="C25" s="5" t="s">
        <v>134</v>
      </c>
      <c r="J25" s="10"/>
      <c r="K25" s="13"/>
      <c r="L25" s="13"/>
      <c r="M25" s="13"/>
    </row>
    <row r="26" spans="3:13" ht="13.5" customHeight="1">
      <c r="D26" s="23" t="s">
        <v>135</v>
      </c>
      <c r="J26" s="10"/>
      <c r="K26" s="13"/>
      <c r="L26" s="13"/>
      <c r="M26" s="13"/>
    </row>
    <row r="27" spans="3:13" ht="16.5" customHeight="1">
      <c r="C27" s="6" t="s">
        <v>136</v>
      </c>
      <c r="D27" s="9"/>
      <c r="J27" s="10"/>
      <c r="K27" s="13"/>
      <c r="L27" s="13"/>
      <c r="M27" s="13"/>
    </row>
    <row r="28" spans="3:13">
      <c r="C28" s="5" t="s">
        <v>137</v>
      </c>
      <c r="J28" s="10"/>
      <c r="K28" s="13"/>
      <c r="L28" s="13"/>
      <c r="M28" s="13"/>
    </row>
    <row r="29" spans="3:13">
      <c r="C29" s="5" t="s">
        <v>138</v>
      </c>
      <c r="J29" s="10"/>
      <c r="K29" s="13"/>
      <c r="L29" s="13"/>
      <c r="M29" s="13"/>
    </row>
    <row r="30" spans="3:13">
      <c r="C30" s="5"/>
      <c r="D30" s="5" t="s">
        <v>139</v>
      </c>
      <c r="E30"/>
      <c r="F30"/>
      <c r="G30"/>
      <c r="H30"/>
      <c r="I30"/>
      <c r="J30" s="10"/>
      <c r="K30" s="13"/>
      <c r="L30" s="13"/>
      <c r="M30" s="13"/>
    </row>
    <row r="31" spans="3:13">
      <c r="C31" s="176" t="s">
        <v>140</v>
      </c>
      <c r="D31" s="5"/>
      <c r="E31"/>
      <c r="F31"/>
      <c r="G31"/>
      <c r="H31"/>
      <c r="I31"/>
      <c r="J31" s="10"/>
      <c r="K31" s="13"/>
      <c r="L31" s="13"/>
      <c r="M31" s="13"/>
    </row>
    <row r="32" spans="3:13">
      <c r="C32" s="5" t="s">
        <v>141</v>
      </c>
      <c r="J32" s="10"/>
      <c r="K32" s="13"/>
      <c r="L32" s="13"/>
      <c r="M32" s="13"/>
    </row>
    <row r="33" spans="1:13" ht="28.5" customHeight="1">
      <c r="A33" s="11" t="s">
        <v>36</v>
      </c>
      <c r="B33" s="5" t="s">
        <v>142</v>
      </c>
      <c r="J33" s="10"/>
      <c r="K33" s="13"/>
      <c r="L33" s="13"/>
      <c r="M33" s="13"/>
    </row>
    <row r="34" spans="1:13">
      <c r="C34" s="37" t="s">
        <v>143</v>
      </c>
      <c r="D34" s="5" t="s">
        <v>144</v>
      </c>
      <c r="J34" s="10"/>
      <c r="K34" s="13"/>
      <c r="L34" s="13"/>
      <c r="M34" s="13"/>
    </row>
    <row r="35" spans="1:13">
      <c r="F35" s="60" t="s">
        <v>145</v>
      </c>
      <c r="G35" s="6" t="s">
        <v>146</v>
      </c>
      <c r="H35" s="8" t="s">
        <v>147</v>
      </c>
      <c r="J35" s="10"/>
      <c r="K35" s="13"/>
      <c r="L35" s="13"/>
      <c r="M35" s="13"/>
    </row>
    <row r="36" spans="1:13">
      <c r="F36" s="60" t="s">
        <v>148</v>
      </c>
      <c r="G36" s="6" t="s">
        <v>146</v>
      </c>
      <c r="H36" s="8" t="s">
        <v>149</v>
      </c>
      <c r="J36" s="10"/>
      <c r="K36" s="13"/>
      <c r="L36" s="13"/>
      <c r="M36" s="13"/>
    </row>
    <row r="37" spans="1:13">
      <c r="F37" s="60" t="s">
        <v>150</v>
      </c>
      <c r="G37" s="6" t="s">
        <v>146</v>
      </c>
      <c r="H37" s="8" t="s">
        <v>151</v>
      </c>
      <c r="J37" s="10"/>
      <c r="K37" s="13"/>
      <c r="L37" s="13"/>
      <c r="M37" s="13"/>
    </row>
    <row r="38" spans="1:13">
      <c r="F38" s="60" t="s">
        <v>152</v>
      </c>
      <c r="G38" s="6" t="s">
        <v>146</v>
      </c>
      <c r="H38" s="8" t="s">
        <v>149</v>
      </c>
      <c r="J38" s="10"/>
      <c r="K38" s="13"/>
      <c r="L38" s="13"/>
      <c r="M38" s="13"/>
    </row>
    <row r="39" spans="1:13">
      <c r="F39" s="60" t="s">
        <v>153</v>
      </c>
      <c r="G39" s="6" t="s">
        <v>146</v>
      </c>
      <c r="H39" s="8" t="s">
        <v>149</v>
      </c>
      <c r="J39" s="10"/>
      <c r="K39" s="13"/>
      <c r="L39" s="13"/>
      <c r="M39" s="13"/>
    </row>
  </sheetData>
  <mergeCells count="1">
    <mergeCell ref="H1:I1"/>
  </mergeCells>
  <printOptions horizontalCentered="1"/>
  <pageMargins left="0.6692913385826772" right="0.39370078740157483" top="0.39370078740157483" bottom="0.19685039370078741" header="0.51181102362204722" footer="0.51181102362204722"/>
  <pageSetup paperSize="9" scale="97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H45"/>
  <sheetViews>
    <sheetView topLeftCell="A31" zoomScale="120" zoomScaleNormal="120" workbookViewId="0">
      <selection activeCell="B44" sqref="B44:B45"/>
    </sheetView>
  </sheetViews>
  <sheetFormatPr defaultColWidth="9.140625" defaultRowHeight="21"/>
  <cols>
    <col min="1" max="1" width="5.140625" style="6" customWidth="1"/>
    <col min="2" max="2" width="151.140625" style="6" bestFit="1" customWidth="1"/>
    <col min="3" max="3" width="24.85546875" style="6" customWidth="1"/>
    <col min="4" max="4" width="24.85546875" style="6" bestFit="1" customWidth="1"/>
    <col min="5" max="5" width="34.5703125" style="6" customWidth="1"/>
    <col min="6" max="16384" width="9.140625" style="6"/>
  </cols>
  <sheetData>
    <row r="1" spans="1:8" s="32" customFormat="1">
      <c r="B1" s="32" t="s">
        <v>154</v>
      </c>
      <c r="C1" s="32" t="s">
        <v>155</v>
      </c>
      <c r="D1" s="32" t="s">
        <v>156</v>
      </c>
      <c r="H1" s="32" t="s">
        <v>157</v>
      </c>
    </row>
    <row r="2" spans="1:8">
      <c r="A2" s="8" t="s">
        <v>158</v>
      </c>
      <c r="B2" s="8" t="s">
        <v>158</v>
      </c>
      <c r="C2" s="121" t="s">
        <v>159</v>
      </c>
      <c r="H2" s="6" t="s">
        <v>160</v>
      </c>
    </row>
    <row r="3" spans="1:8">
      <c r="A3" s="8" t="s">
        <v>161</v>
      </c>
      <c r="B3" s="8" t="s">
        <v>158</v>
      </c>
      <c r="C3" s="121" t="s">
        <v>162</v>
      </c>
      <c r="H3" s="6" t="s">
        <v>163</v>
      </c>
    </row>
    <row r="4" spans="1:8">
      <c r="A4" s="8" t="s">
        <v>164</v>
      </c>
      <c r="B4" s="8" t="s">
        <v>158</v>
      </c>
      <c r="C4" s="121" t="s">
        <v>165</v>
      </c>
      <c r="H4" s="6" t="s">
        <v>166</v>
      </c>
    </row>
    <row r="5" spans="1:8">
      <c r="A5" s="8" t="s">
        <v>167</v>
      </c>
      <c r="B5" s="8" t="s">
        <v>158</v>
      </c>
      <c r="C5" s="121" t="s">
        <v>168</v>
      </c>
      <c r="H5" s="6" t="s">
        <v>169</v>
      </c>
    </row>
    <row r="6" spans="1:8">
      <c r="B6" s="8" t="s">
        <v>161</v>
      </c>
      <c r="C6" s="122" t="s">
        <v>170</v>
      </c>
    </row>
    <row r="7" spans="1:8">
      <c r="A7" s="8"/>
      <c r="B7" s="8" t="s">
        <v>161</v>
      </c>
      <c r="C7" s="122" t="s">
        <v>171</v>
      </c>
    </row>
    <row r="8" spans="1:8">
      <c r="B8" s="8" t="s">
        <v>164</v>
      </c>
      <c r="C8" s="123" t="s">
        <v>172</v>
      </c>
      <c r="H8"/>
    </row>
    <row r="9" spans="1:8">
      <c r="A9" s="8"/>
      <c r="B9" s="8" t="s">
        <v>164</v>
      </c>
      <c r="C9" s="123" t="s">
        <v>173</v>
      </c>
    </row>
    <row r="10" spans="1:8">
      <c r="B10" s="8" t="s">
        <v>167</v>
      </c>
      <c r="C10" s="124" t="s">
        <v>174</v>
      </c>
    </row>
    <row r="11" spans="1:8">
      <c r="B11" s="8" t="s">
        <v>167</v>
      </c>
      <c r="C11" s="124" t="s">
        <v>175</v>
      </c>
    </row>
    <row r="12" spans="1:8">
      <c r="B12" s="8" t="s">
        <v>167</v>
      </c>
      <c r="C12" s="124" t="s">
        <v>176</v>
      </c>
    </row>
    <row r="13" spans="1:8">
      <c r="B13" s="121" t="s">
        <v>159</v>
      </c>
      <c r="C13" s="121" t="s">
        <v>177</v>
      </c>
    </row>
    <row r="14" spans="1:8">
      <c r="B14" s="121" t="s">
        <v>159</v>
      </c>
      <c r="C14" s="121" t="s">
        <v>178</v>
      </c>
    </row>
    <row r="15" spans="1:8">
      <c r="B15" s="121" t="s">
        <v>162</v>
      </c>
      <c r="C15" s="121" t="s">
        <v>179</v>
      </c>
    </row>
    <row r="16" spans="1:8">
      <c r="B16" s="121" t="s">
        <v>162</v>
      </c>
      <c r="C16" s="121" t="s">
        <v>180</v>
      </c>
    </row>
    <row r="17" spans="2:3">
      <c r="B17" s="121" t="s">
        <v>165</v>
      </c>
      <c r="C17" s="121" t="s">
        <v>181</v>
      </c>
    </row>
    <row r="18" spans="2:3">
      <c r="B18" s="121" t="s">
        <v>165</v>
      </c>
      <c r="C18" s="121" t="s">
        <v>182</v>
      </c>
    </row>
    <row r="19" spans="2:3">
      <c r="B19" s="121" t="s">
        <v>168</v>
      </c>
      <c r="C19" s="121" t="s">
        <v>183</v>
      </c>
    </row>
    <row r="20" spans="2:3">
      <c r="B20" s="122" t="s">
        <v>170</v>
      </c>
      <c r="C20" s="122" t="s">
        <v>184</v>
      </c>
    </row>
    <row r="21" spans="2:3">
      <c r="B21" s="122" t="s">
        <v>170</v>
      </c>
      <c r="C21" s="122" t="s">
        <v>185</v>
      </c>
    </row>
    <row r="22" spans="2:3">
      <c r="B22" s="122" t="s">
        <v>171</v>
      </c>
      <c r="C22" s="122" t="s">
        <v>186</v>
      </c>
    </row>
    <row r="23" spans="2:3">
      <c r="B23" s="122" t="s">
        <v>171</v>
      </c>
      <c r="C23" s="122" t="s">
        <v>187</v>
      </c>
    </row>
    <row r="24" spans="2:3">
      <c r="B24" s="122" t="s">
        <v>171</v>
      </c>
      <c r="C24" s="122" t="s">
        <v>188</v>
      </c>
    </row>
    <row r="25" spans="2:3">
      <c r="B25" s="123" t="s">
        <v>172</v>
      </c>
      <c r="C25" s="123" t="s">
        <v>189</v>
      </c>
    </row>
    <row r="26" spans="2:3">
      <c r="B26" s="123" t="s">
        <v>173</v>
      </c>
      <c r="C26" s="123" t="s">
        <v>190</v>
      </c>
    </row>
    <row r="27" spans="2:3">
      <c r="B27" s="124" t="s">
        <v>174</v>
      </c>
      <c r="C27" s="124" t="s">
        <v>191</v>
      </c>
    </row>
    <row r="28" spans="2:3">
      <c r="B28" s="124" t="s">
        <v>175</v>
      </c>
      <c r="C28" s="124" t="s">
        <v>192</v>
      </c>
    </row>
    <row r="29" spans="2:3">
      <c r="B29" s="124" t="s">
        <v>175</v>
      </c>
      <c r="C29" s="124" t="s">
        <v>193</v>
      </c>
    </row>
    <row r="30" spans="2:3">
      <c r="B30" s="124" t="s">
        <v>175</v>
      </c>
      <c r="C30" s="124" t="s">
        <v>194</v>
      </c>
    </row>
    <row r="31" spans="2:3">
      <c r="B31" s="124" t="s">
        <v>176</v>
      </c>
      <c r="C31" s="124" t="s">
        <v>195</v>
      </c>
    </row>
    <row r="35" spans="2:2" ht="21" customHeight="1">
      <c r="B35" s="178" t="s">
        <v>196</v>
      </c>
    </row>
    <row r="36" spans="2:2" ht="21" customHeight="1">
      <c r="B36" s="178" t="s">
        <v>197</v>
      </c>
    </row>
    <row r="37" spans="2:2" ht="21" customHeight="1">
      <c r="B37" s="178" t="s">
        <v>198</v>
      </c>
    </row>
    <row r="38" spans="2:2" ht="21" customHeight="1">
      <c r="B38" s="6" t="s">
        <v>199</v>
      </c>
    </row>
    <row r="39" spans="2:2">
      <c r="B39" s="6" t="s">
        <v>200</v>
      </c>
    </row>
    <row r="40" spans="2:2">
      <c r="B40" s="178" t="s">
        <v>201</v>
      </c>
    </row>
    <row r="41" spans="2:2">
      <c r="B41" s="178" t="s">
        <v>202</v>
      </c>
    </row>
    <row r="42" spans="2:2">
      <c r="B42" s="178" t="s">
        <v>203</v>
      </c>
    </row>
    <row r="43" spans="2:2">
      <c r="B43" s="178" t="s">
        <v>204</v>
      </c>
    </row>
    <row r="44" spans="2:2">
      <c r="B44" s="6" t="s">
        <v>205</v>
      </c>
    </row>
    <row r="45" spans="2:2">
      <c r="B45" s="6" t="s">
        <v>206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27"/>
  <sheetViews>
    <sheetView showGridLines="0" view="pageBreakPreview" zoomScaleNormal="100" zoomScaleSheetLayoutView="100" workbookViewId="0">
      <selection activeCell="R7" sqref="R7:W7"/>
    </sheetView>
  </sheetViews>
  <sheetFormatPr defaultColWidth="9.140625" defaultRowHeight="25.9" customHeight="1"/>
  <cols>
    <col min="1" max="1" width="4.140625" style="127" customWidth="1"/>
    <col min="2" max="2" width="27" style="179" customWidth="1"/>
    <col min="3" max="3" width="6.85546875" style="179" customWidth="1"/>
    <col min="4" max="4" width="4.85546875" style="179" customWidth="1"/>
    <col min="5" max="5" width="21" style="179" customWidth="1"/>
    <col min="6" max="10" width="5.28515625" style="179" customWidth="1"/>
    <col min="11" max="11" width="4.5703125" style="179" customWidth="1"/>
    <col min="12" max="12" width="5.28515625" style="179" customWidth="1"/>
    <col min="13" max="13" width="3.85546875" style="179" customWidth="1"/>
    <col min="14" max="14" width="3.7109375" style="179" customWidth="1"/>
    <col min="15" max="15" width="3.28515625" style="179" customWidth="1"/>
    <col min="16" max="17" width="5.28515625" style="179" customWidth="1"/>
    <col min="18" max="18" width="3.42578125" style="179" customWidth="1"/>
    <col min="19" max="19" width="4.140625" style="179" customWidth="1"/>
    <col min="20" max="20" width="3.7109375" style="179" customWidth="1"/>
    <col min="21" max="21" width="4.42578125" style="179" customWidth="1"/>
    <col min="22" max="22" width="3.5703125" style="179" customWidth="1"/>
    <col min="23" max="23" width="6.28515625" style="179" customWidth="1"/>
    <col min="24" max="24" width="9.42578125" style="179" customWidth="1"/>
    <col min="25" max="16384" width="9.140625" style="126"/>
  </cols>
  <sheetData>
    <row r="1" spans="1:27" ht="21">
      <c r="W1" s="174" t="s">
        <v>207</v>
      </c>
    </row>
    <row r="2" spans="1:27" ht="21">
      <c r="A2" s="129" t="s">
        <v>208</v>
      </c>
      <c r="B2" s="126"/>
      <c r="C2" s="126"/>
      <c r="F2" s="126"/>
      <c r="G2" s="126"/>
      <c r="H2" s="126"/>
      <c r="O2" s="126"/>
      <c r="P2" s="126"/>
      <c r="W2" s="174"/>
      <c r="X2" s="126"/>
    </row>
    <row r="3" spans="1:27" s="125" customFormat="1" ht="29.25" customHeight="1">
      <c r="A3" s="179"/>
      <c r="B3" s="175" t="s">
        <v>209</v>
      </c>
      <c r="C3" s="175"/>
      <c r="D3" s="179"/>
      <c r="E3" s="179"/>
      <c r="F3" s="175"/>
      <c r="G3" s="175"/>
      <c r="H3" s="175"/>
      <c r="I3" s="179"/>
      <c r="J3" s="179"/>
      <c r="K3" s="179"/>
      <c r="L3" s="179"/>
      <c r="M3" s="179"/>
      <c r="N3" s="179"/>
      <c r="O3" s="175"/>
      <c r="P3" s="175"/>
      <c r="Q3" s="179"/>
      <c r="R3" s="179"/>
      <c r="S3" s="179"/>
      <c r="T3" s="179"/>
      <c r="U3" s="179"/>
      <c r="V3" s="179"/>
      <c r="W3" s="174"/>
      <c r="X3" s="175"/>
    </row>
    <row r="4" spans="1:27" ht="25.9" customHeight="1">
      <c r="A4" s="270" t="s">
        <v>210</v>
      </c>
      <c r="B4" s="271"/>
      <c r="C4" s="272"/>
      <c r="D4" s="270" t="s">
        <v>211</v>
      </c>
      <c r="E4" s="271"/>
      <c r="F4" s="271"/>
      <c r="G4" s="271"/>
      <c r="H4" s="272"/>
      <c r="I4" s="270" t="s">
        <v>212</v>
      </c>
      <c r="J4" s="271"/>
      <c r="K4" s="271"/>
      <c r="L4" s="271"/>
      <c r="M4" s="271"/>
      <c r="N4" s="271"/>
      <c r="O4" s="271"/>
      <c r="P4" s="272"/>
      <c r="Q4" s="270" t="s">
        <v>213</v>
      </c>
      <c r="R4" s="271"/>
      <c r="S4" s="271"/>
      <c r="T4" s="271"/>
      <c r="U4" s="271"/>
      <c r="V4" s="271"/>
      <c r="W4" s="271"/>
      <c r="X4" s="272"/>
    </row>
    <row r="5" spans="1:27" ht="90.75" customHeight="1">
      <c r="A5" s="273" t="s">
        <v>214</v>
      </c>
      <c r="B5" s="274"/>
      <c r="C5" s="275"/>
      <c r="D5" s="273" t="s">
        <v>215</v>
      </c>
      <c r="E5" s="274"/>
      <c r="F5" s="274"/>
      <c r="G5" s="274"/>
      <c r="H5" s="275"/>
      <c r="I5" s="273" t="s">
        <v>216</v>
      </c>
      <c r="J5" s="274"/>
      <c r="K5" s="274"/>
      <c r="L5" s="274"/>
      <c r="M5" s="274"/>
      <c r="N5" s="274"/>
      <c r="O5" s="274"/>
      <c r="P5" s="275"/>
      <c r="Q5" s="273" t="s">
        <v>217</v>
      </c>
      <c r="R5" s="274"/>
      <c r="S5" s="274"/>
      <c r="T5" s="274"/>
      <c r="U5" s="274"/>
      <c r="V5" s="274"/>
      <c r="W5" s="274"/>
      <c r="X5" s="275"/>
      <c r="Y5" s="6"/>
      <c r="Z5" s="6"/>
      <c r="AA5" s="6"/>
    </row>
    <row r="6" spans="1:27" s="125" customFormat="1" ht="86.25" customHeight="1">
      <c r="A6" s="187" t="s">
        <v>218</v>
      </c>
      <c r="B6" s="192" t="s">
        <v>219</v>
      </c>
      <c r="C6" s="136" t="s">
        <v>220</v>
      </c>
      <c r="D6" s="184" t="s">
        <v>221</v>
      </c>
      <c r="E6" s="284" t="s">
        <v>222</v>
      </c>
      <c r="F6" s="284"/>
      <c r="G6" s="311" t="s">
        <v>223</v>
      </c>
      <c r="H6" s="286"/>
      <c r="I6" s="184" t="s">
        <v>218</v>
      </c>
      <c r="J6" s="284" t="s">
        <v>224</v>
      </c>
      <c r="K6" s="284"/>
      <c r="L6" s="284"/>
      <c r="M6" s="284"/>
      <c r="N6" s="284"/>
      <c r="O6" s="285" t="s">
        <v>220</v>
      </c>
      <c r="P6" s="286"/>
      <c r="Q6" s="184" t="s">
        <v>218</v>
      </c>
      <c r="R6" s="284" t="s">
        <v>225</v>
      </c>
      <c r="S6" s="284"/>
      <c r="T6" s="284"/>
      <c r="U6" s="284"/>
      <c r="V6" s="284"/>
      <c r="W6" s="284"/>
      <c r="X6" s="190" t="s">
        <v>220</v>
      </c>
      <c r="Y6" s="2"/>
      <c r="Z6" s="2"/>
      <c r="AA6" s="2"/>
    </row>
    <row r="7" spans="1:27" s="125" customFormat="1" ht="152.25" customHeight="1">
      <c r="A7" s="187" t="s">
        <v>218</v>
      </c>
      <c r="B7" s="136" t="s">
        <v>226</v>
      </c>
      <c r="C7" s="136" t="s">
        <v>220</v>
      </c>
      <c r="D7" s="184" t="s">
        <v>221</v>
      </c>
      <c r="E7" s="308" t="s">
        <v>227</v>
      </c>
      <c r="F7" s="308"/>
      <c r="G7" s="312" t="s">
        <v>223</v>
      </c>
      <c r="H7" s="288"/>
      <c r="I7" s="184" t="s">
        <v>218</v>
      </c>
      <c r="J7" s="308" t="s">
        <v>228</v>
      </c>
      <c r="K7" s="308"/>
      <c r="L7" s="308"/>
      <c r="M7" s="308"/>
      <c r="N7" s="308"/>
      <c r="O7" s="287" t="s">
        <v>220</v>
      </c>
      <c r="P7" s="288"/>
      <c r="Q7" s="184" t="s">
        <v>218</v>
      </c>
      <c r="R7" s="308" t="s">
        <v>229</v>
      </c>
      <c r="S7" s="308"/>
      <c r="T7" s="308"/>
      <c r="U7" s="308"/>
      <c r="V7" s="308"/>
      <c r="W7" s="308"/>
      <c r="X7" s="181" t="s">
        <v>220</v>
      </c>
      <c r="Y7" s="2"/>
      <c r="Z7" s="2"/>
      <c r="AA7" s="2"/>
    </row>
    <row r="8" spans="1:27" s="125" customFormat="1" ht="78.75" customHeight="1">
      <c r="A8" s="187" t="s">
        <v>218</v>
      </c>
      <c r="B8" s="136" t="s">
        <v>230</v>
      </c>
      <c r="C8" s="136" t="s">
        <v>220</v>
      </c>
      <c r="D8" s="184"/>
      <c r="E8" s="136"/>
      <c r="F8" s="136"/>
      <c r="G8" s="136"/>
      <c r="H8" s="136"/>
      <c r="I8" s="184" t="s">
        <v>218</v>
      </c>
      <c r="J8" s="308" t="s">
        <v>231</v>
      </c>
      <c r="K8" s="308"/>
      <c r="L8" s="308"/>
      <c r="M8" s="308"/>
      <c r="N8" s="308"/>
      <c r="O8" s="287" t="s">
        <v>220</v>
      </c>
      <c r="P8" s="288"/>
      <c r="Q8" s="184"/>
      <c r="R8" s="191"/>
      <c r="S8" s="191"/>
      <c r="T8" s="191"/>
      <c r="U8" s="191"/>
      <c r="V8" s="191"/>
      <c r="W8" s="136"/>
      <c r="X8" s="181"/>
      <c r="Y8" s="2"/>
      <c r="Z8" s="2"/>
      <c r="AA8" s="2"/>
    </row>
    <row r="9" spans="1:27" s="125" customFormat="1" ht="68.25" customHeight="1">
      <c r="A9" s="188"/>
      <c r="B9" s="183"/>
      <c r="C9" s="183"/>
      <c r="D9" s="186"/>
      <c r="E9" s="183"/>
      <c r="F9" s="183"/>
      <c r="G9" s="183"/>
      <c r="H9" s="183"/>
      <c r="I9" s="185" t="s">
        <v>218</v>
      </c>
      <c r="J9" s="310" t="s">
        <v>232</v>
      </c>
      <c r="K9" s="310"/>
      <c r="L9" s="310"/>
      <c r="M9" s="310"/>
      <c r="N9" s="310"/>
      <c r="O9" s="306" t="s">
        <v>220</v>
      </c>
      <c r="P9" s="307"/>
      <c r="Q9" s="186"/>
      <c r="R9" s="197"/>
      <c r="S9" s="197"/>
      <c r="T9" s="197"/>
      <c r="U9" s="197"/>
      <c r="V9" s="197"/>
      <c r="W9" s="183"/>
      <c r="X9" s="182"/>
      <c r="Y9" s="2"/>
      <c r="Z9" s="2"/>
      <c r="AA9" s="2"/>
    </row>
    <row r="10" spans="1:27" s="125" customFormat="1" ht="21">
      <c r="A10" s="104"/>
      <c r="B10" s="284" t="s">
        <v>233</v>
      </c>
      <c r="C10" s="284"/>
      <c r="D10" s="284"/>
      <c r="E10" s="284"/>
      <c r="F10" s="136"/>
      <c r="G10" s="136"/>
      <c r="H10" s="136"/>
      <c r="I10" s="191"/>
      <c r="J10" s="191"/>
      <c r="K10" s="191"/>
      <c r="L10" s="136"/>
      <c r="M10" s="136"/>
      <c r="N10" s="136"/>
      <c r="O10" s="136"/>
      <c r="P10" s="136"/>
      <c r="Q10" s="150"/>
      <c r="R10" s="150"/>
      <c r="S10" s="150"/>
      <c r="T10" s="150"/>
      <c r="U10" s="150"/>
      <c r="V10" s="150"/>
      <c r="W10" s="136"/>
      <c r="X10" s="136"/>
      <c r="Y10" s="2"/>
      <c r="Z10" s="2"/>
      <c r="AA10" s="2"/>
    </row>
    <row r="11" spans="1:27" s="125" customFormat="1" ht="32.25" customHeight="1">
      <c r="A11" s="126"/>
      <c r="B11" s="131" t="s">
        <v>234</v>
      </c>
      <c r="C11" s="131"/>
      <c r="D11" s="126"/>
      <c r="E11" s="126"/>
      <c r="F11" s="131"/>
      <c r="G11" s="131"/>
      <c r="H11" s="131"/>
      <c r="I11" s="126"/>
      <c r="J11" s="126"/>
      <c r="K11" s="126"/>
      <c r="L11" s="126"/>
      <c r="M11" s="126"/>
      <c r="N11" s="126"/>
      <c r="O11" s="131"/>
      <c r="P11" s="131"/>
      <c r="Q11" s="126"/>
      <c r="R11" s="126"/>
      <c r="S11" s="126"/>
      <c r="T11" s="126"/>
      <c r="U11" s="126"/>
      <c r="V11" s="126"/>
      <c r="W11" s="126"/>
      <c r="X11" s="131"/>
      <c r="Y11" s="127"/>
      <c r="Z11" s="127"/>
      <c r="AA11" s="6"/>
    </row>
    <row r="12" spans="1:27" s="125" customFormat="1" ht="21">
      <c r="A12" s="126"/>
      <c r="B12" s="174" t="s">
        <v>235</v>
      </c>
      <c r="C12" s="309" t="s">
        <v>163</v>
      </c>
      <c r="D12" s="309"/>
      <c r="E12" s="309"/>
      <c r="F12" s="309"/>
      <c r="G12" s="309"/>
      <c r="H12" s="30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7" s="125" customFormat="1" ht="21">
      <c r="B13" s="174" t="s">
        <v>236</v>
      </c>
      <c r="C13" s="180" t="s">
        <v>237</v>
      </c>
      <c r="D13" s="180"/>
      <c r="E13" s="180"/>
      <c r="F13" s="174"/>
      <c r="G13" s="174"/>
      <c r="H13" s="174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7" s="125" customFormat="1" ht="21">
      <c r="B14" s="174"/>
      <c r="C14" s="180"/>
      <c r="D14" s="180"/>
      <c r="E14" s="180"/>
      <c r="F14" s="174"/>
      <c r="G14" s="174"/>
      <c r="H14" s="174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7" s="125" customFormat="1" ht="25.5" customHeight="1">
      <c r="A15" s="5" t="s">
        <v>238</v>
      </c>
      <c r="B15" s="6"/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0"/>
    </row>
    <row r="16" spans="1:27" s="125" customFormat="1" ht="30.75" customHeight="1">
      <c r="A16" s="8"/>
      <c r="B16" s="1" t="s">
        <v>239</v>
      </c>
      <c r="C16" s="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s="125" customFormat="1" ht="21">
      <c r="A17" s="261" t="s">
        <v>240</v>
      </c>
      <c r="B17" s="282"/>
      <c r="C17" s="282"/>
      <c r="D17" s="262"/>
      <c r="E17" s="259" t="s">
        <v>241</v>
      </c>
      <c r="F17" s="303" t="s">
        <v>242</v>
      </c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5"/>
      <c r="X17" s="259" t="s">
        <v>62</v>
      </c>
    </row>
    <row r="18" spans="1:24" s="125" customFormat="1" ht="21.75" customHeight="1">
      <c r="A18" s="301"/>
      <c r="B18" s="265"/>
      <c r="C18" s="265"/>
      <c r="D18" s="302"/>
      <c r="E18" s="268"/>
      <c r="F18" s="261" t="s">
        <v>243</v>
      </c>
      <c r="G18" s="282"/>
      <c r="H18" s="262"/>
      <c r="I18" s="261" t="s">
        <v>244</v>
      </c>
      <c r="J18" s="282"/>
      <c r="K18" s="262"/>
      <c r="L18" s="261" t="s">
        <v>245</v>
      </c>
      <c r="M18" s="282"/>
      <c r="N18" s="262"/>
      <c r="O18" s="261" t="s">
        <v>246</v>
      </c>
      <c r="P18" s="282"/>
      <c r="Q18" s="262"/>
      <c r="R18" s="261" t="s">
        <v>247</v>
      </c>
      <c r="S18" s="282"/>
      <c r="T18" s="262"/>
      <c r="U18" s="276" t="s">
        <v>248</v>
      </c>
      <c r="V18" s="277"/>
      <c r="W18" s="278"/>
      <c r="X18" s="268"/>
    </row>
    <row r="19" spans="1:24" ht="25.9" customHeight="1">
      <c r="A19" s="263"/>
      <c r="B19" s="283"/>
      <c r="C19" s="283"/>
      <c r="D19" s="264"/>
      <c r="E19" s="269"/>
      <c r="F19" s="263" t="s">
        <v>249</v>
      </c>
      <c r="G19" s="283"/>
      <c r="H19" s="264"/>
      <c r="I19" s="263"/>
      <c r="J19" s="283"/>
      <c r="K19" s="264"/>
      <c r="L19" s="263"/>
      <c r="M19" s="283"/>
      <c r="N19" s="264"/>
      <c r="O19" s="301"/>
      <c r="P19" s="265"/>
      <c r="Q19" s="302"/>
      <c r="R19" s="263"/>
      <c r="S19" s="283"/>
      <c r="T19" s="264"/>
      <c r="U19" s="279" t="s">
        <v>250</v>
      </c>
      <c r="V19" s="280"/>
      <c r="W19" s="281"/>
      <c r="X19" s="269"/>
    </row>
    <row r="20" spans="1:24" ht="24.75" customHeight="1">
      <c r="A20" s="63" t="s">
        <v>2</v>
      </c>
      <c r="B20" s="6"/>
      <c r="C20" s="9"/>
      <c r="D20" s="19"/>
      <c r="E20" s="17"/>
      <c r="F20" s="292"/>
      <c r="G20" s="293"/>
      <c r="H20" s="294"/>
      <c r="I20" s="6"/>
      <c r="J20" s="6"/>
      <c r="K20" s="6"/>
      <c r="L20" s="292"/>
      <c r="M20" s="293"/>
      <c r="N20" s="294"/>
      <c r="O20" s="292"/>
      <c r="P20" s="293"/>
      <c r="Q20" s="294"/>
      <c r="R20" s="292"/>
      <c r="S20" s="293"/>
      <c r="T20" s="294"/>
      <c r="U20" s="292"/>
      <c r="V20" s="293"/>
      <c r="W20" s="294"/>
      <c r="X20" s="17"/>
    </row>
    <row r="21" spans="1:24" ht="24.75" customHeight="1">
      <c r="A21" s="63" t="s">
        <v>251</v>
      </c>
      <c r="B21" s="6"/>
      <c r="C21" s="9"/>
      <c r="D21" s="19"/>
      <c r="E21" s="17"/>
      <c r="F21" s="295"/>
      <c r="G21" s="296"/>
      <c r="H21" s="297"/>
      <c r="I21" s="6"/>
      <c r="J21" s="6"/>
      <c r="K21" s="6"/>
      <c r="L21" s="295"/>
      <c r="M21" s="296"/>
      <c r="N21" s="297"/>
      <c r="O21" s="295"/>
      <c r="P21" s="296"/>
      <c r="Q21" s="297"/>
      <c r="R21" s="295"/>
      <c r="S21" s="296"/>
      <c r="T21" s="297"/>
      <c r="U21" s="295"/>
      <c r="V21" s="296"/>
      <c r="W21" s="297"/>
      <c r="X21" s="17"/>
    </row>
    <row r="22" spans="1:24" s="125" customFormat="1" ht="24.75" customHeight="1">
      <c r="A22" s="63" t="s">
        <v>252</v>
      </c>
      <c r="B22" s="6"/>
      <c r="C22" s="9"/>
      <c r="D22" s="19"/>
      <c r="E22" s="17"/>
      <c r="F22" s="295"/>
      <c r="G22" s="296"/>
      <c r="H22" s="297"/>
      <c r="I22" s="6"/>
      <c r="J22" s="6"/>
      <c r="K22" s="6"/>
      <c r="L22" s="295"/>
      <c r="M22" s="296"/>
      <c r="N22" s="297"/>
      <c r="O22" s="295"/>
      <c r="P22" s="296"/>
      <c r="Q22" s="297"/>
      <c r="R22" s="295"/>
      <c r="S22" s="296"/>
      <c r="T22" s="297"/>
      <c r="U22" s="295"/>
      <c r="V22" s="296"/>
      <c r="W22" s="297"/>
      <c r="X22" s="17"/>
    </row>
    <row r="23" spans="1:24" ht="24.75" customHeight="1">
      <c r="A23" s="63" t="s">
        <v>253</v>
      </c>
      <c r="B23" s="6"/>
      <c r="C23" s="9"/>
      <c r="D23" s="19"/>
      <c r="E23" s="17"/>
      <c r="F23" s="298"/>
      <c r="G23" s="299"/>
      <c r="H23" s="300"/>
      <c r="I23" s="6"/>
      <c r="J23" s="6"/>
      <c r="K23" s="6"/>
      <c r="L23" s="295"/>
      <c r="M23" s="296"/>
      <c r="N23" s="297"/>
      <c r="O23" s="295"/>
      <c r="P23" s="296"/>
      <c r="Q23" s="297"/>
      <c r="R23" s="295"/>
      <c r="S23" s="296"/>
      <c r="T23" s="297"/>
      <c r="U23" s="295"/>
      <c r="V23" s="296"/>
      <c r="W23" s="297"/>
      <c r="X23" s="17"/>
    </row>
    <row r="24" spans="1:24" ht="27.75" customHeight="1">
      <c r="A24" s="289" t="s">
        <v>254</v>
      </c>
      <c r="B24" s="290"/>
      <c r="C24" s="290"/>
      <c r="D24" s="291"/>
      <c r="E24" s="20"/>
      <c r="F24" s="255"/>
      <c r="G24" s="256"/>
      <c r="H24" s="257"/>
      <c r="I24" s="36"/>
      <c r="J24" s="36"/>
      <c r="K24" s="36"/>
      <c r="L24" s="255"/>
      <c r="M24" s="256"/>
      <c r="N24" s="257"/>
      <c r="O24" s="255"/>
      <c r="P24" s="256"/>
      <c r="Q24" s="257"/>
      <c r="R24" s="255"/>
      <c r="S24" s="256"/>
      <c r="T24" s="257"/>
      <c r="U24" s="255"/>
      <c r="V24" s="256"/>
      <c r="W24" s="257"/>
      <c r="X24" s="64">
        <v>100</v>
      </c>
    </row>
    <row r="25" spans="1:24" ht="27.75" customHeight="1">
      <c r="A25" s="37"/>
      <c r="B25" s="7" t="s">
        <v>255</v>
      </c>
      <c r="C25" s="6"/>
      <c r="D25" s="6"/>
      <c r="H25" s="38"/>
      <c r="J25" s="6"/>
      <c r="K25" s="6"/>
      <c r="L25" s="6"/>
      <c r="M25" s="6"/>
      <c r="N25" s="6"/>
      <c r="R25" s="6"/>
      <c r="S25" s="6"/>
      <c r="T25" s="6"/>
      <c r="U25" s="6"/>
      <c r="V25" s="6"/>
      <c r="X25" s="6"/>
    </row>
    <row r="26" spans="1:24" ht="27.75" customHeight="1">
      <c r="A26" s="13"/>
      <c r="B26" s="7" t="s">
        <v>256</v>
      </c>
      <c r="C26" s="6"/>
      <c r="D26" s="6"/>
      <c r="G26" s="6"/>
      <c r="H26" s="38"/>
      <c r="J26" s="6"/>
      <c r="K26" s="6"/>
      <c r="L26" s="6"/>
      <c r="M26" s="6"/>
      <c r="N26" s="6"/>
      <c r="O26" s="5"/>
      <c r="P26" s="5"/>
      <c r="Q26" s="6"/>
      <c r="R26" s="6"/>
      <c r="S26" s="6"/>
      <c r="T26" s="6"/>
      <c r="U26" s="6"/>
      <c r="V26" s="6"/>
      <c r="W26" s="6"/>
      <c r="X26" s="6"/>
    </row>
    <row r="27" spans="1:24" ht="25.9" customHeight="1">
      <c r="B27" s="7" t="s">
        <v>257</v>
      </c>
      <c r="C27" s="7"/>
    </row>
  </sheetData>
  <mergeCells count="62">
    <mergeCell ref="C12:H12"/>
    <mergeCell ref="J8:N8"/>
    <mergeCell ref="J9:N9"/>
    <mergeCell ref="G6:H6"/>
    <mergeCell ref="G7:H7"/>
    <mergeCell ref="J7:N7"/>
    <mergeCell ref="B10:E10"/>
    <mergeCell ref="O8:P8"/>
    <mergeCell ref="O9:P9"/>
    <mergeCell ref="R6:W6"/>
    <mergeCell ref="R7:W7"/>
    <mergeCell ref="E7:F7"/>
    <mergeCell ref="U20:W20"/>
    <mergeCell ref="U21:W21"/>
    <mergeCell ref="U22:W22"/>
    <mergeCell ref="U23:W23"/>
    <mergeCell ref="U24:W24"/>
    <mergeCell ref="R20:T20"/>
    <mergeCell ref="R21:T21"/>
    <mergeCell ref="R22:T22"/>
    <mergeCell ref="R23:T23"/>
    <mergeCell ref="R24:T24"/>
    <mergeCell ref="L20:N20"/>
    <mergeCell ref="L21:N21"/>
    <mergeCell ref="L22:N22"/>
    <mergeCell ref="L23:N23"/>
    <mergeCell ref="O20:Q20"/>
    <mergeCell ref="O21:Q21"/>
    <mergeCell ref="O22:Q22"/>
    <mergeCell ref="O23:Q23"/>
    <mergeCell ref="A24:D24"/>
    <mergeCell ref="F18:H18"/>
    <mergeCell ref="F19:H19"/>
    <mergeCell ref="F20:H20"/>
    <mergeCell ref="F21:H21"/>
    <mergeCell ref="F22:H22"/>
    <mergeCell ref="F23:H23"/>
    <mergeCell ref="F24:H24"/>
    <mergeCell ref="A17:D19"/>
    <mergeCell ref="E17:E19"/>
    <mergeCell ref="F17:W17"/>
    <mergeCell ref="L24:N24"/>
    <mergeCell ref="O18:Q19"/>
    <mergeCell ref="O24:Q24"/>
    <mergeCell ref="I18:K19"/>
    <mergeCell ref="L18:N19"/>
    <mergeCell ref="X17:X19"/>
    <mergeCell ref="A4:C4"/>
    <mergeCell ref="Q4:X4"/>
    <mergeCell ref="A5:C5"/>
    <mergeCell ref="Q5:X5"/>
    <mergeCell ref="U18:W18"/>
    <mergeCell ref="U19:W19"/>
    <mergeCell ref="R18:T19"/>
    <mergeCell ref="D4:H4"/>
    <mergeCell ref="D5:H5"/>
    <mergeCell ref="I4:P4"/>
    <mergeCell ref="I5:P5"/>
    <mergeCell ref="J6:N6"/>
    <mergeCell ref="E6:F6"/>
    <mergeCell ref="O6:P6"/>
    <mergeCell ref="O7:P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7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S!$H$2:$H$5</xm:f>
          </x14:formula1>
          <xm:sqref>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L31"/>
  <sheetViews>
    <sheetView showGridLines="0" view="pageBreakPreview" zoomScaleNormal="100" zoomScaleSheetLayoutView="100" workbookViewId="0">
      <selection activeCell="L1" sqref="L1:L1048576"/>
    </sheetView>
  </sheetViews>
  <sheetFormatPr defaultColWidth="9" defaultRowHeight="25.9" customHeight="1"/>
  <cols>
    <col min="1" max="2" width="9" style="6"/>
    <col min="3" max="3" width="7.85546875" style="6" customWidth="1"/>
    <col min="4" max="4" width="3.85546875" style="6" customWidth="1"/>
    <col min="5" max="5" width="4.28515625" style="6" customWidth="1"/>
    <col min="6" max="7" width="13.5703125" style="6" customWidth="1"/>
    <col min="8" max="8" width="13.7109375" style="6" bestFit="1" customWidth="1"/>
    <col min="9" max="9" width="15.5703125" style="6" bestFit="1" customWidth="1"/>
    <col min="10" max="10" width="5.7109375" style="6" bestFit="1" customWidth="1"/>
    <col min="11" max="11" width="15.5703125" style="6" bestFit="1" customWidth="1"/>
    <col min="12" max="16384" width="9" style="6"/>
  </cols>
  <sheetData>
    <row r="1" spans="1:12" ht="25.9" customHeight="1">
      <c r="K1" s="13" t="s">
        <v>258</v>
      </c>
    </row>
    <row r="2" spans="1:12" ht="25.9" customHeight="1">
      <c r="B2" s="5" t="s">
        <v>259</v>
      </c>
    </row>
    <row r="3" spans="1:12" ht="25.9" customHeight="1">
      <c r="G3" s="6" t="s">
        <v>260</v>
      </c>
      <c r="K3" s="13" t="s">
        <v>55</v>
      </c>
    </row>
    <row r="4" spans="1:12" ht="25.9" customHeight="1">
      <c r="A4" s="261" t="s">
        <v>261</v>
      </c>
      <c r="B4" s="282"/>
      <c r="C4" s="282"/>
      <c r="D4" s="282"/>
      <c r="E4" s="282"/>
      <c r="F4" s="319" t="s">
        <v>262</v>
      </c>
      <c r="G4" s="320"/>
      <c r="H4" s="289" t="s">
        <v>263</v>
      </c>
      <c r="I4" s="290"/>
      <c r="J4" s="290"/>
      <c r="K4" s="291"/>
    </row>
    <row r="5" spans="1:12" ht="25.9" customHeight="1">
      <c r="A5" s="263"/>
      <c r="B5" s="283"/>
      <c r="C5" s="283"/>
      <c r="D5" s="283"/>
      <c r="E5" s="283"/>
      <c r="F5" s="321" t="s">
        <v>264</v>
      </c>
      <c r="G5" s="322"/>
      <c r="H5" s="31">
        <v>2568</v>
      </c>
      <c r="I5" s="31">
        <v>2569</v>
      </c>
      <c r="J5" s="31">
        <v>2570</v>
      </c>
      <c r="K5" s="39" t="s">
        <v>62</v>
      </c>
    </row>
    <row r="6" spans="1:12" ht="25.9" customHeight="1">
      <c r="A6" s="52" t="s">
        <v>265</v>
      </c>
      <c r="B6" s="53"/>
      <c r="C6" s="53"/>
      <c r="D6" s="53"/>
      <c r="E6" s="62"/>
      <c r="F6" s="54"/>
      <c r="G6" s="33"/>
      <c r="H6" s="41"/>
      <c r="I6" s="15"/>
      <c r="J6" s="41"/>
      <c r="K6" s="17"/>
    </row>
    <row r="7" spans="1:12" ht="25.9" customHeight="1">
      <c r="A7" s="42" t="s">
        <v>266</v>
      </c>
      <c r="B7" s="40"/>
      <c r="C7" s="40"/>
      <c r="D7" s="40"/>
      <c r="F7" s="313" t="s">
        <v>267</v>
      </c>
      <c r="G7" s="314"/>
      <c r="H7" s="314"/>
      <c r="I7" s="314"/>
      <c r="J7" s="314"/>
      <c r="K7" s="315"/>
    </row>
    <row r="8" spans="1:12" ht="25.9" customHeight="1">
      <c r="A8" s="42" t="s">
        <v>268</v>
      </c>
      <c r="B8" s="40"/>
      <c r="C8" s="40"/>
      <c r="D8" s="40"/>
      <c r="F8" s="18"/>
      <c r="G8" s="43"/>
      <c r="H8" s="45"/>
      <c r="I8" s="45"/>
      <c r="J8" s="45"/>
      <c r="K8" s="44"/>
    </row>
    <row r="9" spans="1:12" ht="25.9" customHeight="1">
      <c r="A9" s="18" t="s">
        <v>269</v>
      </c>
      <c r="F9" s="316" t="s">
        <v>267</v>
      </c>
      <c r="G9" s="317"/>
      <c r="H9" s="317"/>
      <c r="I9" s="317"/>
      <c r="J9" s="317"/>
      <c r="K9" s="318"/>
    </row>
    <row r="10" spans="1:12" ht="25.9" customHeight="1">
      <c r="A10" s="18" t="s">
        <v>270</v>
      </c>
      <c r="F10" s="18"/>
      <c r="G10" s="19"/>
      <c r="H10" s="17"/>
      <c r="I10" s="17"/>
      <c r="J10" s="18"/>
      <c r="K10" s="17"/>
    </row>
    <row r="11" spans="1:12" ht="25.9" customHeight="1">
      <c r="A11" s="18"/>
      <c r="B11" s="6" t="s">
        <v>271</v>
      </c>
      <c r="F11" s="323">
        <v>2100000000</v>
      </c>
      <c r="G11" s="324"/>
      <c r="H11" s="212">
        <v>200000000</v>
      </c>
      <c r="I11" s="212">
        <v>1900000000</v>
      </c>
      <c r="J11" s="213"/>
      <c r="K11" s="214">
        <v>2100000000</v>
      </c>
      <c r="L11" s="215"/>
    </row>
    <row r="12" spans="1:12" ht="25.9" customHeight="1">
      <c r="A12" s="18"/>
      <c r="B12" s="6" t="s">
        <v>272</v>
      </c>
      <c r="F12" s="18"/>
      <c r="G12" s="19"/>
      <c r="H12" s="17"/>
      <c r="I12" s="17"/>
      <c r="J12" s="18"/>
      <c r="K12" s="17"/>
    </row>
    <row r="13" spans="1:12" ht="25.9" customHeight="1">
      <c r="A13" s="18"/>
      <c r="B13" s="6" t="s">
        <v>273</v>
      </c>
      <c r="F13" s="18"/>
      <c r="G13" s="19"/>
      <c r="H13" s="17"/>
      <c r="I13" s="17"/>
      <c r="J13" s="18"/>
      <c r="K13" s="17"/>
    </row>
    <row r="14" spans="1:12" ht="25.9" customHeight="1">
      <c r="A14" s="18"/>
      <c r="B14" s="6" t="s">
        <v>274</v>
      </c>
      <c r="F14" s="323">
        <v>300000000</v>
      </c>
      <c r="G14" s="324"/>
      <c r="H14" s="214">
        <v>300000000</v>
      </c>
      <c r="I14" s="214"/>
      <c r="J14" s="18"/>
      <c r="K14" s="214">
        <v>300000000</v>
      </c>
    </row>
    <row r="15" spans="1:12" ht="25.9" customHeight="1">
      <c r="A15" s="18"/>
      <c r="B15" s="6" t="s">
        <v>275</v>
      </c>
      <c r="F15" s="18"/>
      <c r="G15" s="19"/>
      <c r="H15" s="17"/>
      <c r="I15" s="17"/>
      <c r="J15" s="18"/>
      <c r="K15" s="17"/>
    </row>
    <row r="16" spans="1:12" ht="25.9" customHeight="1">
      <c r="A16" s="18"/>
      <c r="B16" s="6" t="s">
        <v>276</v>
      </c>
      <c r="F16" s="50"/>
      <c r="G16" s="58"/>
      <c r="H16" s="17"/>
      <c r="I16" s="17"/>
      <c r="J16" s="18"/>
      <c r="K16" s="17"/>
    </row>
    <row r="17" spans="1:12" ht="25.9" customHeight="1">
      <c r="A17" s="18"/>
      <c r="B17" s="5" t="s">
        <v>277</v>
      </c>
      <c r="C17" s="5"/>
      <c r="F17" s="323">
        <v>2400000000</v>
      </c>
      <c r="G17" s="324"/>
      <c r="H17" s="216">
        <v>500000000</v>
      </c>
      <c r="I17" s="216">
        <v>1900000000</v>
      </c>
      <c r="J17" s="243"/>
      <c r="K17" s="217">
        <v>2400000000</v>
      </c>
      <c r="L17" s="215"/>
    </row>
    <row r="18" spans="1:12" ht="25.9" customHeight="1">
      <c r="A18" s="42" t="s">
        <v>278</v>
      </c>
      <c r="B18" s="9"/>
      <c r="C18" s="9"/>
      <c r="F18" s="47"/>
      <c r="G18" s="55"/>
      <c r="H18" s="17"/>
      <c r="I18" s="17"/>
      <c r="J18" s="18"/>
      <c r="K18" s="17"/>
    </row>
    <row r="19" spans="1:12" ht="25.9" customHeight="1">
      <c r="A19" s="42" t="s">
        <v>279</v>
      </c>
      <c r="B19" s="9"/>
      <c r="C19" s="9"/>
      <c r="F19" s="18"/>
      <c r="G19" s="19"/>
      <c r="H19" s="17"/>
      <c r="I19" s="17"/>
      <c r="J19" s="18"/>
      <c r="K19" s="17"/>
    </row>
    <row r="20" spans="1:12" ht="25.9" customHeight="1">
      <c r="A20" s="48" t="s">
        <v>280</v>
      </c>
      <c r="B20" s="9"/>
      <c r="C20" s="9"/>
      <c r="F20" s="18"/>
      <c r="G20" s="19"/>
      <c r="H20" s="17"/>
      <c r="I20" s="17"/>
      <c r="J20" s="18"/>
      <c r="K20" s="17"/>
    </row>
    <row r="21" spans="1:12" ht="25.9" customHeight="1">
      <c r="A21" s="48" t="s">
        <v>281</v>
      </c>
      <c r="B21" s="9"/>
      <c r="C21" s="9"/>
      <c r="F21" s="18"/>
      <c r="G21" s="19"/>
      <c r="H21" s="17"/>
      <c r="I21" s="17"/>
      <c r="J21" s="18"/>
      <c r="K21" s="17"/>
    </row>
    <row r="22" spans="1:12" ht="25.9" customHeight="1">
      <c r="A22" s="56" t="s">
        <v>282</v>
      </c>
      <c r="B22" s="57"/>
      <c r="C22" s="57"/>
      <c r="D22" s="51"/>
      <c r="E22" s="51"/>
      <c r="F22" s="50"/>
      <c r="G22" s="58"/>
      <c r="H22" s="49"/>
      <c r="I22" s="49"/>
      <c r="J22" s="50"/>
      <c r="K22" s="17"/>
    </row>
    <row r="23" spans="1:12" ht="25.9" customHeight="1">
      <c r="A23" s="289" t="s">
        <v>283</v>
      </c>
      <c r="B23" s="290"/>
      <c r="C23" s="290"/>
      <c r="D23" s="290"/>
      <c r="E23" s="290"/>
      <c r="F23" s="325">
        <v>2400000000</v>
      </c>
      <c r="G23" s="326"/>
      <c r="H23" s="218">
        <v>500000000</v>
      </c>
      <c r="I23" s="218">
        <v>1900000000</v>
      </c>
      <c r="J23" s="244"/>
      <c r="K23" s="219">
        <v>2400000000</v>
      </c>
    </row>
    <row r="24" spans="1:12" ht="25.9" customHeight="1">
      <c r="B24" s="5"/>
      <c r="D24" s="5"/>
    </row>
    <row r="25" spans="1:12" ht="25.9" customHeight="1">
      <c r="C25" s="5"/>
    </row>
    <row r="26" spans="1:12" ht="25.9" customHeight="1">
      <c r="D26" s="5"/>
      <c r="G26" s="7"/>
    </row>
    <row r="28" spans="1:12" ht="25.9" customHeight="1">
      <c r="D28" s="5"/>
    </row>
    <row r="30" spans="1:12" ht="25.9" customHeight="1">
      <c r="D30" s="5"/>
      <c r="E30" s="5"/>
      <c r="F30" s="5"/>
      <c r="G30" s="5"/>
      <c r="H30" s="5"/>
    </row>
    <row r="31" spans="1:12" ht="25.9" customHeight="1">
      <c r="D31" s="5"/>
      <c r="F31" s="5"/>
      <c r="G31" s="5"/>
    </row>
  </sheetData>
  <mergeCells count="11">
    <mergeCell ref="A23:E23"/>
    <mergeCell ref="F7:K7"/>
    <mergeCell ref="F9:K9"/>
    <mergeCell ref="H4:K4"/>
    <mergeCell ref="A4:E5"/>
    <mergeCell ref="F4:G4"/>
    <mergeCell ref="F5:G5"/>
    <mergeCell ref="F11:G11"/>
    <mergeCell ref="F14:G14"/>
    <mergeCell ref="F17:G17"/>
    <mergeCell ref="F23:G23"/>
  </mergeCells>
  <pageMargins left="0.6692913385826772" right="0.39370078740157483" top="0.39370078740157483" bottom="0.19685039370078741" header="0.51181102362204722" footer="0.51181102362204722"/>
  <pageSetup paperSize="9" scale="7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9"/>
  <sheetViews>
    <sheetView showGridLines="0" view="pageBreakPreview" topLeftCell="A13" zoomScale="60" zoomScaleNormal="100" workbookViewId="0">
      <selection activeCell="K56" sqref="K56"/>
    </sheetView>
  </sheetViews>
  <sheetFormatPr defaultColWidth="9.140625" defaultRowHeight="21"/>
  <cols>
    <col min="1" max="1" width="17.140625" style="6" customWidth="1"/>
    <col min="2" max="2" width="14.5703125" style="6" customWidth="1"/>
    <col min="3" max="3" width="13.28515625" style="6" customWidth="1"/>
    <col min="4" max="4" width="14.85546875" style="6" customWidth="1"/>
    <col min="5" max="5" width="15.7109375" style="6" customWidth="1"/>
    <col min="6" max="6" width="16.7109375" style="6" customWidth="1"/>
    <col min="7" max="7" width="14" style="6" customWidth="1"/>
    <col min="8" max="8" width="14.85546875" style="6" customWidth="1"/>
    <col min="9" max="9" width="16.140625" style="6" customWidth="1"/>
    <col min="10" max="10" width="15.140625" style="6" customWidth="1"/>
    <col min="11" max="11" width="21.42578125" style="6" customWidth="1"/>
    <col min="12" max="12" width="14.85546875" style="6" customWidth="1"/>
    <col min="13" max="16384" width="9.140625" style="6"/>
  </cols>
  <sheetData>
    <row r="1" spans="1:19" s="2" customFormat="1">
      <c r="A1" s="327" t="s">
        <v>284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</row>
    <row r="2" spans="1:19" s="2" customForma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9">
      <c r="A3" s="1" t="s">
        <v>285</v>
      </c>
    </row>
    <row r="4" spans="1:19" ht="27.75" customHeight="1">
      <c r="A4" s="328" t="s">
        <v>286</v>
      </c>
      <c r="B4" s="329"/>
      <c r="C4" s="328" t="s">
        <v>287</v>
      </c>
      <c r="D4" s="329"/>
      <c r="E4" s="334" t="s">
        <v>288</v>
      </c>
      <c r="F4" s="334"/>
      <c r="G4" s="334"/>
      <c r="H4" s="334"/>
      <c r="I4" s="334"/>
      <c r="J4" s="334"/>
      <c r="K4" s="328" t="s">
        <v>289</v>
      </c>
      <c r="L4" s="329"/>
    </row>
    <row r="5" spans="1:19" ht="30" customHeight="1">
      <c r="A5" s="330"/>
      <c r="B5" s="331"/>
      <c r="C5" s="330"/>
      <c r="D5" s="331"/>
      <c r="E5" s="334" t="s">
        <v>290</v>
      </c>
      <c r="F5" s="334"/>
      <c r="G5" s="334"/>
      <c r="H5" s="334" t="s">
        <v>291</v>
      </c>
      <c r="I5" s="334"/>
      <c r="J5" s="143" t="s">
        <v>292</v>
      </c>
      <c r="K5" s="330"/>
      <c r="L5" s="331"/>
    </row>
    <row r="6" spans="1:19" ht="24" customHeight="1">
      <c r="A6" s="334" t="s">
        <v>293</v>
      </c>
      <c r="B6" s="334"/>
      <c r="C6" s="334" t="s">
        <v>294</v>
      </c>
      <c r="D6" s="334"/>
      <c r="E6" s="333">
        <v>3</v>
      </c>
      <c r="F6" s="333"/>
      <c r="G6" s="333"/>
      <c r="H6" s="333">
        <v>2</v>
      </c>
      <c r="I6" s="333"/>
      <c r="J6" s="143">
        <v>3</v>
      </c>
      <c r="K6" s="255">
        <f>+(J6+H6+E6)/3</f>
        <v>2.6666666666666665</v>
      </c>
      <c r="L6" s="257"/>
    </row>
    <row r="7" spans="1:19" ht="24" customHeight="1">
      <c r="A7" s="334"/>
      <c r="B7" s="334"/>
      <c r="C7" s="334"/>
      <c r="D7" s="334"/>
      <c r="E7" s="333" t="s">
        <v>295</v>
      </c>
      <c r="F7" s="333"/>
      <c r="G7" s="333"/>
      <c r="H7" s="333" t="s">
        <v>296</v>
      </c>
      <c r="I7" s="333"/>
      <c r="J7" s="143" t="s">
        <v>297</v>
      </c>
      <c r="K7" s="333" t="s">
        <v>298</v>
      </c>
      <c r="L7" s="333"/>
    </row>
    <row r="8" spans="1:19" s="2" customFormat="1">
      <c r="A8" s="344" t="s">
        <v>299</v>
      </c>
      <c r="B8" s="344"/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136"/>
      <c r="N8" s="136"/>
      <c r="O8" s="136"/>
      <c r="P8" s="136"/>
      <c r="Q8" s="136"/>
      <c r="R8" s="136"/>
      <c r="S8" s="147"/>
    </row>
    <row r="9" spans="1:19" s="2" customFormat="1">
      <c r="A9" s="342" t="s">
        <v>300</v>
      </c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</row>
    <row r="10" spans="1:19" s="2" customFormat="1">
      <c r="A10" s="342" t="s">
        <v>301</v>
      </c>
      <c r="B10" s="343"/>
      <c r="C10" s="343"/>
      <c r="D10" s="343"/>
      <c r="E10" s="343"/>
      <c r="F10" s="343"/>
      <c r="G10" s="343"/>
      <c r="H10" s="343"/>
      <c r="I10" s="343"/>
      <c r="J10" s="343"/>
      <c r="K10" s="343"/>
      <c r="L10" s="343"/>
    </row>
    <row r="11" spans="1:19" s="2" customFormat="1">
      <c r="A11" s="145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</row>
    <row r="12" spans="1:19" ht="26.25" customHeight="1">
      <c r="A12" s="332" t="s">
        <v>302</v>
      </c>
      <c r="B12" s="332" t="s">
        <v>288</v>
      </c>
      <c r="C12" s="332"/>
      <c r="D12" s="332"/>
      <c r="E12" s="332"/>
      <c r="F12" s="332"/>
      <c r="G12" s="332"/>
      <c r="H12" s="332"/>
      <c r="I12" s="332"/>
      <c r="J12" s="332"/>
      <c r="K12" s="332"/>
      <c r="L12" s="332"/>
    </row>
    <row r="13" spans="1:19" ht="25.5" customHeight="1">
      <c r="A13" s="332"/>
      <c r="B13" s="332" t="s">
        <v>303</v>
      </c>
      <c r="C13" s="332"/>
      <c r="D13" s="332"/>
      <c r="E13" s="332"/>
      <c r="F13" s="332" t="s">
        <v>304</v>
      </c>
      <c r="G13" s="332"/>
      <c r="H13" s="332"/>
      <c r="I13" s="332"/>
      <c r="J13" s="332" t="s">
        <v>305</v>
      </c>
      <c r="K13" s="332"/>
      <c r="L13" s="332"/>
    </row>
    <row r="14" spans="1:19">
      <c r="A14" s="134">
        <v>1</v>
      </c>
      <c r="B14" s="340" t="s">
        <v>306</v>
      </c>
      <c r="C14" s="340"/>
      <c r="D14" s="340"/>
      <c r="E14" s="340"/>
      <c r="F14" s="340" t="s">
        <v>307</v>
      </c>
      <c r="G14" s="340"/>
      <c r="H14" s="340"/>
      <c r="I14" s="340"/>
      <c r="J14" s="340" t="s">
        <v>308</v>
      </c>
      <c r="K14" s="340"/>
      <c r="L14" s="340"/>
    </row>
    <row r="15" spans="1:19" ht="37.5" customHeight="1">
      <c r="A15" s="134">
        <v>2</v>
      </c>
      <c r="B15" s="340" t="s">
        <v>309</v>
      </c>
      <c r="C15" s="340"/>
      <c r="D15" s="340"/>
      <c r="E15" s="340"/>
      <c r="F15" s="340" t="s">
        <v>296</v>
      </c>
      <c r="G15" s="340"/>
      <c r="H15" s="340"/>
      <c r="I15" s="340"/>
      <c r="J15" s="340" t="s">
        <v>310</v>
      </c>
      <c r="K15" s="340"/>
      <c r="L15" s="340"/>
    </row>
    <row r="16" spans="1:19" s="104" customFormat="1">
      <c r="A16" s="135">
        <v>3</v>
      </c>
      <c r="B16" s="340" t="s">
        <v>295</v>
      </c>
      <c r="C16" s="340"/>
      <c r="D16" s="340"/>
      <c r="E16" s="340"/>
      <c r="F16" s="340" t="s">
        <v>311</v>
      </c>
      <c r="G16" s="340"/>
      <c r="H16" s="340"/>
      <c r="I16" s="340"/>
      <c r="J16" s="340" t="s">
        <v>312</v>
      </c>
      <c r="K16" s="340"/>
      <c r="L16" s="340"/>
    </row>
    <row r="17" spans="1:12" s="104" customFormat="1">
      <c r="A17" s="150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</row>
    <row r="18" spans="1:12">
      <c r="A18" s="1" t="s">
        <v>313</v>
      </c>
    </row>
    <row r="19" spans="1:12">
      <c r="A19" s="336" t="s">
        <v>314</v>
      </c>
      <c r="B19" s="336" t="s">
        <v>315</v>
      </c>
      <c r="C19" s="336"/>
      <c r="D19" s="336"/>
      <c r="E19" s="334" t="s">
        <v>316</v>
      </c>
      <c r="F19" s="336" t="s">
        <v>317</v>
      </c>
      <c r="G19" s="336"/>
      <c r="H19" s="336"/>
      <c r="I19" s="336" t="s">
        <v>318</v>
      </c>
      <c r="J19" s="336"/>
      <c r="K19" s="336"/>
      <c r="L19" s="336" t="s">
        <v>319</v>
      </c>
    </row>
    <row r="20" spans="1:12" ht="26.25" customHeight="1">
      <c r="A20" s="339"/>
      <c r="B20" s="337" t="s">
        <v>320</v>
      </c>
      <c r="C20" s="337"/>
      <c r="D20" s="337"/>
      <c r="E20" s="334"/>
      <c r="F20" s="337" t="s">
        <v>321</v>
      </c>
      <c r="G20" s="337"/>
      <c r="H20" s="337"/>
      <c r="I20" s="338" t="s">
        <v>322</v>
      </c>
      <c r="J20" s="338"/>
      <c r="K20" s="338"/>
      <c r="L20" s="339"/>
    </row>
    <row r="21" spans="1:12" ht="21" customHeight="1">
      <c r="A21" s="339"/>
      <c r="B21" s="137" t="s">
        <v>323</v>
      </c>
      <c r="C21" s="137" t="s">
        <v>324</v>
      </c>
      <c r="D21" s="137" t="s">
        <v>325</v>
      </c>
      <c r="E21" s="334"/>
      <c r="F21" s="137" t="s">
        <v>323</v>
      </c>
      <c r="G21" s="137" t="s">
        <v>324</v>
      </c>
      <c r="H21" s="137" t="s">
        <v>326</v>
      </c>
      <c r="I21" s="141" t="s">
        <v>327</v>
      </c>
      <c r="J21" s="141" t="s">
        <v>328</v>
      </c>
      <c r="K21" s="141" t="s">
        <v>329</v>
      </c>
      <c r="L21" s="339"/>
    </row>
    <row r="22" spans="1:12">
      <c r="A22" s="338"/>
      <c r="B22" s="138" t="s">
        <v>330</v>
      </c>
      <c r="C22" s="138" t="s">
        <v>331</v>
      </c>
      <c r="D22" s="138" t="s">
        <v>332</v>
      </c>
      <c r="E22" s="334"/>
      <c r="F22" s="138" t="s">
        <v>330</v>
      </c>
      <c r="G22" s="138" t="s">
        <v>331</v>
      </c>
      <c r="H22" s="138" t="s">
        <v>332</v>
      </c>
      <c r="I22" s="142" t="s">
        <v>333</v>
      </c>
      <c r="J22" s="142" t="s">
        <v>334</v>
      </c>
      <c r="K22" s="142" t="s">
        <v>335</v>
      </c>
      <c r="L22" s="338"/>
    </row>
    <row r="23" spans="1:12" ht="63">
      <c r="A23" s="148" t="s">
        <v>336</v>
      </c>
      <c r="B23" s="148">
        <v>3</v>
      </c>
      <c r="C23" s="148">
        <v>5</v>
      </c>
      <c r="D23" s="148">
        <v>15</v>
      </c>
      <c r="E23" s="210" t="s">
        <v>337</v>
      </c>
      <c r="F23" s="148">
        <v>2</v>
      </c>
      <c r="G23" s="148">
        <v>4</v>
      </c>
      <c r="H23" s="148">
        <v>8</v>
      </c>
      <c r="I23" s="335"/>
      <c r="J23" s="335"/>
      <c r="K23" s="335"/>
      <c r="L23" s="335"/>
    </row>
    <row r="24" spans="1:12">
      <c r="A24" s="148" t="s">
        <v>338</v>
      </c>
      <c r="B24" s="148"/>
      <c r="C24" s="148"/>
      <c r="D24" s="148"/>
      <c r="E24" s="148"/>
      <c r="F24" s="148"/>
      <c r="G24" s="148"/>
      <c r="H24" s="148"/>
      <c r="I24" s="335"/>
      <c r="J24" s="335"/>
      <c r="K24" s="335"/>
      <c r="L24" s="335"/>
    </row>
    <row r="25" spans="1:12">
      <c r="A25" s="148" t="s">
        <v>339</v>
      </c>
      <c r="B25" s="148"/>
      <c r="C25" s="148"/>
      <c r="D25" s="148"/>
      <c r="E25" s="148"/>
      <c r="F25" s="148"/>
      <c r="G25" s="148"/>
      <c r="H25" s="148"/>
      <c r="I25" s="335"/>
      <c r="J25" s="335"/>
      <c r="K25" s="335"/>
      <c r="L25" s="335"/>
    </row>
    <row r="26" spans="1:12">
      <c r="A26" s="8" t="s">
        <v>340</v>
      </c>
    </row>
    <row r="27" spans="1:12">
      <c r="A27" s="8" t="s">
        <v>341</v>
      </c>
    </row>
    <row r="28" spans="1:12" ht="72">
      <c r="A28" s="8"/>
      <c r="L28" s="139" t="s">
        <v>342</v>
      </c>
    </row>
    <row r="29" spans="1:12">
      <c r="A29" s="8"/>
      <c r="B29" s="90" t="s">
        <v>343</v>
      </c>
    </row>
    <row r="30" spans="1:12">
      <c r="A30" s="8"/>
      <c r="B30" s="341" t="s">
        <v>344</v>
      </c>
      <c r="C30" s="341"/>
      <c r="D30" s="341"/>
      <c r="E30" s="341"/>
      <c r="F30" s="341"/>
      <c r="G30" s="341"/>
      <c r="H30" s="341" t="s">
        <v>345</v>
      </c>
      <c r="I30" s="341"/>
    </row>
    <row r="31" spans="1:12">
      <c r="A31" s="8"/>
      <c r="B31" s="341" t="s">
        <v>346</v>
      </c>
      <c r="C31" s="341"/>
      <c r="D31" s="341" t="s">
        <v>347</v>
      </c>
      <c r="E31" s="341"/>
      <c r="F31" s="341" t="s">
        <v>348</v>
      </c>
      <c r="G31" s="341"/>
      <c r="H31" s="341" t="s">
        <v>347</v>
      </c>
      <c r="I31" s="341"/>
    </row>
    <row r="32" spans="1:12">
      <c r="A32" s="8"/>
      <c r="B32" s="345">
        <v>1</v>
      </c>
      <c r="C32" s="345"/>
      <c r="D32" s="346" t="s">
        <v>349</v>
      </c>
      <c r="E32" s="346"/>
      <c r="F32" s="345" t="s">
        <v>350</v>
      </c>
      <c r="G32" s="345"/>
      <c r="H32" s="346" t="s">
        <v>351</v>
      </c>
      <c r="I32" s="346"/>
    </row>
    <row r="33" spans="1:11">
      <c r="A33" s="8"/>
      <c r="B33" s="345">
        <v>2</v>
      </c>
      <c r="C33" s="345"/>
      <c r="D33" s="346" t="s">
        <v>352</v>
      </c>
      <c r="E33" s="346"/>
      <c r="F33" s="345" t="s">
        <v>353</v>
      </c>
      <c r="G33" s="345"/>
      <c r="H33" s="346" t="s">
        <v>354</v>
      </c>
      <c r="I33" s="346"/>
    </row>
    <row r="34" spans="1:11">
      <c r="A34" s="8"/>
      <c r="B34" s="345">
        <v>3</v>
      </c>
      <c r="C34" s="345"/>
      <c r="D34" s="346" t="s">
        <v>355</v>
      </c>
      <c r="E34" s="346"/>
      <c r="F34" s="345" t="s">
        <v>356</v>
      </c>
      <c r="G34" s="345"/>
      <c r="H34" s="346" t="s">
        <v>357</v>
      </c>
      <c r="I34" s="346"/>
    </row>
    <row r="35" spans="1:11">
      <c r="A35" s="8"/>
      <c r="B35" s="345">
        <v>4</v>
      </c>
      <c r="C35" s="345"/>
      <c r="D35" s="346" t="s">
        <v>358</v>
      </c>
      <c r="E35" s="346"/>
      <c r="F35" s="345" t="s">
        <v>359</v>
      </c>
      <c r="G35" s="345"/>
      <c r="H35" s="346" t="s">
        <v>360</v>
      </c>
      <c r="I35" s="346"/>
    </row>
    <row r="36" spans="1:11">
      <c r="A36" s="8"/>
      <c r="B36" s="345">
        <v>5</v>
      </c>
      <c r="C36" s="345"/>
      <c r="D36" s="346" t="s">
        <v>361</v>
      </c>
      <c r="E36" s="346"/>
      <c r="F36" s="345" t="s">
        <v>362</v>
      </c>
      <c r="G36" s="345"/>
      <c r="H36" s="346" t="s">
        <v>363</v>
      </c>
      <c r="I36" s="346"/>
    </row>
    <row r="37" spans="1:11">
      <c r="A37" s="8"/>
      <c r="B37" s="40"/>
      <c r="C37" s="40"/>
      <c r="D37" s="23"/>
      <c r="E37" s="23"/>
      <c r="F37" s="40"/>
      <c r="G37" s="40"/>
      <c r="H37" s="23"/>
      <c r="I37" s="23"/>
    </row>
    <row r="38" spans="1:11">
      <c r="A38" s="8"/>
      <c r="B38" s="75" t="s">
        <v>364</v>
      </c>
      <c r="C38" s="5"/>
    </row>
    <row r="39" spans="1:11">
      <c r="A39" s="8"/>
      <c r="B39" s="341" t="s">
        <v>365</v>
      </c>
      <c r="C39" s="341"/>
      <c r="D39" s="347" t="s">
        <v>325</v>
      </c>
      <c r="E39" s="347"/>
      <c r="F39" s="347"/>
      <c r="G39" s="347"/>
      <c r="H39" s="347"/>
      <c r="I39" s="347"/>
    </row>
    <row r="40" spans="1:11">
      <c r="A40" s="8"/>
      <c r="B40" s="341"/>
      <c r="C40" s="341"/>
      <c r="D40" s="347" t="s">
        <v>366</v>
      </c>
      <c r="E40" s="347"/>
      <c r="F40" s="347"/>
      <c r="G40" s="347"/>
      <c r="H40" s="347" t="s">
        <v>347</v>
      </c>
      <c r="I40" s="347"/>
    </row>
    <row r="41" spans="1:11">
      <c r="A41" s="8"/>
      <c r="B41" s="333">
        <v>1</v>
      </c>
      <c r="C41" s="333"/>
      <c r="D41" s="333" t="s">
        <v>367</v>
      </c>
      <c r="E41" s="333"/>
      <c r="F41" s="333"/>
      <c r="G41" s="333"/>
      <c r="H41" s="333" t="s">
        <v>368</v>
      </c>
      <c r="I41" s="333"/>
    </row>
    <row r="42" spans="1:11">
      <c r="A42" s="8"/>
      <c r="B42" s="333">
        <v>2</v>
      </c>
      <c r="C42" s="333"/>
      <c r="D42" s="333" t="s">
        <v>369</v>
      </c>
      <c r="E42" s="333"/>
      <c r="F42" s="333"/>
      <c r="G42" s="333"/>
      <c r="H42" s="333" t="s">
        <v>370</v>
      </c>
      <c r="I42" s="333"/>
    </row>
    <row r="43" spans="1:11">
      <c r="A43" s="8"/>
      <c r="B43" s="333">
        <v>3</v>
      </c>
      <c r="C43" s="333"/>
      <c r="D43" s="333" t="s">
        <v>371</v>
      </c>
      <c r="E43" s="333"/>
      <c r="F43" s="333"/>
      <c r="G43" s="333"/>
      <c r="H43" s="333" t="s">
        <v>372</v>
      </c>
      <c r="I43" s="333"/>
    </row>
    <row r="44" spans="1:11">
      <c r="A44" s="8"/>
      <c r="B44" s="9"/>
      <c r="C44" s="9"/>
      <c r="D44" s="9"/>
      <c r="E44" s="9"/>
      <c r="F44" s="9"/>
      <c r="G44" s="9"/>
      <c r="H44" s="9"/>
      <c r="I44" s="9"/>
    </row>
    <row r="45" spans="1:11">
      <c r="A45" s="8"/>
      <c r="B45" s="9"/>
      <c r="C45" s="9"/>
      <c r="D45" s="9"/>
      <c r="E45" s="9"/>
      <c r="F45" s="9"/>
      <c r="G45" s="9"/>
      <c r="H45" s="9"/>
      <c r="I45" s="9"/>
    </row>
    <row r="46" spans="1:11" ht="20.25" customHeight="1"/>
    <row r="47" spans="1:11" ht="16.5" customHeight="1">
      <c r="H47" s="27" t="s">
        <v>373</v>
      </c>
      <c r="I47" s="69"/>
      <c r="J47" s="27" t="s">
        <v>374</v>
      </c>
      <c r="K47" s="70"/>
    </row>
    <row r="48" spans="1:11" ht="15" customHeight="1">
      <c r="H48" s="25" t="s">
        <v>375</v>
      </c>
      <c r="I48" s="21"/>
      <c r="J48" s="25" t="s">
        <v>376</v>
      </c>
      <c r="K48" s="24"/>
    </row>
    <row r="49" spans="8:13" ht="17.25" customHeight="1">
      <c r="H49" s="25" t="s">
        <v>377</v>
      </c>
      <c r="I49" s="21"/>
      <c r="J49" s="25" t="s">
        <v>378</v>
      </c>
      <c r="K49" s="24"/>
    </row>
    <row r="50" spans="8:13" ht="16.5" customHeight="1">
      <c r="H50" s="25" t="s">
        <v>379</v>
      </c>
      <c r="I50" s="21"/>
      <c r="J50" s="25" t="s">
        <v>380</v>
      </c>
      <c r="K50" s="24"/>
    </row>
    <row r="51" spans="8:13" ht="18" customHeight="1">
      <c r="H51" s="25" t="s">
        <v>375</v>
      </c>
      <c r="I51" s="21"/>
      <c r="J51" s="25" t="s">
        <v>376</v>
      </c>
      <c r="K51" s="24"/>
    </row>
    <row r="52" spans="8:13">
      <c r="H52" s="25" t="s">
        <v>381</v>
      </c>
      <c r="I52" s="21"/>
      <c r="J52" s="25" t="s">
        <v>381</v>
      </c>
      <c r="K52" s="24"/>
    </row>
    <row r="53" spans="8:13" ht="19.5" customHeight="1">
      <c r="H53" s="25" t="s">
        <v>375</v>
      </c>
      <c r="I53" s="21"/>
      <c r="J53" s="25" t="s">
        <v>376</v>
      </c>
      <c r="K53" s="24"/>
    </row>
    <row r="54" spans="8:13" ht="17.25" customHeight="1">
      <c r="H54" s="25" t="s">
        <v>382</v>
      </c>
      <c r="I54" s="21"/>
      <c r="J54" s="25" t="s">
        <v>382</v>
      </c>
      <c r="K54" s="24"/>
      <c r="M54" s="140"/>
    </row>
    <row r="55" spans="8:13">
      <c r="H55" s="29" t="s">
        <v>375</v>
      </c>
      <c r="I55" s="30"/>
      <c r="J55" s="29" t="s">
        <v>376</v>
      </c>
      <c r="K55" s="28"/>
      <c r="M55" s="140"/>
    </row>
    <row r="56" spans="8:13">
      <c r="H56" s="21"/>
      <c r="I56" s="21"/>
      <c r="J56" s="21"/>
      <c r="K56" s="21"/>
      <c r="M56" s="140"/>
    </row>
    <row r="57" spans="8:13">
      <c r="H57" s="21"/>
      <c r="I57" s="21"/>
      <c r="J57" s="21"/>
      <c r="K57" s="21"/>
      <c r="M57" s="140"/>
    </row>
    <row r="58" spans="8:13">
      <c r="H58" s="21"/>
      <c r="I58" s="21"/>
      <c r="J58" s="21"/>
      <c r="K58" s="21"/>
      <c r="M58" s="140"/>
    </row>
    <row r="59" spans="8:13" ht="72">
      <c r="L59" s="139" t="s">
        <v>342</v>
      </c>
    </row>
  </sheetData>
  <mergeCells count="86">
    <mergeCell ref="B43:C43"/>
    <mergeCell ref="D43:G43"/>
    <mergeCell ref="H43:I43"/>
    <mergeCell ref="B41:C41"/>
    <mergeCell ref="D41:G41"/>
    <mergeCell ref="H41:I41"/>
    <mergeCell ref="B42:C42"/>
    <mergeCell ref="D42:G42"/>
    <mergeCell ref="H42:I42"/>
    <mergeCell ref="B36:C36"/>
    <mergeCell ref="D36:E36"/>
    <mergeCell ref="F36:G36"/>
    <mergeCell ref="H36:I36"/>
    <mergeCell ref="B39:C40"/>
    <mergeCell ref="D39:I39"/>
    <mergeCell ref="D40:G40"/>
    <mergeCell ref="H40:I40"/>
    <mergeCell ref="B34:C34"/>
    <mergeCell ref="D34:E34"/>
    <mergeCell ref="F34:G34"/>
    <mergeCell ref="H34:I34"/>
    <mergeCell ref="B35:C35"/>
    <mergeCell ref="D35:E35"/>
    <mergeCell ref="F35:G35"/>
    <mergeCell ref="H35:I35"/>
    <mergeCell ref="B32:C32"/>
    <mergeCell ref="D32:E32"/>
    <mergeCell ref="F32:G32"/>
    <mergeCell ref="H32:I32"/>
    <mergeCell ref="B33:C33"/>
    <mergeCell ref="D33:E33"/>
    <mergeCell ref="F33:G33"/>
    <mergeCell ref="H33:I33"/>
    <mergeCell ref="C6:D6"/>
    <mergeCell ref="C7:D7"/>
    <mergeCell ref="B30:G30"/>
    <mergeCell ref="H30:I30"/>
    <mergeCell ref="B31:C31"/>
    <mergeCell ref="D31:E31"/>
    <mergeCell ref="F31:G31"/>
    <mergeCell ref="H31:I31"/>
    <mergeCell ref="B19:D19"/>
    <mergeCell ref="B20:D20"/>
    <mergeCell ref="E19:E22"/>
    <mergeCell ref="A10:L10"/>
    <mergeCell ref="A9:L9"/>
    <mergeCell ref="A8:L8"/>
    <mergeCell ref="A19:A22"/>
    <mergeCell ref="A12:A13"/>
    <mergeCell ref="B14:E14"/>
    <mergeCell ref="B15:E15"/>
    <mergeCell ref="B16:E16"/>
    <mergeCell ref="F14:I14"/>
    <mergeCell ref="F15:I15"/>
    <mergeCell ref="F16:I16"/>
    <mergeCell ref="H6:I6"/>
    <mergeCell ref="H7:I7"/>
    <mergeCell ref="L23:L25"/>
    <mergeCell ref="F19:H19"/>
    <mergeCell ref="F20:H20"/>
    <mergeCell ref="I19:K19"/>
    <mergeCell ref="I20:K20"/>
    <mergeCell ref="L19:L22"/>
    <mergeCell ref="I23:I25"/>
    <mergeCell ref="J23:J25"/>
    <mergeCell ref="K23:K25"/>
    <mergeCell ref="J13:L13"/>
    <mergeCell ref="J14:L14"/>
    <mergeCell ref="J15:L15"/>
    <mergeCell ref="J16:L16"/>
    <mergeCell ref="A1:L1"/>
    <mergeCell ref="A4:B5"/>
    <mergeCell ref="C4:D5"/>
    <mergeCell ref="B12:L12"/>
    <mergeCell ref="B13:E13"/>
    <mergeCell ref="F13:I13"/>
    <mergeCell ref="K4:L5"/>
    <mergeCell ref="K6:L6"/>
    <mergeCell ref="K7:L7"/>
    <mergeCell ref="A6:B6"/>
    <mergeCell ref="A7:B7"/>
    <mergeCell ref="E5:G5"/>
    <mergeCell ref="E4:J4"/>
    <mergeCell ref="E6:G6"/>
    <mergeCell ref="E7:G7"/>
    <mergeCell ref="H5:I5"/>
  </mergeCells>
  <pageMargins left="0.7" right="0.7" top="0.75" bottom="0.75" header="0.3" footer="0.3"/>
  <pageSetup paperSize="9" scale="51" orientation="landscape" r:id="rId1"/>
  <rowBreaks count="1" manualBreakCount="1">
    <brk id="28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89"/>
  <sheetViews>
    <sheetView showGridLines="0" topLeftCell="A52" zoomScaleNormal="100" zoomScaleSheetLayoutView="100" workbookViewId="0">
      <selection activeCell="N64" sqref="N64"/>
    </sheetView>
  </sheetViews>
  <sheetFormatPr defaultColWidth="9" defaultRowHeight="21"/>
  <cols>
    <col min="1" max="1" width="4.140625" style="40" customWidth="1"/>
    <col min="2" max="2" width="6" style="40" customWidth="1"/>
    <col min="3" max="4" width="11.140625" style="40" customWidth="1"/>
    <col min="5" max="5" width="14.42578125" style="40" customWidth="1"/>
    <col min="6" max="11" width="9" style="40"/>
    <col min="12" max="12" width="10.28515625" style="40" customWidth="1"/>
    <col min="13" max="14" width="9" style="40"/>
    <col min="15" max="15" width="5.42578125" style="40" bestFit="1" customWidth="1"/>
    <col min="16" max="16" width="37.42578125" style="40" bestFit="1" customWidth="1"/>
    <col min="17" max="16384" width="9" style="40"/>
  </cols>
  <sheetData>
    <row r="1" spans="1:12">
      <c r="A1" s="265" t="s">
        <v>383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</row>
    <row r="2" spans="1:12">
      <c r="A2" s="265" t="s">
        <v>384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</row>
    <row r="4" spans="1:12">
      <c r="A4" s="65" t="s">
        <v>2</v>
      </c>
      <c r="B4" s="68" t="s">
        <v>385</v>
      </c>
      <c r="E4" s="23"/>
    </row>
    <row r="5" spans="1:12">
      <c r="A5" s="65" t="s">
        <v>251</v>
      </c>
      <c r="B5" s="68" t="s">
        <v>386</v>
      </c>
      <c r="C5" s="8"/>
      <c r="D5" s="8"/>
    </row>
    <row r="6" spans="1:12">
      <c r="A6" s="65"/>
      <c r="B6" s="32">
        <v>2.1</v>
      </c>
      <c r="C6" s="1" t="s">
        <v>387</v>
      </c>
      <c r="D6" s="8"/>
      <c r="E6" s="8"/>
      <c r="F6" s="8" t="s">
        <v>388</v>
      </c>
    </row>
    <row r="7" spans="1:12">
      <c r="B7" s="32">
        <v>2.2000000000000002</v>
      </c>
      <c r="C7" s="1" t="s">
        <v>389</v>
      </c>
      <c r="D7" s="1"/>
      <c r="E7" s="8"/>
      <c r="F7" s="8" t="s">
        <v>390</v>
      </c>
      <c r="G7" s="8"/>
      <c r="H7" s="8"/>
    </row>
    <row r="8" spans="1:12">
      <c r="B8" s="32"/>
      <c r="C8" s="1"/>
      <c r="D8" s="1"/>
      <c r="E8" s="8"/>
      <c r="F8" s="8" t="s">
        <v>391</v>
      </c>
      <c r="G8" s="8"/>
      <c r="H8" s="8"/>
    </row>
    <row r="9" spans="1:12">
      <c r="B9" s="32"/>
      <c r="C9" s="1"/>
      <c r="D9" s="1"/>
      <c r="E9" s="8"/>
      <c r="F9" s="8" t="s">
        <v>392</v>
      </c>
      <c r="G9" s="8"/>
      <c r="H9" s="8"/>
    </row>
    <row r="10" spans="1:12">
      <c r="B10" s="32"/>
      <c r="C10" s="1"/>
      <c r="D10" s="1"/>
      <c r="E10" s="8"/>
      <c r="F10" s="8" t="s">
        <v>393</v>
      </c>
      <c r="G10" s="8"/>
      <c r="H10" s="8"/>
    </row>
    <row r="11" spans="1:12">
      <c r="B11" s="32"/>
      <c r="C11" s="1"/>
      <c r="D11" s="1"/>
      <c r="E11" s="8"/>
      <c r="F11" s="8" t="s">
        <v>394</v>
      </c>
      <c r="G11" s="8"/>
      <c r="H11" s="8"/>
    </row>
    <row r="12" spans="1:12">
      <c r="B12" s="32"/>
      <c r="C12" s="1"/>
      <c r="D12" s="1"/>
      <c r="E12" s="8"/>
      <c r="F12" s="8" t="s">
        <v>395</v>
      </c>
      <c r="G12" s="8"/>
      <c r="H12" s="8"/>
    </row>
    <row r="13" spans="1:12">
      <c r="A13" s="65"/>
      <c r="B13" s="32">
        <v>2.2999999999999998</v>
      </c>
      <c r="C13" s="1" t="s">
        <v>396</v>
      </c>
      <c r="D13" s="8"/>
      <c r="E13" s="8"/>
      <c r="F13" s="8" t="s">
        <v>397</v>
      </c>
    </row>
    <row r="14" spans="1:12" s="23" customFormat="1" ht="21" customHeight="1">
      <c r="A14" s="40"/>
      <c r="B14" s="32">
        <v>2.4</v>
      </c>
      <c r="C14" s="1" t="s">
        <v>398</v>
      </c>
      <c r="F14" s="61" t="s">
        <v>399</v>
      </c>
    </row>
    <row r="15" spans="1:12" s="147" customFormat="1" ht="24.6" customHeight="1">
      <c r="A15" s="104"/>
      <c r="B15" s="104"/>
      <c r="C15" s="4"/>
      <c r="F15" s="2" t="s">
        <v>400</v>
      </c>
    </row>
    <row r="16" spans="1:12" s="147" customFormat="1" ht="24.6" customHeight="1">
      <c r="A16" s="104"/>
      <c r="B16" s="32">
        <v>2.5</v>
      </c>
      <c r="C16" s="4" t="s">
        <v>401</v>
      </c>
      <c r="F16" s="2" t="s">
        <v>402</v>
      </c>
    </row>
    <row r="17" spans="1:12" s="23" customFormat="1">
      <c r="A17" s="40"/>
      <c r="B17" s="32">
        <v>2.6</v>
      </c>
      <c r="C17" s="68" t="s">
        <v>403</v>
      </c>
      <c r="F17" s="6" t="s">
        <v>404</v>
      </c>
    </row>
    <row r="18" spans="1:12" s="23" customFormat="1">
      <c r="A18" s="40"/>
      <c r="B18" s="32">
        <v>2.7</v>
      </c>
      <c r="C18" s="68" t="s">
        <v>242</v>
      </c>
      <c r="D18" s="1"/>
      <c r="E18" s="8"/>
      <c r="F18" s="6" t="s">
        <v>405</v>
      </c>
      <c r="G18" s="8"/>
      <c r="H18" s="8"/>
      <c r="I18" s="8"/>
      <c r="J18" s="8"/>
    </row>
    <row r="19" spans="1:12" s="23" customFormat="1">
      <c r="A19" s="40"/>
      <c r="B19" s="32"/>
      <c r="C19" s="1"/>
      <c r="D19" s="1"/>
      <c r="E19" s="8"/>
      <c r="F19" s="6" t="s">
        <v>406</v>
      </c>
      <c r="G19" s="8"/>
      <c r="H19" s="8"/>
      <c r="I19" s="8"/>
      <c r="J19" s="8"/>
    </row>
    <row r="20" spans="1:12" s="23" customFormat="1">
      <c r="A20" s="40"/>
      <c r="B20" s="32">
        <v>2.8</v>
      </c>
      <c r="C20" s="1" t="s">
        <v>407</v>
      </c>
      <c r="D20" s="1"/>
      <c r="E20" s="8"/>
      <c r="F20" s="6" t="s">
        <v>408</v>
      </c>
      <c r="G20" s="8"/>
      <c r="H20" s="8"/>
      <c r="I20" s="8"/>
      <c r="J20" s="8"/>
    </row>
    <row r="21" spans="1:12" s="23" customFormat="1">
      <c r="A21" s="40"/>
      <c r="B21" s="32">
        <v>2.9</v>
      </c>
      <c r="C21" s="1" t="s">
        <v>409</v>
      </c>
      <c r="D21" s="1"/>
      <c r="E21" s="1"/>
      <c r="F21" s="6" t="s">
        <v>410</v>
      </c>
      <c r="G21" s="8"/>
      <c r="H21" s="8"/>
      <c r="I21" s="8"/>
      <c r="J21" s="8"/>
    </row>
    <row r="22" spans="1:12" s="23" customFormat="1">
      <c r="A22" s="40"/>
      <c r="B22" s="65" t="s">
        <v>411</v>
      </c>
      <c r="C22" s="1" t="s">
        <v>412</v>
      </c>
      <c r="D22" s="1"/>
      <c r="E22" s="8"/>
      <c r="F22" s="6" t="s">
        <v>413</v>
      </c>
      <c r="G22" s="8"/>
      <c r="H22" s="8"/>
      <c r="I22" s="8"/>
      <c r="J22" s="8"/>
    </row>
    <row r="23" spans="1:12" s="23" customFormat="1">
      <c r="A23" s="40"/>
      <c r="B23" s="32"/>
      <c r="C23" s="1"/>
      <c r="D23" s="1"/>
      <c r="E23" s="8"/>
      <c r="F23" s="6" t="s">
        <v>414</v>
      </c>
      <c r="G23" s="8"/>
      <c r="H23" s="8"/>
      <c r="I23" s="8"/>
      <c r="J23" s="8"/>
    </row>
    <row r="24" spans="1:12" s="23" customFormat="1">
      <c r="A24" s="40"/>
      <c r="B24" s="32">
        <v>2.11</v>
      </c>
      <c r="C24" s="1" t="s">
        <v>415</v>
      </c>
      <c r="D24" s="1"/>
      <c r="E24" s="8"/>
      <c r="F24" s="6" t="s">
        <v>416</v>
      </c>
      <c r="G24" s="8"/>
      <c r="H24" s="8"/>
      <c r="I24" s="8"/>
      <c r="J24" s="8"/>
    </row>
    <row r="25" spans="1:12" s="23" customFormat="1">
      <c r="A25" s="65" t="s">
        <v>252</v>
      </c>
      <c r="B25" s="68" t="s">
        <v>417</v>
      </c>
      <c r="C25" s="1"/>
      <c r="D25" s="1"/>
      <c r="E25" s="8"/>
      <c r="F25" s="8" t="s">
        <v>418</v>
      </c>
    </row>
    <row r="26" spans="1:12">
      <c r="A26" s="65" t="s">
        <v>253</v>
      </c>
      <c r="B26" s="1" t="s">
        <v>419</v>
      </c>
      <c r="D26" s="8"/>
      <c r="E26" s="8"/>
      <c r="F26" s="8"/>
      <c r="G26" s="8"/>
      <c r="H26" s="8"/>
      <c r="I26" s="8"/>
      <c r="J26" s="8"/>
      <c r="K26" s="23"/>
      <c r="L26" s="23"/>
    </row>
    <row r="27" spans="1:12">
      <c r="B27" s="32">
        <v>4.0999999999999996</v>
      </c>
      <c r="C27" s="1" t="s">
        <v>420</v>
      </c>
      <c r="D27" s="1"/>
      <c r="E27" s="8"/>
      <c r="F27" s="7" t="s">
        <v>421</v>
      </c>
      <c r="G27" s="8"/>
      <c r="H27" s="8"/>
      <c r="I27" s="8"/>
      <c r="J27" s="23"/>
      <c r="K27" s="23"/>
    </row>
    <row r="28" spans="1:12">
      <c r="C28" s="32" t="s">
        <v>422</v>
      </c>
      <c r="D28" s="6"/>
      <c r="E28" s="6"/>
      <c r="F28" s="7" t="s">
        <v>423</v>
      </c>
      <c r="G28" s="6"/>
      <c r="H28" s="6"/>
      <c r="I28" s="6"/>
      <c r="J28" s="6"/>
      <c r="K28" s="6"/>
    </row>
    <row r="29" spans="1:12">
      <c r="D29" s="23"/>
      <c r="E29" s="23"/>
      <c r="F29" s="23" t="s">
        <v>424</v>
      </c>
      <c r="G29" s="23"/>
      <c r="H29" s="23"/>
      <c r="I29" s="23"/>
      <c r="J29" s="23"/>
      <c r="K29" s="23"/>
    </row>
    <row r="30" spans="1:12">
      <c r="D30" s="23"/>
      <c r="E30" s="23"/>
      <c r="F30" s="198" t="s">
        <v>425</v>
      </c>
      <c r="G30" s="23"/>
      <c r="H30" s="23"/>
      <c r="I30" s="23"/>
      <c r="J30" s="23"/>
      <c r="K30" s="23"/>
    </row>
    <row r="31" spans="1:12">
      <c r="D31" s="23"/>
      <c r="E31" s="23"/>
      <c r="F31" s="7" t="s">
        <v>426</v>
      </c>
      <c r="G31" s="23"/>
      <c r="H31" s="23"/>
      <c r="I31" s="23"/>
      <c r="J31" s="23"/>
      <c r="K31" s="23"/>
    </row>
    <row r="32" spans="1:12">
      <c r="B32" s="32">
        <v>4.2</v>
      </c>
      <c r="C32" s="5" t="s">
        <v>427</v>
      </c>
      <c r="D32" s="23"/>
      <c r="E32" s="23"/>
      <c r="F32" s="6" t="s">
        <v>428</v>
      </c>
      <c r="G32" s="23"/>
      <c r="H32" s="23"/>
      <c r="I32" s="23"/>
      <c r="J32" s="23"/>
      <c r="K32" s="23"/>
    </row>
    <row r="33" spans="1:11">
      <c r="C33" s="68" t="s">
        <v>429</v>
      </c>
      <c r="D33" s="23"/>
      <c r="E33" s="23"/>
      <c r="F33" s="23" t="s">
        <v>430</v>
      </c>
      <c r="G33" s="23"/>
      <c r="H33" s="23"/>
      <c r="I33" s="23"/>
      <c r="J33" s="23"/>
      <c r="K33" s="23"/>
    </row>
    <row r="34" spans="1:11">
      <c r="A34" s="65" t="s">
        <v>431</v>
      </c>
      <c r="B34" s="4" t="s">
        <v>432</v>
      </c>
      <c r="D34" s="4"/>
      <c r="E34" s="2"/>
      <c r="F34" s="2"/>
      <c r="G34" s="2"/>
      <c r="H34" s="2"/>
      <c r="I34" s="2"/>
    </row>
    <row r="35" spans="1:11">
      <c r="A35" s="88"/>
      <c r="B35" s="32">
        <v>5.0999999999999996</v>
      </c>
      <c r="C35" s="1" t="s">
        <v>433</v>
      </c>
      <c r="E35" s="60" t="s">
        <v>434</v>
      </c>
      <c r="F35" s="2" t="s">
        <v>435</v>
      </c>
      <c r="G35" s="2"/>
      <c r="I35" s="2"/>
    </row>
    <row r="36" spans="1:11">
      <c r="A36" s="87"/>
      <c r="B36" s="32"/>
      <c r="C36" s="1"/>
      <c r="E36" s="6"/>
      <c r="F36" s="8" t="s">
        <v>436</v>
      </c>
      <c r="G36" s="2"/>
      <c r="I36" s="2"/>
    </row>
    <row r="37" spans="1:11">
      <c r="A37" s="87"/>
      <c r="B37" s="32"/>
      <c r="C37" s="1"/>
      <c r="E37" s="6"/>
      <c r="F37" s="8" t="s">
        <v>437</v>
      </c>
      <c r="G37" s="2"/>
      <c r="I37" s="2"/>
    </row>
    <row r="38" spans="1:11">
      <c r="A38" s="87"/>
      <c r="B38" s="32">
        <v>5.2</v>
      </c>
      <c r="C38" s="1" t="s">
        <v>438</v>
      </c>
      <c r="F38" s="8" t="s">
        <v>439</v>
      </c>
      <c r="G38" s="2"/>
      <c r="I38" s="2"/>
    </row>
    <row r="39" spans="1:11">
      <c r="A39" s="87"/>
      <c r="B39" s="32"/>
      <c r="C39" s="1" t="s">
        <v>440</v>
      </c>
      <c r="F39" s="8" t="s">
        <v>441</v>
      </c>
      <c r="G39" s="2"/>
      <c r="I39" s="2"/>
    </row>
    <row r="40" spans="1:11">
      <c r="F40" s="23" t="s">
        <v>442</v>
      </c>
    </row>
    <row r="41" spans="1:11">
      <c r="A41" s="200" t="s">
        <v>443</v>
      </c>
      <c r="B41" s="68" t="s">
        <v>444</v>
      </c>
      <c r="F41" s="6" t="s">
        <v>445</v>
      </c>
    </row>
    <row r="42" spans="1:11">
      <c r="A42" s="200"/>
      <c r="B42" s="68" t="s">
        <v>446</v>
      </c>
      <c r="F42" s="6"/>
    </row>
    <row r="43" spans="1:11">
      <c r="A43" s="200" t="s">
        <v>447</v>
      </c>
      <c r="B43" s="68" t="s">
        <v>448</v>
      </c>
      <c r="F43" s="61" t="s">
        <v>449</v>
      </c>
    </row>
    <row r="44" spans="1:11">
      <c r="A44" s="32"/>
      <c r="B44" s="68" t="s">
        <v>450</v>
      </c>
      <c r="C44" s="68"/>
    </row>
    <row r="45" spans="1:11">
      <c r="A45" s="200" t="s">
        <v>451</v>
      </c>
      <c r="B45" s="5" t="s">
        <v>452</v>
      </c>
      <c r="F45" s="61" t="s">
        <v>453</v>
      </c>
      <c r="G45" s="6"/>
    </row>
    <row r="46" spans="1:11">
      <c r="A46" s="67"/>
      <c r="B46" s="5" t="s">
        <v>454</v>
      </c>
      <c r="C46" s="5"/>
      <c r="F46" s="6" t="s">
        <v>455</v>
      </c>
      <c r="G46" s="6"/>
    </row>
    <row r="47" spans="1:11">
      <c r="B47" s="67"/>
      <c r="F47" s="6" t="s">
        <v>456</v>
      </c>
      <c r="G47" s="6"/>
    </row>
    <row r="48" spans="1:11">
      <c r="B48" s="67"/>
      <c r="C48" s="5"/>
      <c r="F48" s="6" t="s">
        <v>457</v>
      </c>
      <c r="G48" s="6"/>
    </row>
    <row r="49" spans="1:9">
      <c r="A49" s="200" t="s">
        <v>458</v>
      </c>
      <c r="B49" s="85" t="s">
        <v>26</v>
      </c>
      <c r="F49" s="61" t="s">
        <v>459</v>
      </c>
    </row>
    <row r="50" spans="1:9">
      <c r="A50" s="67"/>
      <c r="B50" s="85" t="s">
        <v>460</v>
      </c>
      <c r="F50" s="6" t="s">
        <v>461</v>
      </c>
    </row>
    <row r="51" spans="1:9" s="104" customFormat="1" ht="24.75" customHeight="1">
      <c r="A51" s="3"/>
      <c r="B51" s="201" t="s">
        <v>462</v>
      </c>
      <c r="F51" s="2" t="s">
        <v>463</v>
      </c>
    </row>
    <row r="52" spans="1:9" ht="20.25" customHeight="1">
      <c r="A52" s="200" t="s">
        <v>464</v>
      </c>
      <c r="B52" s="68" t="s">
        <v>465</v>
      </c>
      <c r="F52" s="23" t="s">
        <v>466</v>
      </c>
    </row>
    <row r="53" spans="1:9" s="104" customFormat="1" ht="26.25" customHeight="1">
      <c r="B53" s="89" t="s">
        <v>467</v>
      </c>
      <c r="F53" s="147" t="s">
        <v>468</v>
      </c>
    </row>
    <row r="54" spans="1:9">
      <c r="A54" s="200" t="s">
        <v>33</v>
      </c>
      <c r="B54" s="85" t="s">
        <v>469</v>
      </c>
      <c r="F54" s="61" t="s">
        <v>470</v>
      </c>
    </row>
    <row r="55" spans="1:9">
      <c r="B55" s="67"/>
      <c r="C55" s="68"/>
      <c r="F55" s="6" t="s">
        <v>471</v>
      </c>
    </row>
    <row r="56" spans="1:9">
      <c r="B56" s="32"/>
      <c r="C56" s="32"/>
      <c r="F56" s="6" t="s">
        <v>472</v>
      </c>
    </row>
    <row r="57" spans="1:9">
      <c r="A57" s="65" t="s">
        <v>36</v>
      </c>
      <c r="B57" s="89" t="s">
        <v>142</v>
      </c>
      <c r="C57" s="86"/>
      <c r="D57" s="86"/>
      <c r="E57" s="6"/>
      <c r="F57" s="6"/>
      <c r="G57" s="6"/>
      <c r="H57" s="6"/>
      <c r="I57" s="6"/>
    </row>
    <row r="58" spans="1:9">
      <c r="A58" s="80"/>
      <c r="B58" s="68" t="s">
        <v>144</v>
      </c>
      <c r="D58" s="4"/>
      <c r="E58" s="2"/>
      <c r="F58" s="8" t="s">
        <v>473</v>
      </c>
      <c r="G58" s="6"/>
      <c r="H58" s="2"/>
      <c r="I58" s="2"/>
    </row>
    <row r="59" spans="1:9">
      <c r="A59" s="88"/>
      <c r="B59" s="3"/>
      <c r="C59" s="4"/>
      <c r="D59" s="4"/>
      <c r="E59" s="2"/>
      <c r="F59" s="8" t="s">
        <v>474</v>
      </c>
      <c r="G59" s="6"/>
      <c r="H59" s="2"/>
      <c r="I59" s="2"/>
    </row>
    <row r="60" spans="1:9">
      <c r="A60" s="88"/>
      <c r="B60" s="3"/>
      <c r="C60" s="4"/>
      <c r="D60" s="4"/>
      <c r="E60" s="2"/>
      <c r="F60" s="8" t="s">
        <v>475</v>
      </c>
      <c r="G60" s="2"/>
      <c r="H60" s="2"/>
      <c r="I60" s="2"/>
    </row>
    <row r="61" spans="1:9" s="23" customFormat="1">
      <c r="A61" s="65" t="s">
        <v>39</v>
      </c>
      <c r="B61" s="68" t="s">
        <v>476</v>
      </c>
    </row>
    <row r="62" spans="1:9" s="23" customFormat="1">
      <c r="A62" s="65"/>
      <c r="B62" s="32">
        <v>13.1</v>
      </c>
      <c r="C62" s="1" t="s">
        <v>477</v>
      </c>
      <c r="D62" s="1"/>
      <c r="E62" s="8"/>
      <c r="F62" s="23" t="s">
        <v>478</v>
      </c>
      <c r="G62" s="8"/>
      <c r="H62" s="8"/>
    </row>
    <row r="63" spans="1:9" s="23" customFormat="1">
      <c r="A63" s="65"/>
      <c r="B63" s="32"/>
      <c r="C63" s="1" t="s">
        <v>479</v>
      </c>
      <c r="D63" s="1"/>
      <c r="E63" s="8"/>
      <c r="F63" s="6" t="s">
        <v>480</v>
      </c>
      <c r="G63" s="8"/>
      <c r="H63" s="8"/>
    </row>
    <row r="64" spans="1:9" s="23" customFormat="1">
      <c r="A64" s="65"/>
      <c r="B64" s="32">
        <v>13.2</v>
      </c>
      <c r="C64" s="1" t="s">
        <v>481</v>
      </c>
      <c r="D64" s="1"/>
      <c r="E64" s="8"/>
      <c r="F64" s="8" t="s">
        <v>482</v>
      </c>
      <c r="G64" s="8"/>
      <c r="H64" s="8"/>
    </row>
    <row r="65" spans="1:20" s="23" customFormat="1">
      <c r="A65" s="65"/>
      <c r="B65" s="32"/>
      <c r="C65" s="1" t="s">
        <v>483</v>
      </c>
      <c r="D65" s="1"/>
      <c r="E65" s="8"/>
      <c r="F65" s="8" t="s">
        <v>484</v>
      </c>
      <c r="G65" s="8"/>
      <c r="H65" s="8"/>
    </row>
    <row r="66" spans="1:20" s="23" customFormat="1">
      <c r="A66" s="65"/>
      <c r="B66" s="32"/>
      <c r="C66" s="1"/>
      <c r="D66" s="1"/>
      <c r="E66" s="8"/>
      <c r="F66" s="8" t="s">
        <v>485</v>
      </c>
      <c r="G66" s="8"/>
      <c r="H66" s="8"/>
    </row>
    <row r="67" spans="1:20" s="23" customFormat="1">
      <c r="A67" s="65" t="s">
        <v>486</v>
      </c>
      <c r="B67" s="68" t="s">
        <v>487</v>
      </c>
    </row>
    <row r="68" spans="1:20" s="23" customFormat="1">
      <c r="A68" s="40"/>
      <c r="B68" s="32">
        <v>14.1</v>
      </c>
      <c r="C68" s="68" t="s">
        <v>488</v>
      </c>
      <c r="F68" s="8" t="s">
        <v>489</v>
      </c>
    </row>
    <row r="69" spans="1:20" s="23" customFormat="1">
      <c r="A69" s="40"/>
      <c r="B69" s="40"/>
      <c r="F69" s="8" t="s">
        <v>490</v>
      </c>
    </row>
    <row r="70" spans="1:20" s="23" customFormat="1">
      <c r="A70" s="40"/>
      <c r="B70" s="32"/>
      <c r="C70" s="1"/>
      <c r="F70" s="61" t="s">
        <v>491</v>
      </c>
    </row>
    <row r="71" spans="1:20" s="23" customFormat="1">
      <c r="A71" s="40"/>
      <c r="B71" s="40"/>
      <c r="C71" s="1"/>
      <c r="F71" s="6" t="s">
        <v>492</v>
      </c>
    </row>
    <row r="72" spans="1:20" s="23" customFormat="1">
      <c r="A72" s="40"/>
      <c r="B72" s="66">
        <v>14.2</v>
      </c>
      <c r="C72" s="68" t="s">
        <v>493</v>
      </c>
      <c r="O72" s="12"/>
      <c r="P72" s="5"/>
      <c r="Q72" s="6"/>
      <c r="R72" s="6"/>
      <c r="S72" s="6"/>
      <c r="T72" s="6"/>
    </row>
    <row r="73" spans="1:20" s="23" customFormat="1">
      <c r="A73" s="40"/>
      <c r="B73" s="40"/>
      <c r="C73" s="6" t="s">
        <v>494</v>
      </c>
      <c r="G73" s="6" t="s">
        <v>495</v>
      </c>
      <c r="O73" s="9"/>
      <c r="P73" s="5"/>
      <c r="Q73" s="6"/>
      <c r="R73" s="6"/>
      <c r="S73" s="6"/>
      <c r="T73" s="6"/>
    </row>
    <row r="74" spans="1:20" s="23" customFormat="1">
      <c r="A74" s="40"/>
      <c r="B74" s="40"/>
      <c r="C74" s="6"/>
      <c r="G74" s="6" t="s">
        <v>496</v>
      </c>
      <c r="O74" s="9"/>
      <c r="P74" s="5"/>
      <c r="Q74" s="6"/>
      <c r="R74" s="6"/>
      <c r="S74" s="6"/>
      <c r="T74" s="6"/>
    </row>
    <row r="75" spans="1:20" s="23" customFormat="1">
      <c r="A75" s="40"/>
      <c r="B75" s="40"/>
      <c r="C75" s="6" t="s">
        <v>497</v>
      </c>
      <c r="G75" s="6" t="s">
        <v>498</v>
      </c>
      <c r="O75" s="9"/>
      <c r="R75" s="6"/>
      <c r="S75" s="6"/>
      <c r="T75" s="6"/>
    </row>
    <row r="76" spans="1:20">
      <c r="C76" s="6"/>
      <c r="G76" s="6" t="s">
        <v>499</v>
      </c>
      <c r="O76" s="9"/>
      <c r="R76" s="6"/>
      <c r="S76" s="6"/>
      <c r="T76" s="6"/>
    </row>
    <row r="77" spans="1:20">
      <c r="C77" s="6"/>
      <c r="G77" s="6" t="s">
        <v>500</v>
      </c>
      <c r="O77" s="9"/>
      <c r="R77" s="6"/>
      <c r="S77" s="6"/>
      <c r="T77" s="6"/>
    </row>
    <row r="78" spans="1:20">
      <c r="C78" s="6"/>
      <c r="G78" s="6" t="s">
        <v>15</v>
      </c>
      <c r="O78" s="9"/>
      <c r="R78" s="6"/>
      <c r="S78" s="6"/>
      <c r="T78" s="6"/>
    </row>
    <row r="79" spans="1:20">
      <c r="C79" s="6" t="s">
        <v>501</v>
      </c>
      <c r="G79" s="6" t="s">
        <v>502</v>
      </c>
      <c r="O79" s="9"/>
      <c r="R79" s="6"/>
      <c r="S79" s="6"/>
      <c r="T79" s="6"/>
    </row>
    <row r="80" spans="1:20">
      <c r="C80" s="6"/>
      <c r="G80" s="6" t="s">
        <v>503</v>
      </c>
      <c r="O80" s="9"/>
      <c r="R80" s="6"/>
      <c r="S80" s="6"/>
      <c r="T80" s="6"/>
    </row>
    <row r="81" spans="1:20">
      <c r="C81" s="6" t="s">
        <v>504</v>
      </c>
      <c r="G81" s="6" t="s">
        <v>505</v>
      </c>
      <c r="O81" s="9"/>
      <c r="R81" s="6"/>
      <c r="S81" s="6"/>
      <c r="T81" s="6"/>
    </row>
    <row r="82" spans="1:20">
      <c r="C82" s="6" t="s">
        <v>506</v>
      </c>
      <c r="G82" s="6" t="s">
        <v>505</v>
      </c>
      <c r="O82" s="9"/>
      <c r="R82" s="6"/>
      <c r="S82" s="6"/>
      <c r="T82" s="6"/>
    </row>
    <row r="83" spans="1:20">
      <c r="C83" s="6" t="s">
        <v>507</v>
      </c>
      <c r="G83" s="6" t="s">
        <v>508</v>
      </c>
      <c r="O83" s="9"/>
      <c r="R83" s="6"/>
      <c r="S83" s="6"/>
      <c r="T83" s="6"/>
    </row>
    <row r="84" spans="1:20">
      <c r="C84" s="6" t="s">
        <v>509</v>
      </c>
      <c r="G84" s="6" t="s">
        <v>508</v>
      </c>
      <c r="O84" s="9"/>
      <c r="R84" s="6"/>
      <c r="S84" s="6"/>
      <c r="T84" s="6"/>
    </row>
    <row r="85" spans="1:20">
      <c r="A85" s="88"/>
      <c r="B85" s="3"/>
      <c r="C85" s="4"/>
      <c r="D85" s="4"/>
      <c r="E85" s="147"/>
      <c r="F85" s="2"/>
      <c r="G85" s="2"/>
      <c r="H85" s="2"/>
      <c r="I85" s="2"/>
    </row>
    <row r="86" spans="1:20">
      <c r="A86" s="11" t="s">
        <v>510</v>
      </c>
      <c r="B86" s="199" t="s">
        <v>511</v>
      </c>
      <c r="F86" s="23" t="s">
        <v>512</v>
      </c>
    </row>
    <row r="87" spans="1:20">
      <c r="A87" s="6"/>
      <c r="B87" s="68" t="s">
        <v>513</v>
      </c>
      <c r="F87" s="23" t="s">
        <v>514</v>
      </c>
    </row>
    <row r="88" spans="1:20">
      <c r="B88" s="68" t="s">
        <v>515</v>
      </c>
      <c r="F88" s="23" t="s">
        <v>516</v>
      </c>
    </row>
    <row r="89" spans="1:20">
      <c r="B89" s="199" t="s">
        <v>517</v>
      </c>
    </row>
  </sheetData>
  <mergeCells count="2">
    <mergeCell ref="A1:L1"/>
    <mergeCell ref="A2:L2"/>
  </mergeCells>
  <pageMargins left="0.27559055118110198" right="0.39370078740157499" top="0.39370078740157499" bottom="0.196850393700787" header="0.511811023622047" footer="0.511811023622047"/>
  <pageSetup paperSize="9" scale="95" orientation="portrait" r:id="rId1"/>
  <rowBreaks count="2" manualBreakCount="2">
    <brk id="40" max="11" man="1"/>
    <brk id="66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H33"/>
  <sheetViews>
    <sheetView showGridLines="0" topLeftCell="A2" workbookViewId="0">
      <selection activeCell="A2" sqref="A2:H2"/>
    </sheetView>
  </sheetViews>
  <sheetFormatPr defaultColWidth="9.140625" defaultRowHeight="21"/>
  <cols>
    <col min="1" max="1" width="6.140625" style="6" customWidth="1"/>
    <col min="2" max="2" width="27.85546875" style="6" customWidth="1"/>
    <col min="3" max="7" width="12" style="6" customWidth="1"/>
    <col min="8" max="8" width="13.140625" style="6" customWidth="1"/>
    <col min="9" max="16384" width="9.140625" style="6"/>
  </cols>
  <sheetData>
    <row r="1" spans="1:8">
      <c r="G1" s="13"/>
      <c r="H1" s="13" t="s">
        <v>9</v>
      </c>
    </row>
    <row r="2" spans="1:8" ht="29.25" customHeight="1">
      <c r="A2" s="348" t="s">
        <v>518</v>
      </c>
      <c r="B2" s="348"/>
      <c r="C2" s="348"/>
      <c r="D2" s="348"/>
      <c r="E2" s="348"/>
      <c r="F2" s="348"/>
      <c r="G2" s="348"/>
      <c r="H2" s="348"/>
    </row>
    <row r="3" spans="1:8" ht="26.25">
      <c r="A3" s="348" t="s">
        <v>519</v>
      </c>
      <c r="B3" s="348"/>
      <c r="C3" s="348"/>
      <c r="D3" s="348"/>
      <c r="E3" s="348"/>
      <c r="F3" s="348"/>
      <c r="G3" s="348"/>
      <c r="H3" s="348"/>
    </row>
    <row r="4" spans="1:8" ht="26.25">
      <c r="A4" s="348" t="s">
        <v>520</v>
      </c>
      <c r="B4" s="348"/>
      <c r="C4" s="348"/>
      <c r="D4" s="348"/>
      <c r="E4" s="348"/>
      <c r="F4" s="348"/>
      <c r="G4" s="348"/>
      <c r="H4" s="348"/>
    </row>
    <row r="5" spans="1:8">
      <c r="A5" s="5" t="s">
        <v>521</v>
      </c>
    </row>
    <row r="6" spans="1:8">
      <c r="A6" s="5" t="s">
        <v>57</v>
      </c>
      <c r="D6" s="5"/>
      <c r="E6" s="5"/>
    </row>
    <row r="7" spans="1:8">
      <c r="A7" s="5" t="s">
        <v>522</v>
      </c>
      <c r="D7" s="5"/>
      <c r="E7" s="5"/>
    </row>
    <row r="8" spans="1:8">
      <c r="G8" s="10"/>
      <c r="H8" s="13" t="s">
        <v>55</v>
      </c>
    </row>
    <row r="9" spans="1:8" ht="26.25" customHeight="1">
      <c r="A9" s="46"/>
      <c r="B9" s="46"/>
      <c r="C9" s="289" t="s">
        <v>523</v>
      </c>
      <c r="D9" s="290"/>
      <c r="E9" s="291"/>
      <c r="F9" s="289" t="s">
        <v>524</v>
      </c>
      <c r="G9" s="290"/>
      <c r="H9" s="291"/>
    </row>
    <row r="10" spans="1:8" ht="24.95" customHeight="1">
      <c r="A10" s="73" t="s">
        <v>56</v>
      </c>
      <c r="B10" s="34" t="s">
        <v>525</v>
      </c>
      <c r="C10" s="14" t="s">
        <v>526</v>
      </c>
      <c r="D10" s="15" t="s">
        <v>527</v>
      </c>
      <c r="E10" s="15" t="s">
        <v>528</v>
      </c>
      <c r="F10" s="14" t="s">
        <v>526</v>
      </c>
      <c r="G10" s="15" t="s">
        <v>527</v>
      </c>
      <c r="H10" s="15" t="s">
        <v>528</v>
      </c>
    </row>
    <row r="11" spans="1:8" ht="24.95" customHeight="1">
      <c r="A11" s="16"/>
      <c r="B11" s="35"/>
      <c r="C11" s="35" t="s">
        <v>529</v>
      </c>
      <c r="D11" s="16" t="s">
        <v>530</v>
      </c>
      <c r="E11" s="16" t="s">
        <v>531</v>
      </c>
      <c r="F11" s="35" t="s">
        <v>532</v>
      </c>
      <c r="G11" s="16" t="s">
        <v>530</v>
      </c>
      <c r="H11" s="16" t="s">
        <v>531</v>
      </c>
    </row>
    <row r="12" spans="1:8">
      <c r="A12" s="17"/>
      <c r="B12" s="17"/>
      <c r="C12" s="17"/>
      <c r="D12" s="17"/>
      <c r="F12" s="17"/>
      <c r="G12" s="17"/>
      <c r="H12" s="17"/>
    </row>
    <row r="13" spans="1:8" ht="23.45" customHeight="1">
      <c r="A13" s="17"/>
      <c r="B13" s="9"/>
      <c r="C13" s="9"/>
      <c r="D13" s="9" t="s">
        <v>267</v>
      </c>
      <c r="E13" s="9"/>
      <c r="F13" s="102"/>
      <c r="G13" s="103"/>
      <c r="H13" s="103"/>
    </row>
    <row r="14" spans="1:8">
      <c r="A14" s="17"/>
      <c r="B14" s="17"/>
      <c r="C14" s="17"/>
      <c r="D14" s="17"/>
      <c r="F14" s="17"/>
      <c r="G14" s="17"/>
      <c r="H14" s="17"/>
    </row>
    <row r="15" spans="1:8">
      <c r="A15" s="17"/>
      <c r="B15" s="17"/>
      <c r="C15" s="17"/>
      <c r="D15" s="17"/>
      <c r="F15" s="17"/>
      <c r="G15" s="17"/>
      <c r="H15" s="17"/>
    </row>
    <row r="16" spans="1:8">
      <c r="A16" s="17"/>
      <c r="B16" s="17"/>
      <c r="C16" s="17"/>
      <c r="D16" s="17"/>
      <c r="F16" s="17"/>
      <c r="G16" s="17"/>
      <c r="H16" s="17"/>
    </row>
    <row r="17" spans="1:8">
      <c r="A17" s="17"/>
      <c r="B17" s="17"/>
      <c r="C17" s="17"/>
      <c r="D17" s="17"/>
      <c r="F17" s="17"/>
      <c r="G17" s="17"/>
      <c r="H17" s="17"/>
    </row>
    <row r="18" spans="1:8">
      <c r="A18" s="17"/>
      <c r="B18" s="17"/>
      <c r="C18" s="17"/>
      <c r="D18" s="17"/>
      <c r="F18" s="17"/>
      <c r="G18" s="17"/>
      <c r="H18" s="17"/>
    </row>
    <row r="19" spans="1:8">
      <c r="A19" s="17"/>
      <c r="B19" s="17"/>
      <c r="C19" s="17"/>
      <c r="D19" s="17"/>
      <c r="F19" s="17"/>
      <c r="G19" s="17"/>
      <c r="H19" s="17"/>
    </row>
    <row r="20" spans="1:8">
      <c r="A20" s="17"/>
      <c r="B20" s="17"/>
      <c r="C20" s="17"/>
      <c r="D20" s="17"/>
      <c r="F20" s="17"/>
      <c r="G20" s="17"/>
      <c r="H20" s="17"/>
    </row>
    <row r="21" spans="1:8">
      <c r="A21" s="17"/>
      <c r="B21" s="17"/>
      <c r="C21" s="17"/>
      <c r="D21" s="17"/>
      <c r="F21" s="17"/>
      <c r="G21" s="17"/>
      <c r="H21" s="17"/>
    </row>
    <row r="22" spans="1:8">
      <c r="A22" s="17"/>
      <c r="B22" s="17"/>
      <c r="C22" s="17"/>
      <c r="D22" s="17"/>
      <c r="F22" s="17"/>
      <c r="G22" s="17"/>
      <c r="H22" s="17"/>
    </row>
    <row r="23" spans="1:8">
      <c r="A23" s="17"/>
      <c r="B23" s="17"/>
      <c r="C23" s="17"/>
      <c r="D23" s="17"/>
      <c r="F23" s="17"/>
      <c r="G23" s="17"/>
      <c r="H23" s="17"/>
    </row>
    <row r="24" spans="1:8">
      <c r="A24" s="17"/>
      <c r="B24" s="17"/>
      <c r="C24" s="17"/>
      <c r="D24" s="17"/>
      <c r="F24" s="17"/>
      <c r="G24" s="17"/>
      <c r="H24" s="17"/>
    </row>
    <row r="25" spans="1:8">
      <c r="A25" s="17"/>
      <c r="B25" s="17"/>
      <c r="C25" s="17"/>
      <c r="D25" s="17"/>
      <c r="F25" s="17"/>
      <c r="G25" s="17"/>
      <c r="H25" s="17"/>
    </row>
    <row r="26" spans="1:8">
      <c r="A26" s="17"/>
      <c r="B26" s="17"/>
      <c r="C26" s="17"/>
      <c r="D26" s="17"/>
      <c r="F26" s="17"/>
      <c r="G26" s="17"/>
      <c r="H26" s="17"/>
    </row>
    <row r="27" spans="1:8">
      <c r="A27" s="17"/>
      <c r="B27" s="17"/>
      <c r="C27" s="17"/>
      <c r="D27" s="17"/>
      <c r="F27" s="17"/>
      <c r="G27" s="17"/>
      <c r="H27" s="17"/>
    </row>
    <row r="28" spans="1:8">
      <c r="A28" s="17"/>
      <c r="B28" s="17"/>
      <c r="C28" s="17"/>
      <c r="D28" s="17"/>
      <c r="F28" s="17"/>
      <c r="G28" s="17"/>
      <c r="H28" s="17"/>
    </row>
    <row r="29" spans="1:8">
      <c r="A29" s="17"/>
      <c r="B29" s="17"/>
      <c r="C29" s="17"/>
      <c r="D29" s="17"/>
      <c r="F29" s="17"/>
      <c r="G29" s="17"/>
      <c r="H29" s="17"/>
    </row>
    <row r="30" spans="1:8">
      <c r="A30" s="17"/>
      <c r="B30" s="17"/>
      <c r="C30" s="17"/>
      <c r="D30" s="17"/>
      <c r="F30" s="17"/>
      <c r="G30" s="17"/>
      <c r="H30" s="17"/>
    </row>
    <row r="31" spans="1:8">
      <c r="A31" s="17"/>
      <c r="B31" s="17"/>
      <c r="C31" s="17"/>
      <c r="D31" s="17"/>
      <c r="F31" s="17"/>
      <c r="G31" s="17"/>
      <c r="H31" s="17"/>
    </row>
    <row r="32" spans="1:8">
      <c r="A32" s="17"/>
      <c r="B32" s="17"/>
      <c r="C32" s="17"/>
      <c r="D32" s="17"/>
      <c r="F32" s="17"/>
      <c r="G32" s="17"/>
      <c r="H32" s="49"/>
    </row>
    <row r="33" spans="1:7">
      <c r="A33" s="54"/>
      <c r="B33" s="54"/>
      <c r="C33" s="54"/>
      <c r="D33" s="54"/>
      <c r="E33" s="54"/>
      <c r="F33" s="54"/>
      <c r="G33" s="54"/>
    </row>
  </sheetData>
  <mergeCells count="5">
    <mergeCell ref="C9:E9"/>
    <mergeCell ref="F9:H9"/>
    <mergeCell ref="A2:H2"/>
    <mergeCell ref="A3:H3"/>
    <mergeCell ref="A4:H4"/>
  </mergeCells>
  <phoneticPr fontId="0" type="noConversion"/>
  <printOptions horizontalCentered="1"/>
  <pageMargins left="0.11811023622047245" right="0.11811023622047245" top="0.59055118110236227" bottom="0.59055118110236227" header="0.51181102362204722" footer="0.51181102362204722"/>
  <pageSetup paperSize="9" scale="9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H33"/>
  <sheetViews>
    <sheetView showGridLines="0" zoomScaleNormal="100" zoomScaleSheetLayoutView="100" workbookViewId="0">
      <selection activeCell="A2" sqref="A2:F2"/>
    </sheetView>
  </sheetViews>
  <sheetFormatPr defaultColWidth="9.140625" defaultRowHeight="21"/>
  <cols>
    <col min="1" max="1" width="6.140625" style="6" customWidth="1"/>
    <col min="2" max="2" width="25.140625" style="6" customWidth="1"/>
    <col min="3" max="3" width="24.140625" style="6" customWidth="1"/>
    <col min="4" max="6" width="14.42578125" style="6" customWidth="1"/>
    <col min="7" max="16384" width="9.140625" style="6"/>
  </cols>
  <sheetData>
    <row r="1" spans="1:8">
      <c r="E1" s="13"/>
      <c r="F1" s="13" t="s">
        <v>12</v>
      </c>
    </row>
    <row r="2" spans="1:8" ht="29.25" customHeight="1">
      <c r="A2" s="348" t="s">
        <v>518</v>
      </c>
      <c r="B2" s="348"/>
      <c r="C2" s="348"/>
      <c r="D2" s="348"/>
      <c r="E2" s="348"/>
      <c r="F2" s="348"/>
    </row>
    <row r="3" spans="1:8" ht="26.25">
      <c r="A3" s="348" t="s">
        <v>533</v>
      </c>
      <c r="B3" s="348"/>
      <c r="C3" s="348"/>
      <c r="D3" s="348"/>
      <c r="E3" s="348"/>
      <c r="F3" s="348"/>
    </row>
    <row r="4" spans="1:8" ht="29.25" customHeight="1">
      <c r="A4" s="348" t="s">
        <v>534</v>
      </c>
      <c r="B4" s="348"/>
      <c r="C4" s="348"/>
      <c r="D4" s="348"/>
      <c r="E4" s="348"/>
      <c r="F4" s="348"/>
    </row>
    <row r="5" spans="1:8" ht="29.25" customHeight="1">
      <c r="A5" s="348" t="s">
        <v>535</v>
      </c>
      <c r="B5" s="348"/>
      <c r="C5" s="348"/>
      <c r="D5" s="348"/>
      <c r="E5" s="348"/>
      <c r="F5" s="348"/>
      <c r="G5" s="10"/>
      <c r="H5" s="10"/>
    </row>
    <row r="6" spans="1:8">
      <c r="A6" s="5" t="s">
        <v>521</v>
      </c>
    </row>
    <row r="7" spans="1:8" ht="25.5" customHeight="1">
      <c r="A7" s="5" t="s">
        <v>57</v>
      </c>
      <c r="C7" s="5"/>
    </row>
    <row r="8" spans="1:8">
      <c r="A8" s="5" t="s">
        <v>522</v>
      </c>
      <c r="C8" s="13"/>
    </row>
    <row r="9" spans="1:8">
      <c r="E9" s="10"/>
      <c r="F9" s="13" t="s">
        <v>55</v>
      </c>
    </row>
    <row r="10" spans="1:8" ht="24.95" customHeight="1">
      <c r="A10" s="259" t="s">
        <v>56</v>
      </c>
      <c r="B10" s="259" t="s">
        <v>525</v>
      </c>
      <c r="C10" s="259" t="s">
        <v>261</v>
      </c>
      <c r="D10" s="259" t="s">
        <v>536</v>
      </c>
      <c r="E10" s="15" t="s">
        <v>527</v>
      </c>
      <c r="F10" s="15" t="s">
        <v>528</v>
      </c>
    </row>
    <row r="11" spans="1:8" ht="24.95" customHeight="1">
      <c r="A11" s="349"/>
      <c r="B11" s="349"/>
      <c r="C11" s="349"/>
      <c r="D11" s="349"/>
      <c r="E11" s="16" t="s">
        <v>530</v>
      </c>
      <c r="F11" s="16" t="s">
        <v>531</v>
      </c>
    </row>
    <row r="12" spans="1:8">
      <c r="A12" s="17"/>
      <c r="B12" s="17"/>
      <c r="D12" s="17"/>
      <c r="E12" s="17"/>
      <c r="F12" s="17"/>
    </row>
    <row r="13" spans="1:8" ht="23.45" customHeight="1">
      <c r="A13" s="295" t="s">
        <v>267</v>
      </c>
      <c r="B13" s="296"/>
      <c r="C13" s="296"/>
      <c r="D13" s="296"/>
      <c r="E13" s="296"/>
      <c r="F13" s="297"/>
    </row>
    <row r="14" spans="1:8">
      <c r="A14" s="17"/>
      <c r="B14" s="17"/>
      <c r="D14" s="17"/>
      <c r="E14" s="17"/>
      <c r="F14" s="17"/>
    </row>
    <row r="15" spans="1:8">
      <c r="A15" s="17"/>
      <c r="B15" s="17"/>
      <c r="D15" s="17"/>
      <c r="E15" s="17"/>
      <c r="F15" s="17"/>
    </row>
    <row r="16" spans="1:8">
      <c r="A16" s="17"/>
      <c r="B16" s="17"/>
      <c r="D16" s="17"/>
      <c r="E16" s="17"/>
      <c r="F16" s="17"/>
    </row>
    <row r="17" spans="1:6">
      <c r="A17" s="17"/>
      <c r="B17" s="17"/>
      <c r="D17" s="17"/>
      <c r="E17" s="17"/>
      <c r="F17" s="17"/>
    </row>
    <row r="18" spans="1:6">
      <c r="A18" s="17"/>
      <c r="B18" s="17"/>
      <c r="D18" s="17"/>
      <c r="E18" s="17"/>
      <c r="F18" s="17"/>
    </row>
    <row r="19" spans="1:6">
      <c r="A19" s="17"/>
      <c r="B19" s="17"/>
      <c r="D19" s="17"/>
      <c r="E19" s="17"/>
      <c r="F19" s="17"/>
    </row>
    <row r="20" spans="1:6">
      <c r="A20" s="17"/>
      <c r="B20" s="17"/>
      <c r="D20" s="17"/>
      <c r="E20" s="17"/>
      <c r="F20" s="17"/>
    </row>
    <row r="21" spans="1:6">
      <c r="A21" s="17"/>
      <c r="B21" s="17"/>
      <c r="D21" s="17"/>
      <c r="E21" s="17"/>
      <c r="F21" s="17"/>
    </row>
    <row r="22" spans="1:6">
      <c r="A22" s="17"/>
      <c r="B22" s="17"/>
      <c r="D22" s="17"/>
      <c r="E22" s="17"/>
      <c r="F22" s="17"/>
    </row>
    <row r="23" spans="1:6">
      <c r="A23" s="17"/>
      <c r="B23" s="17"/>
      <c r="D23" s="17"/>
      <c r="E23" s="17"/>
      <c r="F23" s="17"/>
    </row>
    <row r="24" spans="1:6">
      <c r="A24" s="17"/>
      <c r="B24" s="17"/>
      <c r="D24" s="17"/>
      <c r="E24" s="17"/>
      <c r="F24" s="17"/>
    </row>
    <row r="25" spans="1:6">
      <c r="A25" s="17"/>
      <c r="B25" s="17"/>
      <c r="D25" s="17"/>
      <c r="E25" s="17"/>
      <c r="F25" s="17"/>
    </row>
    <row r="26" spans="1:6">
      <c r="A26" s="17"/>
      <c r="B26" s="17"/>
      <c r="D26" s="17"/>
      <c r="E26" s="17"/>
      <c r="F26" s="17"/>
    </row>
    <row r="27" spans="1:6">
      <c r="A27" s="17"/>
      <c r="B27" s="17"/>
      <c r="D27" s="17"/>
      <c r="E27" s="17"/>
      <c r="F27" s="17"/>
    </row>
    <row r="28" spans="1:6">
      <c r="A28" s="17"/>
      <c r="B28" s="17"/>
      <c r="D28" s="17"/>
      <c r="E28" s="17"/>
      <c r="F28" s="17"/>
    </row>
    <row r="29" spans="1:6">
      <c r="A29" s="17"/>
      <c r="B29" s="17"/>
      <c r="D29" s="17"/>
      <c r="E29" s="17"/>
      <c r="F29" s="17"/>
    </row>
    <row r="30" spans="1:6">
      <c r="A30" s="17"/>
      <c r="B30" s="17"/>
      <c r="D30" s="17"/>
      <c r="E30" s="17"/>
      <c r="F30" s="17"/>
    </row>
    <row r="31" spans="1:6">
      <c r="A31" s="17"/>
      <c r="B31" s="17"/>
      <c r="D31" s="17"/>
      <c r="E31" s="17"/>
      <c r="F31" s="17"/>
    </row>
    <row r="32" spans="1:6">
      <c r="A32" s="17"/>
      <c r="B32" s="17"/>
      <c r="D32" s="17"/>
      <c r="E32" s="17"/>
      <c r="F32" s="49"/>
    </row>
    <row r="33" spans="1:5">
      <c r="A33" s="54"/>
      <c r="B33" s="54"/>
      <c r="C33" s="54"/>
      <c r="D33" s="54"/>
      <c r="E33" s="54"/>
    </row>
  </sheetData>
  <mergeCells count="9">
    <mergeCell ref="A13:F13"/>
    <mergeCell ref="A2:F2"/>
    <mergeCell ref="A3:F3"/>
    <mergeCell ref="A10:A11"/>
    <mergeCell ref="B10:B11"/>
    <mergeCell ref="C10:C11"/>
    <mergeCell ref="D10:D11"/>
    <mergeCell ref="A4:F4"/>
    <mergeCell ref="A5:F5"/>
  </mergeCells>
  <phoneticPr fontId="0" type="noConversion"/>
  <printOptions horizontalCentered="1"/>
  <pageMargins left="0.59055118110236227" right="0.11811023622047245" top="0.59055118110236227" bottom="0.59055118110236227" header="0.51181102362204722" footer="0.51181102362204722"/>
  <pageSetup paperSize="9" scale="97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A1:K32"/>
  <sheetViews>
    <sheetView showGridLines="0" zoomScaleNormal="100" zoomScaleSheetLayoutView="100" workbookViewId="0">
      <selection activeCell="J12" sqref="J12"/>
    </sheetView>
  </sheetViews>
  <sheetFormatPr defaultColWidth="9.140625" defaultRowHeight="21"/>
  <cols>
    <col min="1" max="1" width="4.28515625" style="6" customWidth="1"/>
    <col min="2" max="2" width="34.42578125" style="6" customWidth="1"/>
    <col min="3" max="3" width="8.7109375" style="6" customWidth="1"/>
    <col min="4" max="4" width="9.42578125" style="6" bestFit="1" customWidth="1"/>
    <col min="5" max="5" width="15" style="6" bestFit="1" customWidth="1"/>
    <col min="6" max="6" width="16.42578125" style="6" customWidth="1"/>
    <col min="7" max="7" width="9.42578125" style="6" customWidth="1"/>
    <col min="8" max="8" width="16" style="6" customWidth="1"/>
    <col min="9" max="10" width="9.7109375" style="6" customWidth="1"/>
    <col min="11" max="11" width="12.85546875" style="6" customWidth="1"/>
    <col min="12" max="16384" width="9.140625" style="6"/>
  </cols>
  <sheetData>
    <row r="1" spans="1:11">
      <c r="K1" s="5" t="s">
        <v>15</v>
      </c>
    </row>
    <row r="2" spans="1:11" ht="26.25">
      <c r="A2" s="348" t="s">
        <v>518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</row>
    <row r="3" spans="1:11" ht="26.25">
      <c r="A3" s="348" t="s">
        <v>533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</row>
    <row r="4" spans="1:11" ht="26.25">
      <c r="A4" s="348" t="s">
        <v>537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</row>
    <row r="5" spans="1:11" ht="26.25">
      <c r="A5" s="348" t="s">
        <v>538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</row>
    <row r="6" spans="1:11">
      <c r="A6" s="5" t="s">
        <v>521</v>
      </c>
    </row>
    <row r="7" spans="1:11" ht="26.25">
      <c r="A7" s="5" t="s">
        <v>57</v>
      </c>
      <c r="C7" s="72"/>
      <c r="D7" s="72"/>
      <c r="E7" s="72"/>
      <c r="F7" s="72"/>
      <c r="G7" s="72"/>
      <c r="H7" s="72"/>
      <c r="I7" s="72"/>
      <c r="J7" s="72"/>
      <c r="K7" s="72"/>
    </row>
    <row r="8" spans="1:11">
      <c r="A8" s="5" t="s">
        <v>539</v>
      </c>
    </row>
    <row r="9" spans="1:11" ht="23.25" customHeight="1">
      <c r="K9" s="10" t="s">
        <v>55</v>
      </c>
    </row>
    <row r="10" spans="1:11" ht="23.45" customHeight="1">
      <c r="A10" s="259" t="s">
        <v>56</v>
      </c>
      <c r="B10" s="259" t="s">
        <v>261</v>
      </c>
      <c r="C10" s="259" t="s">
        <v>526</v>
      </c>
      <c r="D10" s="336" t="s">
        <v>540</v>
      </c>
      <c r="E10" s="289" t="s">
        <v>541</v>
      </c>
      <c r="F10" s="290"/>
      <c r="G10" s="291"/>
      <c r="H10" s="336" t="s">
        <v>542</v>
      </c>
      <c r="I10" s="303" t="s">
        <v>543</v>
      </c>
      <c r="J10" s="305"/>
      <c r="K10" s="259" t="s">
        <v>544</v>
      </c>
    </row>
    <row r="11" spans="1:11" ht="42">
      <c r="A11" s="350"/>
      <c r="B11" s="350"/>
      <c r="C11" s="350"/>
      <c r="D11" s="269"/>
      <c r="E11" s="100" t="s">
        <v>545</v>
      </c>
      <c r="F11" s="100" t="s">
        <v>546</v>
      </c>
      <c r="G11" s="35" t="s">
        <v>547</v>
      </c>
      <c r="H11" s="350"/>
      <c r="I11" s="74" t="s">
        <v>264</v>
      </c>
      <c r="J11" s="74" t="s">
        <v>548</v>
      </c>
      <c r="K11" s="350"/>
    </row>
    <row r="12" spans="1:11" ht="23.2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</row>
    <row r="29" spans="1:11" ht="27.95" customHeight="1"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>
      <c r="B32" s="22"/>
      <c r="C32" s="22"/>
      <c r="D32" s="22"/>
      <c r="E32" s="22"/>
      <c r="F32" s="22"/>
      <c r="G32" s="22"/>
      <c r="H32" s="22"/>
      <c r="I32" s="22"/>
      <c r="J32" s="22"/>
      <c r="K32" s="22"/>
    </row>
  </sheetData>
  <mergeCells count="12">
    <mergeCell ref="A2:K2"/>
    <mergeCell ref="A10:A11"/>
    <mergeCell ref="A4:K4"/>
    <mergeCell ref="A5:K5"/>
    <mergeCell ref="K10:K11"/>
    <mergeCell ref="H10:H11"/>
    <mergeCell ref="C10:C11"/>
    <mergeCell ref="B10:B11"/>
    <mergeCell ref="A3:K3"/>
    <mergeCell ref="I10:J10"/>
    <mergeCell ref="E10:G10"/>
    <mergeCell ref="D10:D11"/>
  </mergeCells>
  <phoneticPr fontId="0" type="noConversion"/>
  <printOptions horizontalCentered="1"/>
  <pageMargins left="0.62992125984251968" right="0.39370078740157483" top="0.78740157480314965" bottom="0.59055118110236227" header="0.51181102362204722" footer="0.51181102362204722"/>
  <pageSetup paperSize="9" scale="6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A1:K32"/>
  <sheetViews>
    <sheetView showGridLines="0" zoomScaleNormal="100" workbookViewId="0">
      <selection activeCell="J12" sqref="J12"/>
    </sheetView>
  </sheetViews>
  <sheetFormatPr defaultColWidth="9.140625" defaultRowHeight="21"/>
  <cols>
    <col min="1" max="1" width="4.5703125" style="6" customWidth="1"/>
    <col min="2" max="2" width="33.5703125" style="6" customWidth="1"/>
    <col min="3" max="3" width="9.5703125" style="6" customWidth="1"/>
    <col min="4" max="4" width="10" style="6" customWidth="1"/>
    <col min="5" max="5" width="16.42578125" style="6" customWidth="1"/>
    <col min="6" max="6" width="14.140625" style="6" customWidth="1"/>
    <col min="7" max="7" width="7.85546875" style="6" customWidth="1"/>
    <col min="8" max="8" width="11.42578125" style="6" customWidth="1"/>
    <col min="9" max="10" width="9.7109375" style="6" customWidth="1"/>
    <col min="11" max="11" width="10.7109375" style="6" bestFit="1" customWidth="1"/>
    <col min="12" max="16384" width="9.140625" style="6"/>
  </cols>
  <sheetData>
    <row r="1" spans="1:11">
      <c r="K1" s="13" t="s">
        <v>18</v>
      </c>
    </row>
    <row r="2" spans="1:11" ht="26.25">
      <c r="A2" s="348" t="s">
        <v>518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</row>
    <row r="3" spans="1:11" ht="26.25">
      <c r="A3" s="348" t="s">
        <v>549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</row>
    <row r="4" spans="1:11" ht="26.25">
      <c r="A4" s="348" t="s">
        <v>550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</row>
    <row r="5" spans="1:11" ht="26.25">
      <c r="A5" s="348" t="s">
        <v>551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</row>
    <row r="6" spans="1:11">
      <c r="A6" s="5" t="s">
        <v>521</v>
      </c>
    </row>
    <row r="7" spans="1:11" ht="26.25">
      <c r="A7" s="5" t="s">
        <v>57</v>
      </c>
      <c r="C7" s="72"/>
      <c r="D7" s="72"/>
      <c r="E7" s="72"/>
      <c r="F7" s="72"/>
      <c r="G7" s="72"/>
      <c r="H7" s="72"/>
      <c r="I7" s="72"/>
      <c r="J7" s="72"/>
      <c r="K7" s="72"/>
    </row>
    <row r="8" spans="1:11">
      <c r="A8" s="5" t="s">
        <v>539</v>
      </c>
    </row>
    <row r="9" spans="1:11" ht="23.25" customHeight="1">
      <c r="K9" s="101" t="s">
        <v>55</v>
      </c>
    </row>
    <row r="10" spans="1:11">
      <c r="A10" s="259" t="s">
        <v>56</v>
      </c>
      <c r="B10" s="259" t="s">
        <v>261</v>
      </c>
      <c r="C10" s="259" t="s">
        <v>526</v>
      </c>
      <c r="D10" s="336" t="s">
        <v>540</v>
      </c>
      <c r="E10" s="289" t="s">
        <v>541</v>
      </c>
      <c r="F10" s="290"/>
      <c r="G10" s="291"/>
      <c r="H10" s="259" t="s">
        <v>552</v>
      </c>
      <c r="I10" s="303" t="s">
        <v>543</v>
      </c>
      <c r="J10" s="305"/>
      <c r="K10" s="259" t="s">
        <v>544</v>
      </c>
    </row>
    <row r="11" spans="1:11" ht="48" customHeight="1">
      <c r="A11" s="350"/>
      <c r="B11" s="350"/>
      <c r="C11" s="350"/>
      <c r="D11" s="269"/>
      <c r="E11" s="100" t="s">
        <v>545</v>
      </c>
      <c r="F11" s="100" t="s">
        <v>546</v>
      </c>
      <c r="G11" s="35" t="s">
        <v>547</v>
      </c>
      <c r="H11" s="350"/>
      <c r="I11" s="74" t="s">
        <v>264</v>
      </c>
      <c r="J11" s="74" t="s">
        <v>548</v>
      </c>
      <c r="K11" s="350"/>
    </row>
    <row r="12" spans="1:11" ht="23.2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</row>
    <row r="29" spans="1:11" ht="27.95" customHeight="1">
      <c r="A29" s="75" t="s">
        <v>553</v>
      </c>
      <c r="B29" s="21" t="s">
        <v>554</v>
      </c>
      <c r="C29" s="22"/>
      <c r="D29" s="22"/>
      <c r="E29" s="22"/>
      <c r="F29" s="22"/>
      <c r="G29" s="22"/>
      <c r="H29" s="22"/>
      <c r="I29" s="22"/>
      <c r="J29" s="22"/>
      <c r="K29" s="22"/>
    </row>
    <row r="30" spans="1:11">
      <c r="B30" s="21" t="s">
        <v>555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1:11"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>
      <c r="B32" s="22"/>
      <c r="C32" s="22"/>
      <c r="D32" s="22"/>
      <c r="E32" s="22"/>
      <c r="F32" s="22"/>
      <c r="G32" s="22"/>
      <c r="H32" s="22"/>
      <c r="I32" s="22"/>
      <c r="J32" s="22"/>
      <c r="K32" s="22"/>
    </row>
  </sheetData>
  <mergeCells count="12">
    <mergeCell ref="A2:K2"/>
    <mergeCell ref="A10:A11"/>
    <mergeCell ref="A5:K5"/>
    <mergeCell ref="K10:K11"/>
    <mergeCell ref="H10:H11"/>
    <mergeCell ref="C10:C11"/>
    <mergeCell ref="B10:B11"/>
    <mergeCell ref="A3:K3"/>
    <mergeCell ref="A4:K4"/>
    <mergeCell ref="E10:G10"/>
    <mergeCell ref="D10:D11"/>
    <mergeCell ref="I10:J10"/>
  </mergeCells>
  <phoneticPr fontId="0" type="noConversion"/>
  <printOptions horizontalCentered="1"/>
  <pageMargins left="0.62992125984251968" right="0.39370078740157483" top="0.78740157480314965" bottom="0.59055118110236227" header="0.51181102362204722" footer="0.51181102362204722"/>
  <pageSetup paperSize="9" scale="73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R38"/>
  <sheetViews>
    <sheetView showGridLines="0" tabSelected="1" view="pageBreakPreview" topLeftCell="A2" zoomScale="70" zoomScaleNormal="100" zoomScaleSheetLayoutView="70" workbookViewId="0">
      <selection activeCell="A32" sqref="A11:XFD32"/>
    </sheetView>
  </sheetViews>
  <sheetFormatPr defaultColWidth="9.140625" defaultRowHeight="21"/>
  <cols>
    <col min="1" max="1" width="8.42578125" style="6" customWidth="1"/>
    <col min="2" max="2" width="31.28515625" style="6" customWidth="1"/>
    <col min="3" max="3" width="15.140625" style="6" customWidth="1"/>
    <col min="4" max="5" width="8.5703125" style="6" customWidth="1"/>
    <col min="6" max="6" width="15.5703125" style="7" customWidth="1"/>
    <col min="7" max="16" width="15.5703125" style="6" customWidth="1"/>
    <col min="17" max="17" width="9.140625" style="6" customWidth="1"/>
    <col min="18" max="16384" width="9.140625" style="6"/>
  </cols>
  <sheetData>
    <row r="1" spans="1:16">
      <c r="N1" s="10"/>
      <c r="O1" s="10"/>
    </row>
    <row r="2" spans="1:16" ht="26.25">
      <c r="A2" s="348" t="s">
        <v>23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</row>
    <row r="3" spans="1:16" ht="26.25">
      <c r="A3" s="348" t="s">
        <v>556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</row>
    <row r="4" spans="1:16">
      <c r="A4" s="5" t="s">
        <v>557</v>
      </c>
      <c r="F4" s="6"/>
    </row>
    <row r="5" spans="1:16">
      <c r="A5" s="5" t="s">
        <v>558</v>
      </c>
    </row>
    <row r="6" spans="1:16">
      <c r="A6" s="5" t="s">
        <v>559</v>
      </c>
    </row>
    <row r="7" spans="1:16">
      <c r="P7" s="101" t="s">
        <v>560</v>
      </c>
    </row>
    <row r="8" spans="1:16">
      <c r="A8" s="259" t="s">
        <v>365</v>
      </c>
      <c r="B8" s="259" t="s">
        <v>561</v>
      </c>
      <c r="C8" s="15" t="s">
        <v>562</v>
      </c>
      <c r="D8" s="289" t="s">
        <v>563</v>
      </c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1"/>
    </row>
    <row r="9" spans="1:16">
      <c r="A9" s="352"/>
      <c r="B9" s="268"/>
      <c r="C9" s="73" t="s">
        <v>564</v>
      </c>
      <c r="D9" s="289" t="s">
        <v>565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1"/>
    </row>
    <row r="10" spans="1:16">
      <c r="A10" s="76" t="s">
        <v>56</v>
      </c>
      <c r="B10" s="269"/>
      <c r="C10" s="16" t="s">
        <v>264</v>
      </c>
      <c r="D10" s="39" t="s">
        <v>566</v>
      </c>
      <c r="E10" s="39" t="s">
        <v>567</v>
      </c>
      <c r="F10" s="39" t="s">
        <v>568</v>
      </c>
      <c r="G10" s="39" t="s">
        <v>569</v>
      </c>
      <c r="H10" s="39" t="s">
        <v>570</v>
      </c>
      <c r="I10" s="39" t="s">
        <v>571</v>
      </c>
      <c r="J10" s="39" t="s">
        <v>572</v>
      </c>
      <c r="K10" s="39" t="s">
        <v>573</v>
      </c>
      <c r="L10" s="39" t="s">
        <v>574</v>
      </c>
      <c r="M10" s="39" t="s">
        <v>575</v>
      </c>
      <c r="N10" s="39" t="s">
        <v>576</v>
      </c>
      <c r="O10" s="39" t="s">
        <v>577</v>
      </c>
      <c r="P10" s="39" t="s">
        <v>62</v>
      </c>
    </row>
    <row r="11" spans="1:16" hidden="1">
      <c r="A11" s="77">
        <v>1</v>
      </c>
      <c r="B11" s="21" t="s">
        <v>578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</row>
    <row r="12" spans="1:16" ht="31.5" hidden="1" customHeight="1">
      <c r="A12" s="77">
        <v>2</v>
      </c>
      <c r="B12" s="21" t="s">
        <v>579</v>
      </c>
      <c r="C12" s="26"/>
      <c r="D12" s="17"/>
      <c r="E12" s="17"/>
      <c r="F12" s="78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 ht="31.5" hidden="1" customHeight="1">
      <c r="A13" s="26"/>
      <c r="B13" s="21" t="s">
        <v>580</v>
      </c>
      <c r="C13" s="26"/>
      <c r="D13" s="17"/>
      <c r="E13" s="17"/>
      <c r="F13" s="78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 ht="31.5" hidden="1" customHeight="1">
      <c r="A14" s="26"/>
      <c r="B14" s="21" t="s">
        <v>581</v>
      </c>
      <c r="C14" s="26"/>
      <c r="D14" s="17"/>
      <c r="E14" s="17"/>
      <c r="F14" s="78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 ht="31.5" hidden="1" customHeight="1">
      <c r="A15" s="26"/>
      <c r="B15" s="21" t="s">
        <v>582</v>
      </c>
      <c r="C15" s="26"/>
      <c r="D15" s="17"/>
      <c r="E15" s="17"/>
      <c r="F15" s="78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 ht="31.5" hidden="1" customHeight="1">
      <c r="A16" s="26"/>
      <c r="B16" s="21" t="s">
        <v>583</v>
      </c>
      <c r="C16" s="26"/>
      <c r="D16" s="17"/>
      <c r="E16" s="17"/>
      <c r="F16" s="78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8" ht="31.5" hidden="1" customHeight="1">
      <c r="A17" s="77">
        <v>3</v>
      </c>
      <c r="B17" s="21" t="s">
        <v>584</v>
      </c>
      <c r="C17" s="26"/>
      <c r="D17" s="17"/>
      <c r="E17" s="17"/>
      <c r="F17" s="78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8" ht="31.5" hidden="1" customHeight="1">
      <c r="A18" s="77">
        <v>4</v>
      </c>
      <c r="B18" s="21" t="s">
        <v>585</v>
      </c>
      <c r="C18" s="26"/>
      <c r="D18" s="17"/>
      <c r="E18" s="17"/>
      <c r="F18" s="78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8" s="21" customFormat="1" ht="31.5" hidden="1" customHeight="1">
      <c r="A19" s="77">
        <v>5</v>
      </c>
      <c r="B19" s="21" t="s">
        <v>586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R19" s="6"/>
    </row>
    <row r="20" spans="1:18" s="21" customFormat="1" ht="31.5" hidden="1" customHeight="1">
      <c r="A20" s="220"/>
      <c r="B20" s="221" t="s">
        <v>587</v>
      </c>
      <c r="C20" s="235">
        <v>2100</v>
      </c>
      <c r="D20" s="236">
        <f>P20*0%</f>
        <v>0</v>
      </c>
      <c r="E20" s="237">
        <f>P20*0%</f>
        <v>0</v>
      </c>
      <c r="F20" s="237">
        <f>P20*0%</f>
        <v>0</v>
      </c>
      <c r="G20" s="237">
        <f>P20*0%</f>
        <v>0</v>
      </c>
      <c r="H20" s="237">
        <f>P20*0%</f>
        <v>0</v>
      </c>
      <c r="I20" s="250">
        <f>$P$20*I21</f>
        <v>41.042000000000002</v>
      </c>
      <c r="J20" s="250">
        <f t="shared" ref="I20:O20" si="0">$P$20*J21</f>
        <v>43.658000000000001</v>
      </c>
      <c r="K20" s="250">
        <f t="shared" si="0"/>
        <v>15.287999999999998</v>
      </c>
      <c r="L20" s="250">
        <f t="shared" si="0"/>
        <v>21.872</v>
      </c>
      <c r="M20" s="250">
        <f t="shared" si="0"/>
        <v>27.016000000000002</v>
      </c>
      <c r="N20" s="250">
        <f t="shared" si="0"/>
        <v>18.279999999999998</v>
      </c>
      <c r="O20" s="250">
        <f t="shared" si="0"/>
        <v>32.844000000000001</v>
      </c>
      <c r="P20" s="239">
        <v>200</v>
      </c>
      <c r="R20" s="6"/>
    </row>
    <row r="21" spans="1:18" s="21" customFormat="1" ht="23.25" hidden="1" customHeight="1">
      <c r="A21" s="220"/>
      <c r="B21" s="225" t="s">
        <v>588</v>
      </c>
      <c r="C21" s="240"/>
      <c r="D21" s="241">
        <v>0</v>
      </c>
      <c r="E21" s="241">
        <v>0</v>
      </c>
      <c r="F21" s="241">
        <v>0</v>
      </c>
      <c r="G21" s="241">
        <v>0</v>
      </c>
      <c r="H21" s="241">
        <v>0</v>
      </c>
      <c r="I21" s="242">
        <v>0.20521</v>
      </c>
      <c r="J21" s="242">
        <v>0.21829000000000001</v>
      </c>
      <c r="K21" s="242">
        <v>7.6439999999999994E-2</v>
      </c>
      <c r="L21" s="242">
        <v>0.10936</v>
      </c>
      <c r="M21" s="242">
        <v>0.13508000000000001</v>
      </c>
      <c r="N21" s="242">
        <v>9.1399999999999995E-2</v>
      </c>
      <c r="O21" s="242">
        <v>0.16422</v>
      </c>
      <c r="P21" s="242">
        <f>SUM(D21:O21)</f>
        <v>1</v>
      </c>
      <c r="Q21" s="351" t="s">
        <v>22</v>
      </c>
      <c r="R21" s="6"/>
    </row>
    <row r="22" spans="1:18" ht="23.25" hidden="1" customHeight="1">
      <c r="A22" s="220"/>
      <c r="B22" s="228" t="s">
        <v>589</v>
      </c>
      <c r="C22" s="226"/>
      <c r="D22" s="225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351"/>
    </row>
    <row r="23" spans="1:18" ht="23.25" hidden="1" customHeight="1">
      <c r="A23" s="220"/>
      <c r="B23" s="230" t="s">
        <v>590</v>
      </c>
      <c r="C23" s="226"/>
      <c r="D23" s="225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351"/>
    </row>
    <row r="24" spans="1:18" hidden="1">
      <c r="A24" s="220"/>
      <c r="B24" s="231" t="s">
        <v>591</v>
      </c>
      <c r="C24" s="226"/>
      <c r="D24" s="225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</row>
    <row r="25" spans="1:18" hidden="1">
      <c r="A25" s="220"/>
      <c r="B25" s="230" t="s">
        <v>592</v>
      </c>
      <c r="C25" s="226"/>
      <c r="D25" s="225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</row>
    <row r="26" spans="1:18" hidden="1">
      <c r="A26" s="220"/>
      <c r="B26" s="231" t="s">
        <v>593</v>
      </c>
      <c r="C26" s="226"/>
      <c r="D26" s="225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  <row r="27" spans="1:18" hidden="1">
      <c r="A27" s="220"/>
      <c r="B27" s="230" t="s">
        <v>594</v>
      </c>
      <c r="C27" s="226"/>
      <c r="D27" s="225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</row>
    <row r="28" spans="1:18" hidden="1">
      <c r="A28" s="220"/>
      <c r="B28" s="231" t="s">
        <v>595</v>
      </c>
      <c r="C28" s="226"/>
      <c r="D28" s="225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</row>
    <row r="29" spans="1:18" hidden="1">
      <c r="A29" s="220"/>
      <c r="B29" s="221" t="s">
        <v>596</v>
      </c>
      <c r="C29" s="235">
        <v>300</v>
      </c>
      <c r="D29" s="223">
        <f>P29*0%</f>
        <v>0</v>
      </c>
      <c r="E29" s="224">
        <f>P29*0%</f>
        <v>0</v>
      </c>
      <c r="F29" s="238">
        <f t="shared" ref="F29:O29" si="1">$P$29*F30</f>
        <v>2.9429999999999996</v>
      </c>
      <c r="G29" s="238">
        <f t="shared" si="1"/>
        <v>18.167999999999999</v>
      </c>
      <c r="H29" s="238">
        <f t="shared" si="1"/>
        <v>32.210999999999999</v>
      </c>
      <c r="I29" s="250">
        <f t="shared" si="1"/>
        <v>38.723999999999997</v>
      </c>
      <c r="J29" s="250">
        <f t="shared" si="1"/>
        <v>28.106999999999999</v>
      </c>
      <c r="K29" s="250">
        <f t="shared" si="1"/>
        <v>45.989999999999995</v>
      </c>
      <c r="L29" s="250">
        <f t="shared" si="1"/>
        <v>30.123000000000001</v>
      </c>
      <c r="M29" s="250">
        <f t="shared" si="1"/>
        <v>39.338999999999999</v>
      </c>
      <c r="N29" s="250">
        <f t="shared" si="1"/>
        <v>23.385000000000002</v>
      </c>
      <c r="O29" s="250">
        <f t="shared" si="1"/>
        <v>41.01</v>
      </c>
      <c r="P29" s="239">
        <v>300</v>
      </c>
    </row>
    <row r="30" spans="1:18" hidden="1">
      <c r="A30" s="220"/>
      <c r="B30" s="225" t="s">
        <v>588</v>
      </c>
      <c r="C30" s="240"/>
      <c r="D30" s="227">
        <v>0</v>
      </c>
      <c r="E30" s="227">
        <v>0</v>
      </c>
      <c r="F30" s="242">
        <v>9.8099999999999993E-3</v>
      </c>
      <c r="G30" s="242">
        <v>6.0560000000000003E-2</v>
      </c>
      <c r="H30" s="242">
        <v>0.10736999999999999</v>
      </c>
      <c r="I30" s="242">
        <v>0.12908</v>
      </c>
      <c r="J30" s="242">
        <v>9.3689999999999996E-2</v>
      </c>
      <c r="K30" s="242">
        <v>0.15329999999999999</v>
      </c>
      <c r="L30" s="242">
        <v>0.10041</v>
      </c>
      <c r="M30" s="242">
        <v>0.13113</v>
      </c>
      <c r="N30" s="242">
        <v>7.7950000000000005E-2</v>
      </c>
      <c r="O30" s="242">
        <v>0.13669999999999999</v>
      </c>
      <c r="P30" s="242">
        <f>SUM(D30:O30)</f>
        <v>0.99999999999999978</v>
      </c>
    </row>
    <row r="31" spans="1:18" hidden="1">
      <c r="A31" s="220"/>
      <c r="B31" s="228" t="s">
        <v>589</v>
      </c>
      <c r="C31" s="240"/>
      <c r="D31" s="225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</row>
    <row r="32" spans="1:18" hidden="1">
      <c r="A32" s="220"/>
      <c r="B32" s="231" t="s">
        <v>597</v>
      </c>
      <c r="C32" s="240"/>
      <c r="D32" s="225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</row>
    <row r="33" spans="1:16">
      <c r="A33" s="220"/>
      <c r="B33" s="232" t="s">
        <v>62</v>
      </c>
      <c r="C33" s="235">
        <f t="shared" ref="C33:P33" si="2">SUM(C20,C29)</f>
        <v>2400</v>
      </c>
      <c r="D33" s="222">
        <f t="shared" si="2"/>
        <v>0</v>
      </c>
      <c r="E33" s="222">
        <f t="shared" si="2"/>
        <v>0</v>
      </c>
      <c r="F33" s="235">
        <f t="shared" si="2"/>
        <v>2.9429999999999996</v>
      </c>
      <c r="G33" s="235">
        <f t="shared" si="2"/>
        <v>18.167999999999999</v>
      </c>
      <c r="H33" s="235">
        <f t="shared" si="2"/>
        <v>32.210999999999999</v>
      </c>
      <c r="I33" s="235">
        <f t="shared" si="2"/>
        <v>79.765999999999991</v>
      </c>
      <c r="J33" s="235">
        <f t="shared" si="2"/>
        <v>71.765000000000001</v>
      </c>
      <c r="K33" s="235">
        <f t="shared" si="2"/>
        <v>61.277999999999992</v>
      </c>
      <c r="L33" s="235">
        <f t="shared" si="2"/>
        <v>51.995000000000005</v>
      </c>
      <c r="M33" s="235">
        <f t="shared" si="2"/>
        <v>66.355000000000004</v>
      </c>
      <c r="N33" s="235">
        <f t="shared" si="2"/>
        <v>41.664999999999999</v>
      </c>
      <c r="O33" s="235">
        <f t="shared" si="2"/>
        <v>73.853999999999999</v>
      </c>
      <c r="P33" s="235">
        <f t="shared" si="2"/>
        <v>500</v>
      </c>
    </row>
    <row r="34" spans="1:16">
      <c r="A34" s="233"/>
      <c r="B34" s="234" t="s">
        <v>598</v>
      </c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</row>
    <row r="35" spans="1:16">
      <c r="A35" s="28"/>
      <c r="B35" s="30" t="s">
        <v>598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>
      <c r="A36" s="79" t="s">
        <v>599</v>
      </c>
      <c r="B36" s="80" t="s">
        <v>600</v>
      </c>
      <c r="C36" s="2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B37" s="80" t="s">
        <v>601</v>
      </c>
    </row>
    <row r="38" spans="1:16">
      <c r="B38" s="22" t="s">
        <v>602</v>
      </c>
    </row>
  </sheetData>
  <mergeCells count="7">
    <mergeCell ref="Q21:Q23"/>
    <mergeCell ref="A2:O2"/>
    <mergeCell ref="A3:O3"/>
    <mergeCell ref="A8:A9"/>
    <mergeCell ref="B8:B10"/>
    <mergeCell ref="D8:P8"/>
    <mergeCell ref="D9:P9"/>
  </mergeCells>
  <phoneticPr fontId="0" type="noConversion"/>
  <printOptions horizontalCentered="1"/>
  <pageMargins left="0.15748031496062992" right="7.874015748031496E-2" top="0.51181102362204722" bottom="0.39370078740157483" header="0.51181102362204722" footer="0.51181102362204722"/>
  <pageSetup paperSize="9" scale="57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J33"/>
  <sheetViews>
    <sheetView showGridLines="0" zoomScaleNormal="100" zoomScaleSheetLayoutView="100" workbookViewId="0">
      <selection activeCell="B31" sqref="B31"/>
    </sheetView>
  </sheetViews>
  <sheetFormatPr defaultColWidth="9.140625" defaultRowHeight="21"/>
  <cols>
    <col min="1" max="1" width="10" style="6" customWidth="1"/>
    <col min="2" max="2" width="30.5703125" style="6" customWidth="1"/>
    <col min="3" max="3" width="22.42578125" style="6" customWidth="1"/>
    <col min="4" max="8" width="15.5703125" style="6" customWidth="1"/>
    <col min="9" max="9" width="21.28515625" style="6" customWidth="1"/>
    <col min="10" max="10" width="15.42578125" style="6" customWidth="1"/>
    <col min="11" max="16384" width="9.140625" style="6"/>
  </cols>
  <sheetData>
    <row r="1" spans="1:10">
      <c r="G1" s="5"/>
      <c r="J1" s="5"/>
    </row>
    <row r="2" spans="1:10" ht="26.25">
      <c r="A2" s="348" t="s">
        <v>603</v>
      </c>
      <c r="B2" s="348"/>
      <c r="C2" s="348"/>
      <c r="D2" s="348"/>
      <c r="E2" s="348"/>
      <c r="F2" s="348"/>
      <c r="G2" s="348"/>
      <c r="H2" s="348"/>
      <c r="I2" s="348"/>
      <c r="J2" s="348"/>
    </row>
    <row r="3" spans="1:10">
      <c r="A3" s="5" t="s">
        <v>604</v>
      </c>
    </row>
    <row r="4" spans="1:10">
      <c r="A4" s="5" t="s">
        <v>605</v>
      </c>
    </row>
    <row r="5" spans="1:10" ht="21" customHeight="1">
      <c r="A5" s="5" t="s">
        <v>606</v>
      </c>
    </row>
    <row r="6" spans="1:10" ht="21" customHeight="1">
      <c r="A6" s="5"/>
      <c r="J6" s="13" t="s">
        <v>55</v>
      </c>
    </row>
    <row r="7" spans="1:10" ht="21" customHeight="1">
      <c r="A7" s="81"/>
      <c r="B7" s="55"/>
      <c r="C7" s="261" t="s">
        <v>242</v>
      </c>
      <c r="D7" s="282"/>
      <c r="E7" s="282"/>
      <c r="F7" s="282"/>
      <c r="G7" s="282"/>
      <c r="H7" s="282"/>
      <c r="I7" s="262"/>
      <c r="J7" s="259" t="s">
        <v>62</v>
      </c>
    </row>
    <row r="8" spans="1:10" ht="24.75" customHeight="1">
      <c r="A8" s="301" t="s">
        <v>261</v>
      </c>
      <c r="B8" s="302"/>
      <c r="C8" s="263" t="s">
        <v>607</v>
      </c>
      <c r="D8" s="283"/>
      <c r="E8" s="283"/>
      <c r="F8" s="283"/>
      <c r="G8" s="283"/>
      <c r="H8" s="283"/>
      <c r="I8" s="264"/>
      <c r="J8" s="268"/>
    </row>
    <row r="9" spans="1:10" ht="24.75" customHeight="1">
      <c r="A9" s="111"/>
      <c r="B9" s="112"/>
      <c r="C9" s="31" t="s">
        <v>608</v>
      </c>
      <c r="D9" s="31" t="s">
        <v>609</v>
      </c>
      <c r="E9" s="39" t="s">
        <v>264</v>
      </c>
      <c r="F9" s="114" t="s">
        <v>548</v>
      </c>
      <c r="G9" s="114" t="s">
        <v>610</v>
      </c>
      <c r="H9" s="114" t="s">
        <v>611</v>
      </c>
      <c r="I9" s="39" t="s">
        <v>612</v>
      </c>
      <c r="J9" s="269"/>
    </row>
    <row r="10" spans="1:10" ht="21" customHeight="1">
      <c r="A10" s="42" t="s">
        <v>613</v>
      </c>
      <c r="B10" s="113"/>
      <c r="C10" s="113"/>
      <c r="D10" s="17"/>
      <c r="E10" s="17"/>
      <c r="F10" s="17"/>
      <c r="G10" s="17"/>
      <c r="I10" s="17"/>
      <c r="J10" s="17"/>
    </row>
    <row r="11" spans="1:10" ht="21" customHeight="1">
      <c r="A11" s="42" t="s">
        <v>268</v>
      </c>
      <c r="B11" s="113"/>
      <c r="C11" s="113"/>
      <c r="D11" s="17"/>
      <c r="E11" s="17"/>
      <c r="F11" s="17"/>
      <c r="G11" s="17"/>
      <c r="I11" s="17"/>
      <c r="J11" s="17"/>
    </row>
    <row r="12" spans="1:10" ht="21" customHeight="1">
      <c r="A12" s="48" t="s">
        <v>614</v>
      </c>
      <c r="B12" s="116"/>
      <c r="C12" s="116"/>
      <c r="D12" s="17"/>
      <c r="E12" s="17"/>
      <c r="F12" s="17"/>
      <c r="G12" s="17"/>
      <c r="I12" s="17"/>
      <c r="J12" s="17"/>
    </row>
    <row r="13" spans="1:10" ht="21" customHeight="1">
      <c r="A13" s="48" t="s">
        <v>270</v>
      </c>
      <c r="B13" s="116"/>
      <c r="C13" s="116"/>
      <c r="D13" s="17"/>
      <c r="E13" s="17"/>
      <c r="F13" s="17"/>
      <c r="G13" s="17"/>
      <c r="I13" s="17"/>
      <c r="J13" s="17"/>
    </row>
    <row r="14" spans="1:10" ht="21" customHeight="1">
      <c r="A14" s="48"/>
      <c r="B14" s="116" t="s">
        <v>587</v>
      </c>
      <c r="C14" s="116"/>
      <c r="D14" s="17"/>
      <c r="E14" s="17"/>
      <c r="F14" s="17"/>
      <c r="G14" s="17"/>
      <c r="I14" s="17"/>
      <c r="J14" s="17"/>
    </row>
    <row r="15" spans="1:10" ht="21" customHeight="1">
      <c r="A15" s="48"/>
      <c r="B15" s="116" t="s">
        <v>272</v>
      </c>
      <c r="C15" s="116"/>
      <c r="D15" s="17"/>
      <c r="E15" s="17"/>
      <c r="F15" s="17"/>
      <c r="G15" s="17"/>
      <c r="I15" s="17"/>
      <c r="J15" s="17"/>
    </row>
    <row r="16" spans="1:10" ht="21" customHeight="1">
      <c r="A16" s="48"/>
      <c r="B16" s="116" t="s">
        <v>273</v>
      </c>
      <c r="C16" s="116"/>
      <c r="D16" s="17"/>
      <c r="E16" s="17"/>
      <c r="F16" s="17"/>
      <c r="G16" s="17"/>
      <c r="H16" s="17"/>
      <c r="I16" s="17"/>
      <c r="J16" s="17"/>
    </row>
    <row r="17" spans="1:10" ht="21" customHeight="1">
      <c r="A17" s="48"/>
      <c r="B17" s="116" t="s">
        <v>274</v>
      </c>
      <c r="C17" s="116"/>
      <c r="D17" s="17"/>
      <c r="E17" s="17"/>
      <c r="F17" s="17"/>
      <c r="G17" s="17"/>
      <c r="H17" s="17"/>
      <c r="I17" s="17"/>
      <c r="J17" s="17"/>
    </row>
    <row r="18" spans="1:10" ht="21" customHeight="1">
      <c r="A18" s="48"/>
      <c r="B18" s="116" t="s">
        <v>275</v>
      </c>
      <c r="C18" s="116"/>
      <c r="D18" s="17"/>
      <c r="E18" s="17"/>
      <c r="F18" s="17"/>
      <c r="G18" s="17"/>
      <c r="H18" s="17"/>
      <c r="I18" s="17"/>
      <c r="J18" s="17"/>
    </row>
    <row r="19" spans="1:10" ht="21" customHeight="1">
      <c r="A19" s="48"/>
      <c r="B19" s="116" t="s">
        <v>276</v>
      </c>
      <c r="C19" s="116"/>
      <c r="D19" s="49"/>
      <c r="E19" s="17"/>
      <c r="F19" s="17"/>
      <c r="G19" s="17"/>
      <c r="H19" s="17"/>
      <c r="I19" s="17"/>
      <c r="J19" s="17"/>
    </row>
    <row r="20" spans="1:10" ht="21" customHeight="1">
      <c r="A20" s="48"/>
      <c r="B20" s="117" t="s">
        <v>277</v>
      </c>
      <c r="C20" s="39"/>
      <c r="D20" s="20"/>
      <c r="E20" s="20"/>
      <c r="F20" s="20"/>
      <c r="G20" s="20"/>
      <c r="H20" s="20"/>
      <c r="I20" s="20"/>
      <c r="J20" s="20"/>
    </row>
    <row r="21" spans="1:10" ht="21" customHeight="1">
      <c r="A21" s="42" t="s">
        <v>615</v>
      </c>
      <c r="B21" s="117"/>
      <c r="C21" s="117"/>
      <c r="D21" s="17"/>
      <c r="E21" s="17"/>
      <c r="F21" s="17"/>
      <c r="G21" s="17"/>
      <c r="H21" s="17"/>
      <c r="I21" s="17"/>
      <c r="J21" s="17"/>
    </row>
    <row r="22" spans="1:10" ht="21" customHeight="1">
      <c r="A22" s="42" t="s">
        <v>616</v>
      </c>
      <c r="B22" s="117"/>
      <c r="C22" s="117"/>
      <c r="D22" s="17"/>
      <c r="E22" s="17"/>
      <c r="F22" s="17"/>
      <c r="G22" s="17"/>
      <c r="H22" s="17"/>
      <c r="I22" s="17"/>
      <c r="J22" s="17"/>
    </row>
    <row r="23" spans="1:10" ht="21" customHeight="1">
      <c r="A23" s="48" t="s">
        <v>617</v>
      </c>
      <c r="B23" s="117"/>
      <c r="C23" s="117"/>
      <c r="D23" s="17"/>
      <c r="E23" s="17"/>
      <c r="F23" s="17"/>
      <c r="G23" s="17"/>
      <c r="H23" s="17"/>
      <c r="I23" s="17"/>
      <c r="J23" s="17"/>
    </row>
    <row r="24" spans="1:10" ht="21" customHeight="1">
      <c r="A24" s="48" t="s">
        <v>618</v>
      </c>
      <c r="B24" s="117"/>
      <c r="C24" s="117"/>
      <c r="D24" s="17"/>
      <c r="E24" s="17"/>
      <c r="F24" s="17"/>
      <c r="G24" s="17"/>
      <c r="H24" s="17"/>
      <c r="I24" s="17"/>
      <c r="J24" s="17"/>
    </row>
    <row r="25" spans="1:10" ht="21" customHeight="1">
      <c r="A25" s="48" t="s">
        <v>619</v>
      </c>
      <c r="B25" s="117"/>
      <c r="C25" s="117"/>
      <c r="D25" s="17"/>
      <c r="E25" s="17"/>
      <c r="F25" s="17"/>
      <c r="G25" s="17"/>
      <c r="H25" s="17"/>
      <c r="I25" s="17"/>
      <c r="J25" s="17"/>
    </row>
    <row r="26" spans="1:10" ht="21" customHeight="1">
      <c r="A26" s="321" t="s">
        <v>62</v>
      </c>
      <c r="B26" s="322"/>
      <c r="C26" s="39"/>
      <c r="D26" s="20"/>
      <c r="E26" s="20"/>
      <c r="F26" s="20"/>
      <c r="G26" s="20"/>
      <c r="H26" s="20"/>
      <c r="I26" s="20"/>
      <c r="J26" s="20"/>
    </row>
    <row r="27" spans="1:10" ht="21" customHeight="1">
      <c r="A27" s="48" t="s">
        <v>620</v>
      </c>
      <c r="B27" s="117"/>
      <c r="C27" s="39"/>
      <c r="D27" s="17"/>
      <c r="E27" s="17"/>
      <c r="F27" s="17"/>
      <c r="G27" s="17"/>
      <c r="H27" s="17"/>
      <c r="I27" s="17"/>
      <c r="J27" s="17"/>
    </row>
    <row r="28" spans="1:10" ht="21" customHeight="1">
      <c r="A28" s="118"/>
      <c r="B28" s="115" t="s">
        <v>283</v>
      </c>
      <c r="C28" s="39"/>
      <c r="D28" s="20"/>
      <c r="E28" s="119"/>
      <c r="F28" s="20"/>
      <c r="G28" s="20"/>
      <c r="H28" s="20"/>
      <c r="I28" s="20"/>
      <c r="J28" s="20"/>
    </row>
    <row r="29" spans="1:10" ht="21" customHeight="1">
      <c r="A29" s="5" t="s">
        <v>621</v>
      </c>
      <c r="B29" s="6" t="s">
        <v>622</v>
      </c>
      <c r="C29" s="10"/>
      <c r="E29" s="120"/>
    </row>
    <row r="30" spans="1:10" ht="23.25" customHeight="1">
      <c r="B30" s="6" t="s">
        <v>623</v>
      </c>
      <c r="J30" s="353" t="s">
        <v>25</v>
      </c>
    </row>
    <row r="31" spans="1:10">
      <c r="J31" s="353"/>
    </row>
    <row r="32" spans="1:10">
      <c r="J32" s="353"/>
    </row>
    <row r="33" spans="10:10">
      <c r="J33" s="353"/>
    </row>
  </sheetData>
  <mergeCells count="7">
    <mergeCell ref="J30:J33"/>
    <mergeCell ref="A26:B26"/>
    <mergeCell ref="A2:J2"/>
    <mergeCell ref="J7:J9"/>
    <mergeCell ref="A8:B8"/>
    <mergeCell ref="C7:I7"/>
    <mergeCell ref="C8:I8"/>
  </mergeCells>
  <phoneticPr fontId="0" type="noConversion"/>
  <printOptions horizontalCentered="1"/>
  <pageMargins left="0.43307086614173229" right="0.39370078740157483" top="0.19685039370078741" bottom="0.19685039370078741" header="0.51181102362204722" footer="0.51181102362204722"/>
  <pageSetup paperSize="9" scale="8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2:W30"/>
  <sheetViews>
    <sheetView showGridLines="0" view="pageBreakPreview" zoomScale="60" zoomScaleNormal="90" workbookViewId="0">
      <selection activeCell="I13" sqref="I13"/>
    </sheetView>
  </sheetViews>
  <sheetFormatPr defaultColWidth="9.140625" defaultRowHeight="18"/>
  <cols>
    <col min="1" max="1" width="34.42578125" style="91" customWidth="1"/>
    <col min="2" max="2" width="12.28515625" style="91" bestFit="1" customWidth="1"/>
    <col min="3" max="3" width="9.7109375" style="91" bestFit="1" customWidth="1"/>
    <col min="4" max="4" width="13.42578125" style="91" customWidth="1"/>
    <col min="5" max="7" width="9.7109375" style="91" bestFit="1" customWidth="1"/>
    <col min="8" max="8" width="6.28515625" style="91" bestFit="1" customWidth="1"/>
    <col min="9" max="9" width="5.85546875" style="91" bestFit="1" customWidth="1"/>
    <col min="10" max="14" width="9.7109375" style="91" bestFit="1" customWidth="1"/>
    <col min="15" max="15" width="8.140625" style="91" bestFit="1" customWidth="1"/>
    <col min="16" max="19" width="9.7109375" style="91" bestFit="1" customWidth="1"/>
    <col min="20" max="21" width="8.140625" style="91" bestFit="1" customWidth="1"/>
    <col min="22" max="22" width="15.28515625" style="91" bestFit="1" customWidth="1"/>
    <col min="23" max="23" width="5.28515625" style="91" bestFit="1" customWidth="1"/>
    <col min="24" max="16384" width="9.140625" style="91"/>
  </cols>
  <sheetData>
    <row r="2" spans="1:22" ht="23.25">
      <c r="A2" s="355" t="s">
        <v>29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</row>
    <row r="3" spans="1:22" ht="21">
      <c r="A3" s="92"/>
      <c r="B3" s="92" t="s">
        <v>624</v>
      </c>
      <c r="C3" s="92" t="s">
        <v>625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3" t="s">
        <v>626</v>
      </c>
    </row>
    <row r="4" spans="1:22" ht="21">
      <c r="A4" s="356" t="s">
        <v>261</v>
      </c>
      <c r="B4" s="357" t="s">
        <v>627</v>
      </c>
      <c r="C4" s="357" t="s">
        <v>628</v>
      </c>
      <c r="D4" s="357" t="s">
        <v>629</v>
      </c>
      <c r="E4" s="356" t="s">
        <v>630</v>
      </c>
      <c r="F4" s="356"/>
      <c r="G4" s="356"/>
      <c r="H4" s="356"/>
      <c r="I4" s="356"/>
      <c r="J4" s="356"/>
      <c r="K4" s="356" t="s">
        <v>609</v>
      </c>
      <c r="L4" s="356"/>
      <c r="M4" s="356"/>
      <c r="N4" s="356"/>
      <c r="O4" s="356"/>
      <c r="P4" s="356"/>
      <c r="Q4" s="356" t="s">
        <v>264</v>
      </c>
      <c r="R4" s="356"/>
      <c r="S4" s="356"/>
      <c r="T4" s="356"/>
      <c r="U4" s="356"/>
      <c r="V4" s="356"/>
    </row>
    <row r="5" spans="1:22" ht="21">
      <c r="A5" s="356"/>
      <c r="B5" s="356"/>
      <c r="C5" s="356"/>
      <c r="D5" s="356"/>
      <c r="E5" s="356" t="s">
        <v>631</v>
      </c>
      <c r="F5" s="356"/>
      <c r="G5" s="356"/>
      <c r="H5" s="356" t="s">
        <v>632</v>
      </c>
      <c r="I5" s="356"/>
      <c r="J5" s="356"/>
      <c r="K5" s="356" t="s">
        <v>631</v>
      </c>
      <c r="L5" s="356"/>
      <c r="M5" s="356"/>
      <c r="N5" s="356" t="s">
        <v>543</v>
      </c>
      <c r="O5" s="356"/>
      <c r="P5" s="356"/>
      <c r="Q5" s="356" t="s">
        <v>631</v>
      </c>
      <c r="R5" s="356"/>
      <c r="S5" s="356"/>
      <c r="T5" s="356" t="s">
        <v>543</v>
      </c>
      <c r="U5" s="356"/>
      <c r="V5" s="356"/>
    </row>
    <row r="6" spans="1:22" ht="21">
      <c r="A6" s="356"/>
      <c r="B6" s="356"/>
      <c r="C6" s="356"/>
      <c r="D6" s="356"/>
      <c r="E6" s="94" t="s">
        <v>633</v>
      </c>
      <c r="F6" s="94" t="s">
        <v>625</v>
      </c>
      <c r="G6" s="94" t="s">
        <v>62</v>
      </c>
      <c r="H6" s="94" t="s">
        <v>633</v>
      </c>
      <c r="I6" s="94" t="s">
        <v>625</v>
      </c>
      <c r="J6" s="94" t="s">
        <v>62</v>
      </c>
      <c r="K6" s="94" t="s">
        <v>633</v>
      </c>
      <c r="L6" s="94" t="s">
        <v>625</v>
      </c>
      <c r="M6" s="94" t="s">
        <v>62</v>
      </c>
      <c r="N6" s="94" t="s">
        <v>633</v>
      </c>
      <c r="O6" s="94" t="s">
        <v>625</v>
      </c>
      <c r="P6" s="94" t="s">
        <v>62</v>
      </c>
      <c r="Q6" s="94" t="s">
        <v>633</v>
      </c>
      <c r="R6" s="94" t="s">
        <v>625</v>
      </c>
      <c r="S6" s="94" t="s">
        <v>62</v>
      </c>
      <c r="T6" s="94" t="s">
        <v>633</v>
      </c>
      <c r="U6" s="94" t="s">
        <v>625</v>
      </c>
      <c r="V6" s="94" t="s">
        <v>62</v>
      </c>
    </row>
    <row r="7" spans="1:22" ht="21">
      <c r="A7" s="202" t="s">
        <v>613</v>
      </c>
      <c r="B7" s="95"/>
      <c r="C7" s="95"/>
      <c r="D7" s="95"/>
      <c r="E7" s="95"/>
      <c r="F7" s="95"/>
      <c r="G7" s="95"/>
      <c r="H7" s="95"/>
      <c r="I7" s="96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21">
      <c r="A8" s="203" t="s">
        <v>268</v>
      </c>
      <c r="B8" s="97"/>
      <c r="C8" s="97"/>
      <c r="D8" s="97"/>
      <c r="E8" s="97"/>
      <c r="F8" s="97"/>
      <c r="G8" s="97"/>
      <c r="H8" s="97"/>
      <c r="I8" s="98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</row>
    <row r="9" spans="1:22" ht="21">
      <c r="A9" s="204" t="s">
        <v>534</v>
      </c>
      <c r="B9" s="97"/>
      <c r="C9" s="97"/>
      <c r="D9" s="97"/>
      <c r="E9" s="97"/>
      <c r="F9" s="97"/>
      <c r="G9" s="97"/>
      <c r="H9" s="97"/>
      <c r="I9" s="98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</row>
    <row r="10" spans="1:22" ht="21">
      <c r="A10" s="204" t="s">
        <v>634</v>
      </c>
      <c r="B10" s="97"/>
      <c r="C10" s="97"/>
      <c r="D10" s="97"/>
      <c r="E10" s="97"/>
      <c r="F10" s="97"/>
      <c r="G10" s="97"/>
      <c r="H10" s="97"/>
      <c r="I10" s="98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</row>
    <row r="11" spans="1:22" ht="21">
      <c r="A11" s="205" t="s">
        <v>587</v>
      </c>
      <c r="B11" s="97">
        <v>2663.6</v>
      </c>
      <c r="C11" s="97">
        <v>1300</v>
      </c>
      <c r="D11" s="97">
        <v>1446.3</v>
      </c>
      <c r="E11" s="245">
        <v>1101.2950000000001</v>
      </c>
      <c r="F11" s="245">
        <v>2100</v>
      </c>
      <c r="G11" s="245">
        <f>E11+F11</f>
        <v>3201.2950000000001</v>
      </c>
      <c r="H11" s="248" t="s">
        <v>635</v>
      </c>
      <c r="I11" s="248" t="s">
        <v>635</v>
      </c>
      <c r="J11" s="245">
        <v>1679.9570000000001</v>
      </c>
      <c r="K11" s="245">
        <f>G11-J11-209.924</f>
        <v>1311.414</v>
      </c>
      <c r="L11" s="245">
        <v>1400</v>
      </c>
      <c r="M11" s="245">
        <f>L11+K11</f>
        <v>2711.4139999999998</v>
      </c>
      <c r="N11" s="245">
        <v>1003.422</v>
      </c>
      <c r="O11" s="248" t="s">
        <v>635</v>
      </c>
      <c r="P11" s="245">
        <v>1003.422</v>
      </c>
      <c r="Q11" s="245">
        <f>M11-P11</f>
        <v>1707.9919999999997</v>
      </c>
      <c r="R11" s="245">
        <v>2100</v>
      </c>
      <c r="S11" s="245">
        <f>R11+Q11</f>
        <v>3807.9919999999997</v>
      </c>
      <c r="T11" s="245">
        <v>975</v>
      </c>
      <c r="U11" s="245">
        <v>200</v>
      </c>
      <c r="V11" s="245">
        <f>T11+U11</f>
        <v>1175</v>
      </c>
    </row>
    <row r="12" spans="1:22" ht="21">
      <c r="A12" s="205" t="s">
        <v>272</v>
      </c>
      <c r="B12" s="97"/>
      <c r="C12" s="97"/>
      <c r="D12" s="97"/>
      <c r="E12" s="245"/>
      <c r="F12" s="245"/>
      <c r="G12" s="245"/>
      <c r="H12" s="245"/>
      <c r="I12" s="246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</row>
    <row r="13" spans="1:22" ht="21">
      <c r="A13" s="205" t="s">
        <v>273</v>
      </c>
      <c r="B13" s="97"/>
      <c r="C13" s="97"/>
      <c r="D13" s="97"/>
      <c r="E13" s="245"/>
      <c r="F13" s="245"/>
      <c r="G13" s="245"/>
      <c r="H13" s="245"/>
      <c r="I13" s="246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</row>
    <row r="14" spans="1:22" ht="21">
      <c r="A14" s="205" t="s">
        <v>636</v>
      </c>
      <c r="B14" s="97">
        <v>208.744</v>
      </c>
      <c r="C14" s="97">
        <v>200</v>
      </c>
      <c r="D14" s="97">
        <v>324.74900000000002</v>
      </c>
      <c r="E14" s="248" t="s">
        <v>635</v>
      </c>
      <c r="F14" s="245">
        <v>300</v>
      </c>
      <c r="G14" s="245">
        <v>300</v>
      </c>
      <c r="H14" s="248" t="s">
        <v>635</v>
      </c>
      <c r="I14" s="248" t="s">
        <v>635</v>
      </c>
      <c r="J14" s="245">
        <v>509.92399999999998</v>
      </c>
      <c r="K14" s="248" t="s">
        <v>635</v>
      </c>
      <c r="L14" s="245">
        <v>300</v>
      </c>
      <c r="M14" s="245">
        <v>300</v>
      </c>
      <c r="N14" s="248" t="s">
        <v>635</v>
      </c>
      <c r="O14" s="245">
        <v>300</v>
      </c>
      <c r="P14" s="245">
        <v>300</v>
      </c>
      <c r="Q14" s="248" t="s">
        <v>635</v>
      </c>
      <c r="R14" s="245">
        <v>300</v>
      </c>
      <c r="S14" s="245">
        <v>300</v>
      </c>
      <c r="T14" s="248" t="s">
        <v>635</v>
      </c>
      <c r="U14" s="245">
        <v>300</v>
      </c>
      <c r="V14" s="245">
        <v>300</v>
      </c>
    </row>
    <row r="15" spans="1:22" ht="21">
      <c r="A15" s="205" t="s">
        <v>637</v>
      </c>
      <c r="B15" s="97"/>
      <c r="C15" s="97"/>
      <c r="D15" s="97"/>
      <c r="E15" s="245"/>
      <c r="F15" s="245"/>
      <c r="G15" s="245"/>
      <c r="H15" s="245"/>
      <c r="I15" s="246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</row>
    <row r="16" spans="1:22" ht="21">
      <c r="A16" s="205" t="s">
        <v>638</v>
      </c>
      <c r="B16" s="97"/>
      <c r="C16" s="97"/>
      <c r="D16" s="97"/>
      <c r="E16" s="245"/>
      <c r="F16" s="245"/>
      <c r="G16" s="245"/>
      <c r="H16" s="245"/>
      <c r="I16" s="246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</row>
    <row r="17" spans="1:23" ht="21">
      <c r="A17" s="206" t="s">
        <v>277</v>
      </c>
      <c r="B17" s="247">
        <f>B11+B14</f>
        <v>2872.3440000000001</v>
      </c>
      <c r="C17" s="247">
        <f>C11+C14</f>
        <v>1500</v>
      </c>
      <c r="D17" s="247">
        <f>D11+D14</f>
        <v>1771.049</v>
      </c>
      <c r="E17" s="247">
        <v>1101.2950000000001</v>
      </c>
      <c r="F17" s="247">
        <v>2400</v>
      </c>
      <c r="G17" s="247">
        <f>E17+F17</f>
        <v>3501.2950000000001</v>
      </c>
      <c r="H17" s="249" t="s">
        <v>635</v>
      </c>
      <c r="I17" s="249" t="s">
        <v>635</v>
      </c>
      <c r="J17" s="247">
        <f>J11+J14</f>
        <v>2189.8810000000003</v>
      </c>
      <c r="K17" s="247">
        <f>K11</f>
        <v>1311.414</v>
      </c>
      <c r="L17" s="247">
        <f>L11+L14</f>
        <v>1700</v>
      </c>
      <c r="M17" s="247">
        <f>M11+M14</f>
        <v>3011.4139999999998</v>
      </c>
      <c r="N17" s="247">
        <v>1003.422</v>
      </c>
      <c r="O17" s="247">
        <v>300</v>
      </c>
      <c r="P17" s="247">
        <f>P11+P14</f>
        <v>1303.422</v>
      </c>
      <c r="Q17" s="247">
        <f>Q11</f>
        <v>1707.9919999999997</v>
      </c>
      <c r="R17" s="247">
        <f>R11+R14</f>
        <v>2400</v>
      </c>
      <c r="S17" s="247">
        <f>S11+S14</f>
        <v>4107.9920000000002</v>
      </c>
      <c r="T17" s="247">
        <v>975</v>
      </c>
      <c r="U17" s="247">
        <v>500</v>
      </c>
      <c r="V17" s="247">
        <f>T17+U17</f>
        <v>1475</v>
      </c>
    </row>
    <row r="18" spans="1:23" ht="21">
      <c r="A18" s="203" t="s">
        <v>639</v>
      </c>
      <c r="B18" s="97"/>
      <c r="C18" s="97"/>
      <c r="D18" s="97"/>
      <c r="E18" s="97"/>
      <c r="F18" s="97"/>
      <c r="G18" s="97"/>
      <c r="H18" s="97"/>
      <c r="I18" s="98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</row>
    <row r="19" spans="1:23" ht="21">
      <c r="A19" s="203" t="s">
        <v>616</v>
      </c>
      <c r="B19" s="97"/>
      <c r="C19" s="97"/>
      <c r="D19" s="97"/>
      <c r="E19" s="97"/>
      <c r="F19" s="97"/>
      <c r="G19" s="97"/>
      <c r="H19" s="97"/>
      <c r="I19" s="98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</row>
    <row r="20" spans="1:23" ht="21">
      <c r="A20" s="203" t="s">
        <v>617</v>
      </c>
      <c r="B20" s="97"/>
      <c r="C20" s="97"/>
      <c r="D20" s="97"/>
      <c r="E20" s="97"/>
      <c r="F20" s="97"/>
      <c r="G20" s="97"/>
      <c r="H20" s="97"/>
      <c r="I20" s="98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</row>
    <row r="21" spans="1:23" ht="21">
      <c r="A21" s="203" t="s">
        <v>640</v>
      </c>
      <c r="B21" s="97"/>
      <c r="C21" s="97"/>
      <c r="D21" s="97"/>
      <c r="E21" s="97"/>
      <c r="F21" s="97"/>
      <c r="G21" s="97"/>
      <c r="H21" s="97"/>
      <c r="I21" s="98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</row>
    <row r="22" spans="1:23" ht="21">
      <c r="A22" s="203" t="s">
        <v>641</v>
      </c>
      <c r="B22" s="97"/>
      <c r="C22" s="97"/>
      <c r="D22" s="97"/>
      <c r="E22" s="97"/>
      <c r="F22" s="97"/>
      <c r="G22" s="97"/>
      <c r="H22" s="97"/>
      <c r="I22" s="98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</row>
    <row r="23" spans="1:23" ht="21">
      <c r="A23" s="207" t="s">
        <v>62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</row>
    <row r="24" spans="1:23" ht="21">
      <c r="A24" s="202" t="s">
        <v>642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</row>
    <row r="25" spans="1:23" ht="21">
      <c r="A25" s="207" t="s">
        <v>283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</row>
    <row r="28" spans="1:23">
      <c r="W28" s="354" t="s">
        <v>28</v>
      </c>
    </row>
    <row r="29" spans="1:23">
      <c r="W29" s="354"/>
    </row>
    <row r="30" spans="1:23" ht="72" customHeight="1">
      <c r="W30" s="354"/>
    </row>
  </sheetData>
  <mergeCells count="15">
    <mergeCell ref="W28:W30"/>
    <mergeCell ref="A2:V2"/>
    <mergeCell ref="A4:A6"/>
    <mergeCell ref="B4:B6"/>
    <mergeCell ref="C4:C6"/>
    <mergeCell ref="D4:D6"/>
    <mergeCell ref="E4:J4"/>
    <mergeCell ref="K4:P4"/>
    <mergeCell ref="Q4:V4"/>
    <mergeCell ref="E5:G5"/>
    <mergeCell ref="H5:J5"/>
    <mergeCell ref="K5:M5"/>
    <mergeCell ref="N5:P5"/>
    <mergeCell ref="Q5:S5"/>
    <mergeCell ref="T5:V5"/>
  </mergeCells>
  <pageMargins left="0.51181102362204722" right="0.51181102362204722" top="0.74803149606299213" bottom="0.74803149606299213" header="0.31496062992125984" footer="0.31496062992125984"/>
  <pageSetup paperSize="9" scale="4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9"/>
  <sheetViews>
    <sheetView showGridLines="0" zoomScaleNormal="100" zoomScaleSheetLayoutView="100" workbookViewId="0">
      <selection activeCell="C17" sqref="C17:P17"/>
    </sheetView>
  </sheetViews>
  <sheetFormatPr defaultColWidth="9.140625" defaultRowHeight="28.5" customHeight="1"/>
  <cols>
    <col min="1" max="1" width="6.7109375" style="158" customWidth="1"/>
    <col min="2" max="2" width="8.28515625" style="154" customWidth="1"/>
    <col min="3" max="3" width="23.5703125" style="154" customWidth="1"/>
    <col min="4" max="15" width="12.85546875" style="154" customWidth="1"/>
    <col min="16" max="16" width="15" style="154" customWidth="1"/>
    <col min="17" max="16384" width="9.140625" style="154"/>
  </cols>
  <sheetData>
    <row r="1" spans="1:16" ht="28.5" customHeight="1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3"/>
      <c r="O1" s="153"/>
      <c r="P1" s="153" t="s">
        <v>643</v>
      </c>
    </row>
    <row r="2" spans="1:16" ht="21">
      <c r="A2" s="358" t="s">
        <v>32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</row>
    <row r="3" spans="1:16" ht="25.15" customHeight="1">
      <c r="A3" s="151" t="s">
        <v>644</v>
      </c>
      <c r="B3" s="155"/>
      <c r="C3" s="155"/>
      <c r="D3" s="155"/>
      <c r="E3" s="155"/>
      <c r="F3" s="155"/>
      <c r="G3" s="152"/>
      <c r="H3" s="152"/>
      <c r="I3" s="152"/>
      <c r="J3" s="152"/>
      <c r="K3" s="152"/>
      <c r="L3" s="152"/>
      <c r="M3" s="152"/>
      <c r="N3" s="152"/>
      <c r="O3" s="152"/>
      <c r="P3" s="152"/>
    </row>
    <row r="4" spans="1:16" ht="25.15" customHeight="1">
      <c r="A4" s="151" t="s">
        <v>645</v>
      </c>
      <c r="B4" s="152"/>
      <c r="C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</row>
    <row r="5" spans="1:16" ht="25.15" customHeight="1">
      <c r="A5" s="151" t="s">
        <v>646</v>
      </c>
      <c r="B5" s="152"/>
      <c r="C5" s="151"/>
      <c r="D5" s="152"/>
      <c r="E5" s="152"/>
      <c r="F5" s="151"/>
      <c r="G5" s="152"/>
      <c r="H5" s="152"/>
      <c r="I5" s="152"/>
      <c r="J5" s="151"/>
      <c r="K5" s="152"/>
      <c r="L5" s="152"/>
      <c r="M5" s="152"/>
      <c r="N5" s="152"/>
      <c r="O5" s="152"/>
      <c r="P5" s="156" t="s">
        <v>647</v>
      </c>
    </row>
    <row r="6" spans="1:16" ht="25.15" customHeight="1">
      <c r="A6" s="359" t="s">
        <v>648</v>
      </c>
      <c r="B6" s="362" t="s">
        <v>649</v>
      </c>
      <c r="C6" s="363"/>
      <c r="D6" s="368" t="s">
        <v>650</v>
      </c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70"/>
    </row>
    <row r="7" spans="1:16" ht="25.15" customHeight="1">
      <c r="A7" s="360"/>
      <c r="B7" s="364"/>
      <c r="C7" s="365"/>
      <c r="D7" s="360" t="s">
        <v>566</v>
      </c>
      <c r="E7" s="360" t="s">
        <v>567</v>
      </c>
      <c r="F7" s="360" t="s">
        <v>568</v>
      </c>
      <c r="G7" s="360" t="s">
        <v>569</v>
      </c>
      <c r="H7" s="360" t="s">
        <v>570</v>
      </c>
      <c r="I7" s="360" t="s">
        <v>571</v>
      </c>
      <c r="J7" s="360" t="s">
        <v>572</v>
      </c>
      <c r="K7" s="360" t="s">
        <v>573</v>
      </c>
      <c r="L7" s="360" t="s">
        <v>574</v>
      </c>
      <c r="M7" s="360" t="s">
        <v>575</v>
      </c>
      <c r="N7" s="360" t="s">
        <v>576</v>
      </c>
      <c r="O7" s="360" t="s">
        <v>577</v>
      </c>
      <c r="P7" s="360" t="s">
        <v>62</v>
      </c>
    </row>
    <row r="8" spans="1:16" ht="25.15" customHeight="1">
      <c r="A8" s="361"/>
      <c r="B8" s="366"/>
      <c r="C8" s="367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</row>
    <row r="9" spans="1:16" s="158" customFormat="1" ht="27" customHeight="1">
      <c r="A9" s="157">
        <v>1</v>
      </c>
      <c r="B9" s="163" t="s">
        <v>651</v>
      </c>
      <c r="C9" s="151"/>
      <c r="D9" s="159"/>
      <c r="E9" s="160"/>
      <c r="F9" s="151"/>
      <c r="G9" s="160"/>
      <c r="H9" s="151"/>
      <c r="I9" s="160"/>
      <c r="J9" s="151"/>
      <c r="K9" s="160"/>
      <c r="L9" s="151"/>
      <c r="M9" s="160"/>
      <c r="N9" s="151"/>
      <c r="O9" s="160"/>
      <c r="P9" s="161"/>
    </row>
    <row r="10" spans="1:16" s="158" customFormat="1" ht="27" customHeight="1">
      <c r="A10" s="162">
        <v>2</v>
      </c>
      <c r="B10" s="163" t="s">
        <v>652</v>
      </c>
      <c r="C10" s="151"/>
      <c r="D10" s="164"/>
      <c r="E10" s="165"/>
      <c r="F10" s="166"/>
      <c r="G10" s="165"/>
      <c r="H10" s="166"/>
      <c r="I10" s="165"/>
      <c r="J10" s="166"/>
      <c r="K10" s="165"/>
      <c r="L10" s="166"/>
      <c r="M10" s="165"/>
      <c r="N10" s="166"/>
      <c r="O10" s="165"/>
      <c r="P10" s="167"/>
    </row>
    <row r="11" spans="1:16" s="158" customFormat="1" ht="27" customHeight="1">
      <c r="A11" s="162">
        <v>3</v>
      </c>
      <c r="B11" s="163" t="s">
        <v>653</v>
      </c>
      <c r="C11" s="151"/>
      <c r="D11" s="164"/>
      <c r="E11" s="165"/>
      <c r="F11" s="166"/>
      <c r="G11" s="165"/>
      <c r="H11" s="166"/>
      <c r="I11" s="165"/>
      <c r="J11" s="166"/>
      <c r="K11" s="165"/>
      <c r="L11" s="166"/>
      <c r="M11" s="165"/>
      <c r="N11" s="166"/>
      <c r="O11" s="165"/>
      <c r="P11" s="168"/>
    </row>
    <row r="12" spans="1:16" s="158" customFormat="1" ht="27" customHeight="1">
      <c r="A12" s="162">
        <v>4</v>
      </c>
      <c r="B12" s="163" t="s">
        <v>654</v>
      </c>
      <c r="C12" s="151"/>
      <c r="D12" s="164"/>
      <c r="E12" s="165"/>
      <c r="F12" s="166"/>
      <c r="G12" s="165"/>
      <c r="H12" s="166"/>
      <c r="I12" s="165"/>
      <c r="J12" s="166"/>
      <c r="K12" s="165"/>
      <c r="L12" s="166"/>
      <c r="M12" s="165"/>
      <c r="N12" s="166"/>
      <c r="O12" s="165"/>
      <c r="P12" s="167"/>
    </row>
    <row r="13" spans="1:16" s="158" customFormat="1" ht="27" customHeight="1">
      <c r="A13" s="169">
        <v>5</v>
      </c>
      <c r="B13" s="170" t="s">
        <v>655</v>
      </c>
      <c r="C13" s="151"/>
      <c r="D13" s="164"/>
      <c r="E13" s="165"/>
      <c r="F13" s="166"/>
      <c r="G13" s="165"/>
      <c r="H13" s="166"/>
      <c r="I13" s="165"/>
      <c r="J13" s="166"/>
      <c r="K13" s="165"/>
      <c r="L13" s="166"/>
      <c r="M13" s="165"/>
      <c r="N13" s="166"/>
      <c r="O13" s="165"/>
      <c r="P13" s="168"/>
    </row>
    <row r="14" spans="1:16" ht="27" customHeight="1">
      <c r="A14" s="368" t="s">
        <v>283</v>
      </c>
      <c r="B14" s="369"/>
      <c r="C14" s="369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</row>
    <row r="15" spans="1:16" s="171" customFormat="1" ht="23.25" customHeight="1">
      <c r="C15" s="171" t="s">
        <v>656</v>
      </c>
    </row>
    <row r="16" spans="1:16" s="171" customFormat="1" ht="18.75">
      <c r="C16" s="371" t="s">
        <v>657</v>
      </c>
      <c r="D16" s="372"/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</row>
    <row r="17" spans="1:16" s="171" customFormat="1" ht="18.75">
      <c r="A17" s="172"/>
      <c r="B17" s="172"/>
      <c r="C17" s="371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</row>
    <row r="18" spans="1:16" s="171" customFormat="1" ht="18.75">
      <c r="A18" s="172"/>
      <c r="B18" s="172"/>
      <c r="C18" s="372"/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2"/>
    </row>
    <row r="19" spans="1:16" ht="18.75"/>
  </sheetData>
  <mergeCells count="21">
    <mergeCell ref="A14:C14"/>
    <mergeCell ref="C16:P16"/>
    <mergeCell ref="C17:P17"/>
    <mergeCell ref="C18:P18"/>
    <mergeCell ref="J7:J8"/>
    <mergeCell ref="K7:K8"/>
    <mergeCell ref="L7:L8"/>
    <mergeCell ref="M7:M8"/>
    <mergeCell ref="N7:N8"/>
    <mergeCell ref="O7:O8"/>
    <mergeCell ref="A2:P2"/>
    <mergeCell ref="A6:A8"/>
    <mergeCell ref="B6:C8"/>
    <mergeCell ref="D6:P6"/>
    <mergeCell ref="D7:D8"/>
    <mergeCell ref="E7:E8"/>
    <mergeCell ref="F7:F8"/>
    <mergeCell ref="G7:G8"/>
    <mergeCell ref="H7:H8"/>
    <mergeCell ref="I7:I8"/>
    <mergeCell ref="P7:P8"/>
  </mergeCells>
  <pageMargins left="0.39370078740157483" right="0.39370078740157483" top="0.39370078740157483" bottom="0" header="0.19685039370078741" footer="0.11811023622047245"/>
  <pageSetup paperSize="9" scale="7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pageSetUpPr fitToPage="1"/>
  </sheetPr>
  <dimension ref="A1:V31"/>
  <sheetViews>
    <sheetView showGridLines="0" topLeftCell="A7" zoomScaleNormal="100" zoomScaleSheetLayoutView="100" workbookViewId="0">
      <selection activeCell="T12" sqref="T12"/>
    </sheetView>
  </sheetViews>
  <sheetFormatPr defaultColWidth="9.140625" defaultRowHeight="21"/>
  <cols>
    <col min="1" max="1" width="10" style="6" customWidth="1"/>
    <col min="2" max="2" width="38.5703125" style="6" customWidth="1"/>
    <col min="3" max="5" width="11.140625" style="6" customWidth="1"/>
    <col min="6" max="18" width="10.140625" style="6" customWidth="1"/>
    <col min="19" max="20" width="13.140625" style="6" customWidth="1"/>
    <col min="21" max="16384" width="9.140625" style="6"/>
  </cols>
  <sheetData>
    <row r="1" spans="1:20">
      <c r="T1" s="13"/>
    </row>
    <row r="2" spans="1:20" ht="32.1" customHeight="1">
      <c r="A2" s="348" t="s">
        <v>658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</row>
    <row r="3" spans="1:20" ht="32.1" customHeight="1">
      <c r="A3" s="348" t="s">
        <v>659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</row>
    <row r="4" spans="1:20" ht="32.1" customHeight="1">
      <c r="A4" s="348" t="s">
        <v>66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</row>
    <row r="5" spans="1:20">
      <c r="A5" s="5" t="s">
        <v>604</v>
      </c>
    </row>
    <row r="6" spans="1:20" ht="27" customHeight="1">
      <c r="A6" s="5" t="s">
        <v>660</v>
      </c>
    </row>
    <row r="7" spans="1:20" ht="27" customHeight="1">
      <c r="A7" s="5" t="s">
        <v>606</v>
      </c>
    </row>
    <row r="8" spans="1:20" ht="18" customHeight="1" thickBot="1">
      <c r="A8" s="5"/>
      <c r="T8" s="13" t="s">
        <v>55</v>
      </c>
    </row>
    <row r="9" spans="1:20" ht="18" customHeight="1">
      <c r="A9" s="341" t="s">
        <v>56</v>
      </c>
      <c r="B9" s="341" t="s">
        <v>261</v>
      </c>
      <c r="C9" s="334" t="s">
        <v>661</v>
      </c>
      <c r="D9" s="341" t="s">
        <v>630</v>
      </c>
      <c r="E9" s="303" t="s">
        <v>609</v>
      </c>
      <c r="F9" s="373" t="s">
        <v>264</v>
      </c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5"/>
      <c r="S9" s="305" t="s">
        <v>548</v>
      </c>
      <c r="T9" s="334" t="s">
        <v>662</v>
      </c>
    </row>
    <row r="10" spans="1:20" ht="27" customHeight="1">
      <c r="A10" s="341"/>
      <c r="B10" s="341"/>
      <c r="C10" s="334"/>
      <c r="D10" s="341"/>
      <c r="E10" s="303"/>
      <c r="F10" s="378" t="s">
        <v>663</v>
      </c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76" t="s">
        <v>62</v>
      </c>
      <c r="S10" s="305"/>
      <c r="T10" s="334"/>
    </row>
    <row r="11" spans="1:20" ht="27" customHeight="1">
      <c r="A11" s="341"/>
      <c r="B11" s="341"/>
      <c r="C11" s="334"/>
      <c r="D11" s="341"/>
      <c r="E11" s="303"/>
      <c r="F11" s="109" t="s">
        <v>566</v>
      </c>
      <c r="G11" s="39" t="s">
        <v>567</v>
      </c>
      <c r="H11" s="39" t="s">
        <v>568</v>
      </c>
      <c r="I11" s="39" t="s">
        <v>569</v>
      </c>
      <c r="J11" s="39" t="s">
        <v>570</v>
      </c>
      <c r="K11" s="39" t="s">
        <v>571</v>
      </c>
      <c r="L11" s="39" t="s">
        <v>572</v>
      </c>
      <c r="M11" s="39" t="s">
        <v>573</v>
      </c>
      <c r="N11" s="39" t="s">
        <v>574</v>
      </c>
      <c r="O11" s="39" t="s">
        <v>575</v>
      </c>
      <c r="P11" s="39" t="s">
        <v>576</v>
      </c>
      <c r="Q11" s="39" t="s">
        <v>577</v>
      </c>
      <c r="R11" s="377"/>
      <c r="S11" s="305"/>
      <c r="T11" s="334"/>
    </row>
    <row r="12" spans="1:20" ht="27" customHeight="1">
      <c r="A12" s="82"/>
      <c r="B12" s="75" t="s">
        <v>664</v>
      </c>
      <c r="C12" s="17"/>
      <c r="D12" s="17"/>
      <c r="E12" s="18"/>
      <c r="F12" s="105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46"/>
      <c r="R12" s="110"/>
      <c r="S12" s="19"/>
      <c r="T12" s="19"/>
    </row>
    <row r="13" spans="1:20" ht="27" customHeight="1">
      <c r="A13" s="82"/>
      <c r="C13" s="17"/>
      <c r="D13" s="17"/>
      <c r="E13" s="18"/>
      <c r="F13" s="105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10"/>
      <c r="S13" s="19"/>
      <c r="T13" s="19"/>
    </row>
    <row r="14" spans="1:20" ht="27" customHeight="1">
      <c r="A14" s="82"/>
      <c r="C14" s="17"/>
      <c r="D14" s="17"/>
      <c r="E14" s="18"/>
      <c r="F14" s="105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10"/>
      <c r="S14" s="19"/>
      <c r="T14" s="19"/>
    </row>
    <row r="15" spans="1:20" ht="27" customHeight="1">
      <c r="A15" s="82"/>
      <c r="C15" s="17"/>
      <c r="D15" s="17"/>
      <c r="E15" s="18"/>
      <c r="F15" s="105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10"/>
      <c r="S15" s="19"/>
      <c r="T15" s="19"/>
    </row>
    <row r="16" spans="1:20" ht="27" customHeight="1">
      <c r="A16" s="82"/>
      <c r="C16" s="17"/>
      <c r="D16" s="17"/>
      <c r="E16" s="18"/>
      <c r="F16" s="105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10"/>
      <c r="S16" s="19"/>
      <c r="T16" s="19"/>
    </row>
    <row r="17" spans="1:22" ht="27" customHeight="1">
      <c r="A17" s="82"/>
      <c r="B17" s="5"/>
      <c r="C17" s="17"/>
      <c r="D17" s="17"/>
      <c r="E17" s="18"/>
      <c r="F17" s="105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10"/>
      <c r="S17" s="19"/>
      <c r="T17" s="19"/>
    </row>
    <row r="18" spans="1:22" ht="27" customHeight="1">
      <c r="A18" s="82"/>
      <c r="B18" s="75" t="s">
        <v>665</v>
      </c>
      <c r="C18" s="17"/>
      <c r="D18" s="17"/>
      <c r="E18" s="18"/>
      <c r="F18" s="105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10"/>
      <c r="S18" s="19"/>
      <c r="T18" s="19"/>
      <c r="V18" s="21"/>
    </row>
    <row r="19" spans="1:22" ht="27" customHeight="1">
      <c r="A19" s="82"/>
      <c r="B19" s="21" t="s">
        <v>666</v>
      </c>
      <c r="C19" s="17"/>
      <c r="D19" s="17"/>
      <c r="E19" s="18"/>
      <c r="F19" s="105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10"/>
      <c r="S19" s="19"/>
      <c r="T19" s="19"/>
    </row>
    <row r="20" spans="1:22" ht="27" customHeight="1">
      <c r="A20" s="82"/>
      <c r="B20" s="21" t="s">
        <v>667</v>
      </c>
      <c r="C20" s="17"/>
      <c r="D20" s="17"/>
      <c r="E20" s="18"/>
      <c r="F20" s="105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10"/>
      <c r="S20" s="19"/>
      <c r="T20" s="19"/>
    </row>
    <row r="21" spans="1:22" ht="27" customHeight="1">
      <c r="A21" s="73"/>
      <c r="C21" s="17"/>
      <c r="D21" s="17"/>
      <c r="E21" s="18"/>
      <c r="F21" s="105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10"/>
      <c r="S21" s="19"/>
      <c r="T21" s="19"/>
    </row>
    <row r="22" spans="1:22" ht="27" customHeight="1">
      <c r="A22" s="82"/>
      <c r="C22" s="17"/>
      <c r="D22" s="17"/>
      <c r="E22" s="18"/>
      <c r="F22" s="105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10"/>
      <c r="S22" s="19"/>
      <c r="T22" s="19"/>
    </row>
    <row r="23" spans="1:22" ht="27" customHeight="1">
      <c r="A23" s="82"/>
      <c r="C23" s="17"/>
      <c r="D23" s="17"/>
      <c r="E23" s="18"/>
      <c r="F23" s="105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10"/>
      <c r="S23" s="19"/>
      <c r="T23" s="19"/>
    </row>
    <row r="24" spans="1:22" ht="27" customHeight="1">
      <c r="A24" s="17"/>
      <c r="C24" s="17"/>
      <c r="D24" s="17"/>
      <c r="E24" s="18"/>
      <c r="F24" s="105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10"/>
      <c r="S24" s="19"/>
      <c r="T24" s="19"/>
    </row>
    <row r="25" spans="1:22" ht="27" customHeight="1">
      <c r="A25" s="73"/>
      <c r="C25" s="17"/>
      <c r="D25" s="17"/>
      <c r="E25" s="18"/>
      <c r="F25" s="105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10"/>
      <c r="S25" s="19"/>
      <c r="T25" s="19"/>
    </row>
    <row r="26" spans="1:22" ht="29.1" customHeight="1" thickBot="1">
      <c r="A26" s="83"/>
      <c r="B26" s="58"/>
      <c r="C26" s="49"/>
      <c r="D26" s="49"/>
      <c r="E26" s="50"/>
      <c r="F26" s="106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8"/>
      <c r="S26" s="58"/>
      <c r="T26" s="58"/>
    </row>
    <row r="27" spans="1:22">
      <c r="A27" s="84" t="s">
        <v>668</v>
      </c>
      <c r="B27" s="21" t="s">
        <v>669</v>
      </c>
    </row>
    <row r="28" spans="1:22" ht="21" customHeight="1">
      <c r="B28" s="21" t="s">
        <v>670</v>
      </c>
      <c r="U28" s="354" t="s">
        <v>34</v>
      </c>
    </row>
    <row r="29" spans="1:22">
      <c r="U29" s="354"/>
    </row>
    <row r="30" spans="1:22">
      <c r="U30" s="354"/>
    </row>
    <row r="31" spans="1:22">
      <c r="U31" s="354"/>
    </row>
  </sheetData>
  <mergeCells count="14">
    <mergeCell ref="A2:T2"/>
    <mergeCell ref="A3:T3"/>
    <mergeCell ref="A4:T4"/>
    <mergeCell ref="U28:U31"/>
    <mergeCell ref="T9:T11"/>
    <mergeCell ref="A9:A11"/>
    <mergeCell ref="B9:B11"/>
    <mergeCell ref="C9:C11"/>
    <mergeCell ref="D9:D11"/>
    <mergeCell ref="E9:E11"/>
    <mergeCell ref="S9:S11"/>
    <mergeCell ref="F9:R9"/>
    <mergeCell ref="R10:R11"/>
    <mergeCell ref="F10:Q10"/>
  </mergeCells>
  <phoneticPr fontId="0" type="noConversion"/>
  <printOptions horizontalCentered="1"/>
  <pageMargins left="0.62992125984251968" right="0.39370078740157483" top="0.55118110236220474" bottom="0.39370078740157483" header="0.51181102362204722" footer="0.51181102362204722"/>
  <pageSetup paperSize="9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budgetplaning</dc:creator>
  <cp:keywords/>
  <dc:description/>
  <cp:lastModifiedBy>Kitti Chotipruchukul</cp:lastModifiedBy>
  <cp:revision/>
  <dcterms:created xsi:type="dcterms:W3CDTF">2004-09-20T03:20:07Z</dcterms:created>
  <dcterms:modified xsi:type="dcterms:W3CDTF">2025-05-08T05:11:09Z</dcterms:modified>
  <cp:category/>
  <cp:contentStatus/>
</cp:coreProperties>
</file>