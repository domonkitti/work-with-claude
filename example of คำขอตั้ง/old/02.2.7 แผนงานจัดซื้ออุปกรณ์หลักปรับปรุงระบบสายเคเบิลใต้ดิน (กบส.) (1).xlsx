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10529\Downloads\"/>
    </mc:Choice>
  </mc:AlternateContent>
  <xr:revisionPtr revIDLastSave="12" documentId="13_ncr:1_{809BB4E6-B66E-466E-B287-DE577B838DB4}" xr6:coauthVersionLast="47" xr6:coauthVersionMax="47" xr10:uidLastSave="{D051CD04-C344-4222-966D-286711A766F6}"/>
  <bookViews>
    <workbookView xWindow="-105" yWindow="-105" windowWidth="23250" windowHeight="12570" tabRatio="897" firstSheet="10" activeTab="8" xr2:uid="{00000000-000D-0000-FFFF-FFFF00000000}"/>
  </bookViews>
  <sheets>
    <sheet name="ปก" sheetId="18" r:id="rId1"/>
    <sheet name="003" sheetId="1" r:id="rId2"/>
    <sheet name="004-1" sheetId="4" r:id="rId3"/>
    <sheet name="004-2" sheetId="31" r:id="rId4"/>
    <sheet name="S" sheetId="39" state="hidden" r:id="rId5"/>
    <sheet name="004-3" sheetId="43" r:id="rId6"/>
    <sheet name="004-4" sheetId="34" r:id="rId7"/>
    <sheet name="004-5" sheetId="40" r:id="rId8"/>
    <sheet name="007" sheetId="5" r:id="rId9"/>
    <sheet name="009" sheetId="56" r:id="rId10"/>
    <sheet name="010-1" sheetId="9" r:id="rId11"/>
    <sheet name="010-2" sheetId="55" r:id="rId12"/>
  </sheets>
  <definedNames>
    <definedName name="_xlnm.Print_Area" localSheetId="1">'003'!$A$1:$D$31</definedName>
    <definedName name="_xlnm.Print_Area" localSheetId="2">'004-1'!$A$1:$L$31</definedName>
    <definedName name="_xlnm.Print_Area" localSheetId="3">'004-2'!$A$1:$I$37</definedName>
    <definedName name="_xlnm.Print_Area" localSheetId="6">'004-4'!$A$1:$K$31</definedName>
    <definedName name="_xlnm.Print_Area" localSheetId="7">'004-5'!$A$1:$L$50</definedName>
    <definedName name="S1_สร้าง_กฟภ._ให้เติบโตอย่างยั่งยืน">S!$C$3:$C$12</definedName>
    <definedName name="SO1_ยกระดับการบริหาร_จัดการระดับสากล_เพื่อสร้าง_ความยั่งยืน">S!$B$3:$B$12</definedName>
    <definedName name="ยุทธศาสตร์">S!$C$2:$C$12</definedName>
    <definedName name="วัตถุประสงค์เชิงยุทธศาสตร์">S!$B$2:$B$12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9" l="1"/>
  <c r="G27" i="9"/>
  <c r="P20" i="56"/>
  <c r="I26" i="5" l="1"/>
  <c r="J26" i="5"/>
  <c r="K26" i="5"/>
  <c r="L26" i="5"/>
  <c r="M12" i="5"/>
  <c r="M13" i="5"/>
  <c r="M14" i="5"/>
  <c r="M15" i="5"/>
  <c r="M16" i="5"/>
  <c r="M17" i="5"/>
  <c r="K16" i="34"/>
  <c r="K12" i="34"/>
  <c r="K13" i="34"/>
  <c r="K14" i="34"/>
  <c r="K15" i="34"/>
  <c r="K11" i="34"/>
  <c r="K23" i="34" s="1"/>
  <c r="F17" i="34"/>
  <c r="H17" i="34"/>
  <c r="I17" i="34"/>
  <c r="I23" i="34" s="1"/>
  <c r="J17" i="34"/>
  <c r="J23" i="34" s="1"/>
  <c r="G17" i="34"/>
  <c r="M26" i="5" l="1"/>
  <c r="K17" i="34"/>
  <c r="H23" i="34"/>
  <c r="C19" i="9"/>
  <c r="D19" i="9"/>
  <c r="E19" i="9"/>
  <c r="F19" i="9"/>
  <c r="G14" i="9"/>
  <c r="G13" i="9"/>
  <c r="G19" i="9" s="1"/>
  <c r="B23" i="55" l="1"/>
  <c r="B25" i="55" s="1"/>
  <c r="H14" i="5"/>
  <c r="H15" i="5"/>
  <c r="H16" i="5"/>
  <c r="H17" i="5"/>
  <c r="H13" i="5" l="1"/>
  <c r="H12" i="5"/>
  <c r="H26" i="5" s="1"/>
  <c r="R20" i="43"/>
  <c r="I24" i="43" s="1"/>
  <c r="L24" i="43" l="1"/>
  <c r="O24" i="43"/>
  <c r="F24" i="43"/>
  <c r="D25" i="9"/>
  <c r="E25" i="9"/>
  <c r="E26" i="9" s="1"/>
  <c r="F25" i="9"/>
  <c r="F26" i="9" s="1"/>
  <c r="C25" i="9"/>
  <c r="C27" i="9" s="1"/>
  <c r="G25" i="9"/>
  <c r="G23" i="34"/>
  <c r="F23" i="34" s="1"/>
  <c r="D30" i="1"/>
  <c r="R24" i="43" l="1"/>
  <c r="E27" i="9"/>
  <c r="D26" i="9"/>
  <c r="G26" i="9" s="1"/>
  <c r="AG23" i="55"/>
  <c r="AG24" i="55" s="1"/>
  <c r="AG25" i="55" s="1"/>
  <c r="AD23" i="55"/>
  <c r="AD24" i="55" s="1"/>
  <c r="AA23" i="55"/>
  <c r="X23" i="55"/>
  <c r="X24" i="55" s="1"/>
  <c r="X25" i="55" s="1"/>
  <c r="U23" i="55"/>
  <c r="R23" i="55"/>
  <c r="L23" i="55"/>
  <c r="L24" i="55" s="1"/>
  <c r="H23" i="55"/>
  <c r="H25" i="55" s="1"/>
  <c r="F23" i="55"/>
  <c r="F25" i="55" s="1"/>
  <c r="J18" i="55"/>
  <c r="J23" i="55" s="1"/>
  <c r="J25" i="55" s="1"/>
  <c r="G18" i="55"/>
  <c r="D27" i="9" l="1"/>
  <c r="K18" i="55"/>
  <c r="K23" i="55" s="1"/>
  <c r="I23" i="55"/>
  <c r="I25" i="55" s="1"/>
  <c r="L25" i="55"/>
  <c r="U24" i="55"/>
  <c r="U25" i="55" s="1"/>
  <c r="R24" i="55"/>
  <c r="R25" i="55" s="1"/>
  <c r="AA24" i="55"/>
  <c r="AA25" i="55" s="1"/>
  <c r="AD25" i="55"/>
  <c r="N18" i="55" l="1"/>
  <c r="M18" i="55"/>
  <c r="O18" i="55" s="1"/>
  <c r="O23" i="55" s="1"/>
  <c r="O24" i="55" s="1"/>
  <c r="O25" i="55" s="1"/>
  <c r="K24" i="55" l="1"/>
  <c r="K25" i="55" s="1"/>
  <c r="M23" i="55"/>
  <c r="P18" i="55"/>
  <c r="P23" i="55" s="1"/>
  <c r="N23" i="55"/>
  <c r="N24" i="55" l="1"/>
  <c r="N25" i="55" s="1"/>
  <c r="P24" i="55"/>
  <c r="P25" i="55" s="1"/>
  <c r="Q18" i="55"/>
  <c r="M24" i="55"/>
  <c r="M25" i="55" s="1"/>
  <c r="T18" i="55" l="1"/>
  <c r="S18" i="55"/>
  <c r="Q23" i="55"/>
  <c r="Q24" i="55" l="1"/>
  <c r="Q25" i="55" s="1"/>
  <c r="S23" i="55"/>
  <c r="T23" i="55"/>
  <c r="V18" i="55"/>
  <c r="V23" i="55" s="1"/>
  <c r="V24" i="55" l="1"/>
  <c r="V25" i="55" s="1"/>
  <c r="T24" i="55"/>
  <c r="T25" i="55" s="1"/>
  <c r="W18" i="55"/>
  <c r="S24" i="55"/>
  <c r="S25" i="55" s="1"/>
  <c r="Z18" i="55" l="1"/>
  <c r="W23" i="55"/>
  <c r="Y18" i="55"/>
  <c r="W24" i="55" l="1"/>
  <c r="W25" i="55" s="1"/>
  <c r="Y23" i="55"/>
  <c r="Z23" i="55"/>
  <c r="AB18" i="55"/>
  <c r="AB23" i="55" s="1"/>
  <c r="AC18" i="55" l="1"/>
  <c r="Y24" i="55"/>
  <c r="Y25" i="55" s="1"/>
  <c r="AB24" i="55"/>
  <c r="AB25" i="55" s="1"/>
  <c r="Z24" i="55"/>
  <c r="Z25" i="55" s="1"/>
  <c r="AF18" i="55" l="1"/>
  <c r="AE18" i="55"/>
  <c r="AE23" i="55" s="1"/>
  <c r="AC23" i="55"/>
  <c r="AC24" i="55" l="1"/>
  <c r="AC25" i="55" s="1"/>
  <c r="AE24" i="55"/>
  <c r="AE25" i="55" s="1"/>
  <c r="AF23" i="55"/>
  <c r="AH18" i="55"/>
  <c r="AH23" i="55" s="1"/>
  <c r="AF24" i="55" l="1"/>
  <c r="AF25" i="55" s="1"/>
  <c r="AH24" i="55"/>
  <c r="AH25" i="55" s="1"/>
</calcChain>
</file>

<file path=xl/sharedStrings.xml><?xml version="1.0" encoding="utf-8"?>
<sst xmlns="http://schemas.openxmlformats.org/spreadsheetml/2006/main" count="596" uniqueCount="421">
  <si>
    <t>แบบฟอร์มเสนอขอตั้งงบประมาณลงทุน</t>
  </si>
  <si>
    <t>เพื่อการดำเนินงานปกติ ประจำปี 2568- 2571</t>
  </si>
  <si>
    <t>แผนจัดซื้ออุปกรณ์หลักปรับปรุงระบบสายเคเบิลใต้ดิน</t>
  </si>
  <si>
    <t>แบบ งป.003</t>
  </si>
  <si>
    <t>สรุปวงเงินงบประมาณลงทุนเพื่อการดำเนินงานปกติ</t>
  </si>
  <si>
    <t>ปี 2568-2571</t>
  </si>
  <si>
    <t>หน่วยงาน กบส.</t>
  </si>
  <si>
    <t>กลุ่มโครงสร้าง  เครือข่ายและบริการ</t>
  </si>
  <si>
    <t>หน่วย : บาท</t>
  </si>
  <si>
    <t>ที่</t>
  </si>
  <si>
    <t>ชื่องาน</t>
  </si>
  <si>
    <t>วงเงินเสนอ</t>
  </si>
  <si>
    <t>ขอตั้ง</t>
  </si>
  <si>
    <t>รวม</t>
  </si>
  <si>
    <t>แบบ งป.004/1</t>
  </si>
  <si>
    <t>แบบข้อมูลพื้นฐานของงาน</t>
  </si>
  <si>
    <t>(งบลงทุนเพื่อการดำเนินงานปกติ)</t>
  </si>
  <si>
    <t>1.</t>
  </si>
  <si>
    <t>ชื่องาน/แผนงาน</t>
  </si>
  <si>
    <t>2. รายละเอียดของงาน/แผนงาน</t>
  </si>
  <si>
    <t>2.1 ผู้รับผิดชอบ</t>
  </si>
  <si>
    <r>
      <rPr>
        <b/>
        <sz val="16"/>
        <rFont val="TH SarabunPSK"/>
        <family val="2"/>
      </rPr>
      <t>แผนก :</t>
    </r>
    <r>
      <rPr>
        <u/>
        <sz val="16"/>
        <rFont val="TH SarabunPSK"/>
        <family val="2"/>
      </rPr>
      <t xml:space="preserve"> ผบค.</t>
    </r>
  </si>
  <si>
    <r>
      <rPr>
        <b/>
        <sz val="16"/>
        <rFont val="TH SarabunPSK"/>
        <family val="2"/>
      </rPr>
      <t>กอง :</t>
    </r>
    <r>
      <rPr>
        <sz val="16"/>
        <rFont val="TH SarabunPSK"/>
        <family val="2"/>
      </rPr>
      <t xml:space="preserve">  </t>
    </r>
    <r>
      <rPr>
        <u/>
        <sz val="16"/>
        <rFont val="TH SarabunPSK"/>
        <family val="2"/>
      </rPr>
      <t>บำรุงรักษาสถานีไฟฟ้า</t>
    </r>
  </si>
  <si>
    <r>
      <rPr>
        <b/>
        <sz val="16"/>
        <rFont val="TH SarabunPSK"/>
        <family val="2"/>
      </rPr>
      <t>ฝ่าย :</t>
    </r>
    <r>
      <rPr>
        <sz val="16"/>
        <rFont val="TH SarabunPSK"/>
        <family val="2"/>
      </rPr>
      <t xml:space="preserve">  </t>
    </r>
    <r>
      <rPr>
        <u/>
        <sz val="16"/>
        <rFont val="TH SarabunPSK"/>
        <family val="2"/>
      </rPr>
      <t>บำรุงรักษาสถานีไฟฟ้าและระบบไฟฟ้า</t>
    </r>
  </si>
  <si>
    <r>
      <t xml:space="preserve">2.2 ความจำเป็นในการดำเนินงาน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</si>
  <si>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 xml:space="preserve">(    ) </t>
  </si>
  <si>
    <t>มีสัญญา ข้อผูกพัน หรือมีเงื่อนไขที่ต้องดำเนินการ</t>
  </si>
  <si>
    <t>นโยบายสำคัญของรัฐบาล</t>
  </si>
  <si>
    <r>
      <t xml:space="preserve">(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 </t>
    </r>
  </si>
  <si>
    <t>นโยบายสำคัญของ กฟภ.</t>
  </si>
  <si>
    <t>อื่นๆ ..........................…………………</t>
  </si>
  <si>
    <r>
      <t xml:space="preserve">2.3 ประเภทการลงทุน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</si>
  <si>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(    ) งานก่อสร้าง ขยายเขตและปรับปรุงระบบจำหน่าย</t>
  </si>
  <si>
    <r>
      <t xml:space="preserve">(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</t>
    </r>
  </si>
  <si>
    <t>งานบำรุงรักษาด้านระบบไฟฟ้า</t>
  </si>
  <si>
    <t>(    ) งานติดตั้งระบบศูนย์สั่งการจ่ายไฟ</t>
  </si>
  <si>
    <t>งาน IT</t>
  </si>
  <si>
    <t>(    ) งานจัดหาที่ดิน อาคาร ยานพาหนะ และ</t>
  </si>
  <si>
    <t>งานพัฒนาระบบสื่อสาร</t>
  </si>
  <si>
    <t xml:space="preserve">เครื่องมือเครื่องใช้ต่างๆ </t>
  </si>
  <si>
    <t>2.4 สถานะของงาน</t>
  </si>
  <si>
    <t>(       )</t>
  </si>
  <si>
    <t>งาน/แผนงาน ต่อเนื่อง</t>
  </si>
  <si>
    <r>
      <t xml:space="preserve">( 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</t>
    </r>
  </si>
  <si>
    <t xml:space="preserve"> งาน/แผนงาน ใหม่</t>
  </si>
  <si>
    <t>2.5 ได้รับอนุมัติจาก</t>
  </si>
  <si>
    <t>ผวก. ลงนาม วันที่ .....................................................................................</t>
  </si>
  <si>
    <t>คณะกรรมการ กฟภ. วันที่  …..........................................</t>
  </si>
  <si>
    <t>คณะรัฐมนตรี วันที่ ....................................................................................</t>
  </si>
  <si>
    <r>
      <t xml:space="preserve">2.6 พื้นที่ดำเนินการ </t>
    </r>
    <r>
      <rPr>
        <u/>
        <sz val="16"/>
        <rFont val="TH SarabunPSK"/>
        <family val="2"/>
      </rPr>
      <t>กฟน., กฟฉ., กฟก., กฟต.</t>
    </r>
  </si>
  <si>
    <t>2.7 ระยะเวลาดำเนินการ 4 ปี (ปี 2568 - 2571)</t>
  </si>
  <si>
    <r>
      <t>2.8 วงเงินลงทุนทั้งสิ้น ของงาน/แผนงาน</t>
    </r>
    <r>
      <rPr>
        <sz val="16"/>
        <rFont val="TH SarabunPSK"/>
        <family val="2"/>
      </rPr>
      <t xml:space="preserve"> </t>
    </r>
  </si>
  <si>
    <t>บาท</t>
  </si>
  <si>
    <t>2.9 วงเงินลงทุนปี ….. ของงาน/แผนงาน</t>
  </si>
  <si>
    <t>-</t>
  </si>
  <si>
    <t>2.10 เป้าหมายการเบิกจ่ายงบลงทุนปี …..</t>
  </si>
  <si>
    <r>
      <t xml:space="preserve">2.11 วงเงิน </t>
    </r>
    <r>
      <rPr>
        <b/>
        <u/>
        <sz val="16"/>
        <rFont val="TH SarabunPSK"/>
        <family val="2"/>
      </rPr>
      <t>งบทำการ</t>
    </r>
    <r>
      <rPr>
        <b/>
        <sz val="16"/>
        <rFont val="TH SarabunPSK"/>
        <family val="2"/>
      </rPr>
      <t xml:space="preserve"> ที่ขอตั้งปี …..</t>
    </r>
    <r>
      <rPr>
        <b/>
        <sz val="14"/>
        <rFont val="TH SarabunPSK"/>
        <family val="2"/>
      </rPr>
      <t xml:space="preserve"> (ถ้ามี)</t>
    </r>
    <r>
      <rPr>
        <b/>
        <sz val="16"/>
        <rFont val="TH SarabunPSK"/>
        <family val="2"/>
      </rPr>
      <t xml:space="preserve"> </t>
    </r>
  </si>
  <si>
    <t>3.  วัตถุประสงค์ของงาน/แผนงาน</t>
  </si>
  <si>
    <t xml:space="preserve">เพื่อปรับปรุงระบบสายเคเบิล 115kV ที่เสื่อมสภาพ มีความพร้อมให้บริการ </t>
  </si>
  <si>
    <t>จำหน่ายกระแสไฟฟ้าอย่างต่อเนื่อง ลดผลกระทบจากการระเบิดชำรุด</t>
  </si>
  <si>
    <t>...................................................................................................................................................................................................</t>
  </si>
  <si>
    <t>แบบ งป.004/2</t>
  </si>
  <si>
    <t>4. ผลประโยชน์ที่คาดว่าจะได้รับ</t>
  </si>
  <si>
    <t>4.1 ผลประโยชน์ที่คาดว่าจะได้รับหลังเสร็จสิ้นงาน/แผนงาน</t>
  </si>
  <si>
    <t xml:space="preserve"> - ผลผลิต(Output)</t>
  </si>
  <si>
    <t>มีการปรับปรุงระบบสายเคเบิลใต้ดิน 115kV ของสถานีไฟฟ้าที่เสื่อมสภาพ</t>
  </si>
  <si>
    <r>
      <t xml:space="preserve"> - ผลลัพธ์</t>
    </r>
    <r>
      <rPr>
        <b/>
        <sz val="12"/>
        <rFont val="TH SarabunPSK"/>
        <family val="2"/>
      </rPr>
      <t>(Outcome)</t>
    </r>
    <r>
      <rPr>
        <sz val="12"/>
        <rFont val="TH SarabunPSK"/>
        <family val="2"/>
      </rPr>
      <t xml:space="preserve"> </t>
    </r>
  </si>
  <si>
    <t>ป้องกันความเสียหายอันเนื่องมาจากการระเบิดชำรุดของสายเคเบิล 115kV ในสถานีไฟฟ้า</t>
  </si>
  <si>
    <r>
      <t xml:space="preserve"> - ผลผลิต(Output) </t>
    </r>
    <r>
      <rPr>
        <sz val="16"/>
        <rFont val="TH SarabunPSK"/>
        <family val="2"/>
      </rPr>
      <t>...</t>
    </r>
  </si>
  <si>
    <t>กฟภ. สามารถปรับปรุงระบบสายเคเบิล 115 kV ของสถานีไฟฟ้าที่เสื่อมสถาพ</t>
  </si>
  <si>
    <t>ให้พร้อมมีความใช้งานอย่างมีประสิทธิภาพ</t>
  </si>
  <si>
    <r>
      <t xml:space="preserve"> - ผลลัพธ์</t>
    </r>
    <r>
      <rPr>
        <b/>
        <sz val="12"/>
        <rFont val="TH SarabunPSK"/>
        <family val="2"/>
      </rPr>
      <t>(Outcome)</t>
    </r>
  </si>
  <si>
    <t>กฟภ. สามารถส่งผ่านพลังงานจากสถานีไฟฟ้าที่ดำเนินการได้อย่างต่อเนื่อง</t>
  </si>
  <si>
    <t>5. การวิเคราะห์ผลกระทบทางธุรกิจ</t>
  </si>
  <si>
    <t>5.1 ผลกระทบต่อองค์กร</t>
  </si>
  <si>
    <t>เพิ่มความน่าเชื่อถือและภาพลักษณ์ด้านความมั่นคงของระบบไฟฟ้าของลูกค้าที่มีต่อ กฟภ.</t>
  </si>
  <si>
    <t>5.2 ผลกระทบต่อชุมชน สังคม และสิ่งแวดล้อม</t>
  </si>
  <si>
    <t>ลูกค้าของ กฟภ. มีพลังงานไฟฟ้าใช้ได้อย่างต่อเนื่อง ไม่เกิดเหตุไปดับเป็นเวลานานจากสถานีไฟฟ้า</t>
  </si>
  <si>
    <t>6. ผลกระทบจากการไม่ได้รับพิจารณาให้ตั้งงบประมาณ</t>
  </si>
  <si>
    <t>ความมั่นคงในการจ่ายไฟของสถานีไฟฟ้าลดลง เนื่องมาจากอุปกรณ์ที่เสื่อมสภาพ</t>
  </si>
  <si>
    <t>7. ปัญหา อุปสรรค และแนวทางในการแก้ไขปัญหา อุปสรรค</t>
  </si>
  <si>
    <t>การขาดแคลนงบประมาณในการดำเนินการ แก้ปัญหาโดยการบำรุงรักษาเชิงประคับประคอง</t>
  </si>
  <si>
    <t>โยกย้ายสับเปลี่ยนจนกว่าจะได้ดำเนินการปรับปรุงสภาพ</t>
  </si>
  <si>
    <t>8. รายงานความก้าวหน้าของแผนจัดซื้อ/จัดจ้างตามแผนงานปกติ แบบ งป.009</t>
  </si>
  <si>
    <t>9. แผนการลงทุนรายปี ในกรณีที่ทำมากกว่า 1 ปี ตาม งป.010/1</t>
  </si>
  <si>
    <t>และแผนการจ่ายเงินตามงบผูกพัน(กรณีแผนระยะยาว/งานต่อเนื่อง) ตาม งป.010/2</t>
  </si>
  <si>
    <t>10. เป้าหมายการเบิกจ่ายรายเดือน แยกรายภาคและสำนักงานใหญ่ ตาม งป.010/3</t>
  </si>
  <si>
    <t>11. ประมาณการวัสดุอุปกรณ์นำเข้าจากต่างประเทศ ตามแบบ งป.011</t>
  </si>
  <si>
    <t>12.</t>
  </si>
  <si>
    <t>การวิเคราะห์ประโยชน์และความคุ้มค่างาน/แผนงาน</t>
  </si>
  <si>
    <t xml:space="preserve"> -</t>
  </si>
  <si>
    <t>ประมาณการผลตอบแทนงาน/แผนงาน</t>
  </si>
  <si>
    <t xml:space="preserve">    ระยะเวลาคืนทุน (Payback Period)</t>
  </si>
  <si>
    <t>...................................</t>
  </si>
  <si>
    <t xml:space="preserve">   ปี</t>
  </si>
  <si>
    <t xml:space="preserve">    อัตราผลตอบแทนเฉลี่ยรายปี (IRR) </t>
  </si>
  <si>
    <t xml:space="preserve">   %</t>
  </si>
  <si>
    <t xml:space="preserve">    มูลค่าปัจจุบันสุทธิ (NPV) </t>
  </si>
  <si>
    <t xml:space="preserve">   ล้านบาท</t>
  </si>
  <si>
    <t xml:space="preserve">    อัตราผลตอบแทนเฉลี่ยด้านการเงิน (FIRR) </t>
  </si>
  <si>
    <t xml:space="preserve">    อัตราผลตอบแทนเฉลี่ยด้านเศรษฐศาสตร์ (EIRR) </t>
  </si>
  <si>
    <t>วัตถุประสงค์เชิงยุทธศาสตร์</t>
  </si>
  <si>
    <t>ยุทธศาสตร์</t>
  </si>
  <si>
    <t>กลยุทธ์</t>
  </si>
  <si>
    <t>BSC</t>
  </si>
  <si>
    <t>SO1 ยกระดับการบริหารจัดการระดับสากลเพื่อสร้างความยั่งยืน</t>
  </si>
  <si>
    <t>S1 สร้าง กฟภ. ให้เติบโตอย่างยั่งยืน</t>
  </si>
  <si>
    <t>เป้าหมายองค์กร (Financial Goal)</t>
  </si>
  <si>
    <t>SO2 ระบบจําหน่ายที่มีประสิทธิภาพและสร้างความน่าเชื่อถือ
ต่อลูกค้า และทุกกลุ่มผู้มีส่วนได้ส่วนเสีย</t>
  </si>
  <si>
    <t>S2 ยกระดับการบริหารทุนมนุษย์</t>
  </si>
  <si>
    <t>ลูกค้า (Customer Goal)</t>
  </si>
  <si>
    <t>SO3 เสริมสร้างศักยภาพด้าน Digital Utility และ มุ่งสู่การเป็นผู้นํา
ระบบไฟฟ้าในอนาคตระดับภูมิภาค</t>
  </si>
  <si>
    <t>S3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 อย่างมีประสิทธิภาพ (Digital Transformation)</t>
  </si>
  <si>
    <t>กระบวนการภายใน (Internal Process Goal)</t>
  </si>
  <si>
    <t>SO4 ยกระดับผลประกอบการและทิศทางของ PEA Portfolio</t>
  </si>
  <si>
    <t>S4 การพัฒนาระบบจัดการนวัตกรรมองค์กร (Corporate Innovation System :CIS)</t>
  </si>
  <si>
    <t>การเรียนรู้และพัฒนา (Learning &amp; Growth)</t>
  </si>
  <si>
    <t>S5 พัฒนาระบบจําหน่ายที่ได้คุณภาพในระดับชั้นนําของภูมิภาค</t>
  </si>
  <si>
    <t>S6 ยกระดับความพึงพอใจและความผูกพันของลูกค้าและกลุ่มผู้มี ส่วนได้ส่วนเสีย</t>
  </si>
  <si>
    <t>S7 ยกระดับ Grid Modernization Roadmap &amp; Implementation</t>
  </si>
  <si>
    <t>S8 ส่งเสริมบทบาท กฟภ. ในการผลักดันบทบาทเพื่อรองรับนโยบาย การเปิดไฟฟ้าเสรี</t>
  </si>
  <si>
    <t>S9 การกําหนดทิศทางเชิงยุทธศาสตร์ระหว่าง กฟภ. และบริษัทในเครือ</t>
  </si>
  <si>
    <t>S10 การดําเนินงานตามแผนสําหรับธุรกิจเกี่ยวเนื่อง และการบริหาร Product Portfolio</t>
  </si>
  <si>
    <t>S11 การปรับปรุงกฎระเบียบที่เกี่ยวข้องให้มีความคล่องตัว และ สามารถแข่งขันได้</t>
  </si>
  <si>
    <t>OC1 วิเคราะห GAP และแนวทางการผลักดันองคกรสูความยั่งยืน</t>
  </si>
  <si>
    <t>OC2 สนับสนุนการใชพลังงานอยางมีประสิทธิภาพ</t>
  </si>
  <si>
    <t>HCM1 สงเสริมการบริหารทุนมนุษยโดยใชเทคโนโลยีดิจิทัลในการพัฒนาระบบงานดาน HCM</t>
  </si>
  <si>
    <t>HCM2 พัฒนาระบบการเรียนรูและพัฒนาในการเสริมสรางและยกระดับสมรรถนะของบุคลากร</t>
  </si>
  <si>
    <t>DT1 พัฒนาขีดความสามารถดานเทคโนโลยีดิจิทัล เพื่อสะทอนถึงประสิทธิภาพของการบริหารคาใชจายและประสิทธิภาพของกระบวนการดําเนินงาน</t>
  </si>
  <si>
    <t>DT2 พัฒนาขีดความสามารถดาน Cyber Security และการบริหารจัดการเทคโนโลยีดิจิทัลสูมาตรฐานสากล</t>
  </si>
  <si>
    <t>CIS1 พัฒนาโครงสรางและกระบวนการดานนวัตกรรม</t>
  </si>
  <si>
    <t>OM1 การเพิ่มประสิทธิภาพและความนาเชื่อถือของระบบจําหนายอยางตอเนื่อง</t>
  </si>
  <si>
    <t>OM2 ยกระดับคุณภาพระบบจําหนายไฟฟาแรงต่ำรองรับการเปลี่ยนแปลงของอุตสาหกรรมไฟฟา</t>
  </si>
  <si>
    <t>SCM1 มุงตอบสนองความตองการความคาดหวังและความกังวลผูมีสวนไดสวนเสีย</t>
  </si>
  <si>
    <t>SCM2 การสรางประสบการณที่ดีของการ ใหบริการแบบ New Normal (Digital Customer Experience)</t>
  </si>
  <si>
    <t>SCM3 การรักษาฐานลูกคารายสําคัญ (Key Account)</t>
  </si>
  <si>
    <t>GM1 การเสริมสรางศักยภาพของระบบจําหนายโดย Smart Grid และระบบที่รองรับธุรกิจในอนาคต</t>
  </si>
  <si>
    <t>GM2 การผลักดันความสําเร็จของการรองรับการเปดไฟฟาเสรี</t>
  </si>
  <si>
    <t>NM1 การกําหนดนโยบายและกําหนดทิศทางการดําเนินงานของบริษัทในเครือรวมถึงการวิเคราะหถึง Business Alignment</t>
  </si>
  <si>
    <t>NM2 การดําเนินงานตามแผน PEA Portfolio Management</t>
  </si>
  <si>
    <t>NM3 ยกระดับผลประกอบการขององคกร และการจัดทําบัญชีตนทุนระหวาง Regulated Business และ Nonregulated Business รวมถึงการทำบัญชีต้นทุนรายกิจกรรม (ABC Costing)</t>
  </si>
  <si>
    <t>NM4 มุงเนนการสรางมูลคาเพิ่มจากฐานขอมูลผูใช้ไฟ</t>
  </si>
  <si>
    <t>RS1 ทบทวนกฎหมายระเบียบ ขอบังคับ เพื่อรองรับการดําเนินงานในธุรกิจเกี่ยวเนื่อง รวมถึงกํากับการดําเนินงานของบริษัทในเครือ เพื่อใหเกิด Synergy</t>
  </si>
  <si>
    <t>S1 ยกระดับการบริหารองค์กรและทุนมนุษย์</t>
  </si>
  <si>
    <t>S2 ส่งเสริมและพัฒนาขีดความสามารถด้วย
เทคโนโลยีดิจิทัล (Digital Technology)
ที่มีความมั่นคงปลอดภัย เพื่อการขับเคลื่อน
องค์กรอย่างมีประสิทธิภาพ
(Digital Transformation)</t>
  </si>
  <si>
    <t>S3 พัฒนาระบบจัดการนวัตกรรมองค์กร
(Corporate Innovation System :CIS)</t>
  </si>
  <si>
    <t>S4 พัฒนาระบบจำหน่ายที่ได้คุณภาพใน
ระดับชั้นนำของภูมิภาค ตาม Grid
Modernization Roadmap</t>
  </si>
  <si>
    <t>S5 ยกระดับความพึงพอใจและความผูกพัน
ของลูกค้าและกลุ่มผู้มีส่วนได้ส่วนเสีย</t>
  </si>
  <si>
    <t>S6 กำหนดทิศทางเชิงยุทธศาสตร์ ระหว่าง กฟภ.
และบริษัทในเครือ</t>
  </si>
  <si>
    <t>S7 ดำเนินงานตามแผนสำหรับธุรกิจเกี่ยวเนื่อง และ
การบริหารกลุ่มผลิตภัณฑ์(Product Portfolio)</t>
  </si>
  <si>
    <t>S8 ปรับปรุงกฎระเบียบที่เกี่ยวข้องให้มี
ความคล่องตัว และสามารถแข่งขันได้</t>
  </si>
  <si>
    <t>S9 ส่งเสริมบทบาท กฟภ. ในการขับเคลื่อนนโยบาย
การเปิดเสรีกิจการไฟฟ้า</t>
  </si>
  <si>
    <t>S10 เติบโตอย่างยั่งยืน เพิ่ม Eco-efficiency</t>
  </si>
  <si>
    <t xml:space="preserve">S11 เพิ่มสัดส่วนไฟฟ้าจาก Renewable
Energy </t>
  </si>
  <si>
    <t>แบบ งป.004/3</t>
  </si>
  <si>
    <t>13.  เหตุผลและความจำเป็นของงาน/แผนงาน</t>
  </si>
  <si>
    <r>
      <t xml:space="preserve">13.1 การสนับสนุนต่อยุทธศาสตร์  และวัตถุประสงค์เชิงยุทธศาสตร์ (เลือกได้มากกว่า 1 ยุทธศาสตร์)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</si>
  <si>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SO1</t>
  </si>
  <si>
    <t>SO2</t>
  </si>
  <si>
    <t>SO3</t>
  </si>
  <si>
    <t>SO4</t>
  </si>
  <si>
    <t>ยกระดับการบริหารจัดการระดับสากลด้วย
ดิจิทัลและนวัตกรรมโดยมีทุนมนุษย์เป็น
แกนขับเคลื่อนสำคัญ</t>
  </si>
  <si>
    <t>พัฒนาระบบจำหน่ายที่มีประสิทธิภาพเชื่อถือได้และยกระดับสู่โครงข่ายอัจฉริยะ (Smart Grid) เพื่อเป็นผู้นำระบบไฟฟ้า ตอบสนองความพึงพอใจแก่ลูกค้าและผู้มีส่วนได้ส่วนเสีย</t>
  </si>
  <si>
    <t>ยกระดับผลประกอบการต่อยอดสู่ธุรกิจใหม่ 
มุ่งสู่การเปิดเสรีกิจการไฟฟ้า</t>
  </si>
  <si>
    <t>เป็นองค์กรไฟฟ้าชั้นนำตอบโจทย์
ความท้าทายของประเทศเพื่อความยั่งยืน
ของสังคมและสิ่งแวดล้อม</t>
  </si>
  <si>
    <t>(   )</t>
  </si>
  <si>
    <r>
      <rPr>
        <b/>
        <sz val="16"/>
        <rFont val="TH SarabunPSK"/>
        <family val="2"/>
      </rPr>
      <t>S1</t>
    </r>
    <r>
      <rPr>
        <sz val="16"/>
        <rFont val="TH SarabunPSK"/>
        <family val="2"/>
      </rPr>
      <t xml:space="preserve"> ยกระดับการบริหารองค์กรและทุนมนุษย์</t>
    </r>
  </si>
  <si>
    <t>.......%</t>
  </si>
  <si>
    <r>
      <t>(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>)</t>
    </r>
  </si>
  <si>
    <r>
      <rPr>
        <b/>
        <sz val="16"/>
        <rFont val="TH SarabunPSK"/>
        <family val="2"/>
      </rPr>
      <t xml:space="preserve">S4 </t>
    </r>
    <r>
      <rPr>
        <sz val="16"/>
        <rFont val="TH SarabunPSK"/>
        <family val="2"/>
      </rPr>
      <t>พัฒนาระบบจำหน่ายที่ได้คุณภาพในระดับชั้นนำของภูมิภาค ตาม Grid Modernization Roadmap</t>
    </r>
  </si>
  <si>
    <r>
      <rPr>
        <b/>
        <sz val="16"/>
        <rFont val="TH SarabunPSK"/>
        <family val="2"/>
      </rPr>
      <t>S6</t>
    </r>
    <r>
      <rPr>
        <sz val="16"/>
        <rFont val="TH SarabunPSK"/>
        <family val="2"/>
      </rPr>
      <t xml:space="preserve"> กำหนดทิศทางเชิงยุทธศาสตร์ ระหว่าง กฟภ.และบริษัทในเครือ</t>
    </r>
  </si>
  <si>
    <r>
      <rPr>
        <b/>
        <sz val="16"/>
        <rFont val="TH SarabunPSK"/>
        <family val="2"/>
      </rPr>
      <t>S10</t>
    </r>
    <r>
      <rPr>
        <sz val="16"/>
        <rFont val="TH SarabunPSK"/>
        <family val="2"/>
      </rPr>
      <t xml:space="preserve"> เติบโตอย่างยั่งยืน เพิ่ม Eco-efficiency</t>
    </r>
  </si>
  <si>
    <t>( )</t>
  </si>
  <si>
    <r>
      <rPr>
        <b/>
        <sz val="16"/>
        <rFont val="TH SarabunPSK"/>
        <family val="2"/>
      </rPr>
      <t>S2</t>
    </r>
    <r>
      <rPr>
        <sz val="16"/>
        <rFont val="TH SarabunPSK"/>
        <family val="2"/>
      </rPr>
      <t xml:space="preserve">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เพื่อการขับเคลื่อนองค์กรอย่างมีประสิทธิภาพ (Digital Transformation)</t>
    </r>
  </si>
  <si>
    <r>
      <rPr>
        <b/>
        <sz val="16"/>
        <rFont val="TH SarabunPSK"/>
        <family val="2"/>
      </rPr>
      <t>S5</t>
    </r>
    <r>
      <rPr>
        <sz val="16"/>
        <rFont val="TH SarabunPSK"/>
        <family val="2"/>
      </rPr>
      <t xml:space="preserve"> ยกระดับความพึงพอใจและความผูกพันของลูกค้าและกลุ่มผู้มีส่วนได้ส่วนเสีย</t>
    </r>
  </si>
  <si>
    <r>
      <rPr>
        <b/>
        <sz val="16"/>
        <rFont val="TH SarabunPSK"/>
        <family val="2"/>
      </rPr>
      <t>S7</t>
    </r>
    <r>
      <rPr>
        <sz val="16"/>
        <rFont val="TH SarabunPSK"/>
        <family val="2"/>
      </rPr>
      <t xml:space="preserve"> ดำเนินงานตามแผนสำหรับธุรกิจเกี่ยวเนื่อง และการบริหารกลุ่มผลิตภัณฑ์ (Product Portfolio)</t>
    </r>
  </si>
  <si>
    <r>
      <rPr>
        <b/>
        <sz val="16"/>
        <rFont val="TH SarabunPSK"/>
        <family val="2"/>
      </rPr>
      <t>S11</t>
    </r>
    <r>
      <rPr>
        <sz val="16"/>
        <rFont val="TH SarabunPSK"/>
        <family val="2"/>
      </rPr>
      <t xml:space="preserve"> เพิ่มสัดส่วนไฟฟ้าจาก Renewable Energy </t>
    </r>
  </si>
  <si>
    <r>
      <rPr>
        <b/>
        <sz val="16"/>
        <rFont val="TH SarabunPSK"/>
        <family val="2"/>
      </rPr>
      <t>S3</t>
    </r>
    <r>
      <rPr>
        <sz val="16"/>
        <rFont val="TH SarabunPSK"/>
        <family val="2"/>
      </rPr>
      <t xml:space="preserve"> พัฒนาระบบจัดการนวัตกรรมองค์กร (Corporate Innovation System :CIS)</t>
    </r>
  </si>
  <si>
    <r>
      <rPr>
        <b/>
        <sz val="16"/>
        <rFont val="TH SarabunPSK"/>
        <family val="2"/>
      </rPr>
      <t>S8</t>
    </r>
    <r>
      <rPr>
        <sz val="16"/>
        <rFont val="TH SarabunPSK"/>
        <family val="2"/>
      </rPr>
      <t xml:space="preserve"> ปรับปรุงกฎระเบียบที่เกี่ยวข้องให้มีความคล่องตัว และสามารถแข่งขันได้</t>
    </r>
  </si>
  <si>
    <r>
      <rPr>
        <b/>
        <sz val="16"/>
        <rFont val="TH SarabunPSK"/>
        <family val="2"/>
      </rPr>
      <t>S9</t>
    </r>
    <r>
      <rPr>
        <sz val="16"/>
        <rFont val="TH SarabunPSK"/>
        <family val="2"/>
      </rPr>
      <t xml:space="preserve"> ส่งเสริมบทบาท กฟภ. ในการขับเคลื่อนนโยบาย
การเปิดเสรีกิจการไฟฟ้า</t>
    </r>
  </si>
  <si>
    <r>
      <rPr>
        <b/>
        <sz val="16"/>
        <rFont val="TH SarabunPSK"/>
        <family val="2"/>
      </rPr>
      <t>หมายเหตุ</t>
    </r>
    <r>
      <rPr>
        <sz val="16"/>
        <rFont val="TH SarabunPSK"/>
        <family val="2"/>
      </rPr>
      <t xml:space="preserve"> : ทุกยุทธศาสตร์รวมกัน = 100%</t>
    </r>
  </si>
  <si>
    <t xml:space="preserve">13.2 การสนับสนุนต่อมุมมองตาม Balanced Scorecard </t>
  </si>
  <si>
    <t>มุมมอง :</t>
  </si>
  <si>
    <t>ตัวชี้วัดและเป้าหมาย :</t>
  </si>
  <si>
    <t>ลดความเสี่ยงในการเกิดไฟฟ้าดับเป็นเวลานาน ค่า SAIDI</t>
  </si>
  <si>
    <t>14. แนวทางในการดำเนินงานของงาน/แผนงาน</t>
  </si>
  <si>
    <t>14.1 แผนการดำเนินงาน</t>
  </si>
  <si>
    <t>กิจกรรมหลัก</t>
  </si>
  <si>
    <t>หน่วยนับ</t>
  </si>
  <si>
    <t>ระยะเวลาดำเนินการ</t>
  </si>
  <si>
    <t>ปีงบประมาณ</t>
  </si>
  <si>
    <t>ปี 69</t>
  </si>
  <si>
    <t>ปี 70</t>
  </si>
  <si>
    <t>ปี 71- สิ้นสุดแผนงาน</t>
  </si>
  <si>
    <t>เริ่มต้น - ปี 68</t>
  </si>
  <si>
    <t>แผนปรับปรุงระบบสายเคเบิลใต้ดิน</t>
  </si>
  <si>
    <t>ร้อยละของงาน</t>
  </si>
  <si>
    <t>(  /  ) ดำเนินการเอง 96.25 %</t>
  </si>
  <si>
    <t>(  /  ) จ้างเหมา 3.75 %</t>
  </si>
  <si>
    <t>(     ) จ้างเหมาแบบ Turnkey</t>
  </si>
  <si>
    <t>แบบ งป.004/4</t>
  </si>
  <si>
    <t>14.2 งบประมาณลงทุนเพื่อการดำเนินงานปกติ ที่ขอตั้งประจำปี 2568</t>
  </si>
  <si>
    <t>รายการ</t>
  </si>
  <si>
    <t>วงเงินดำเนินการ</t>
  </si>
  <si>
    <t>เป้าหมายการเบิกจ่าย(รายปี)</t>
  </si>
  <si>
    <t>ปี 2568</t>
  </si>
  <si>
    <t>เป้าหมายการเบิกจ่าย</t>
  </si>
  <si>
    <t>1. หมวดที่ดิน (งป.005)</t>
  </si>
  <si>
    <t>ใช้เฉพาะการตั้งงบฯ ตามแผนสนับสนุนการดำเนินงาน</t>
  </si>
  <si>
    <t>2. หมวดสิ่งก่อสร้าง</t>
  </si>
  <si>
    <t xml:space="preserve">   งานโยธา (งป.006)</t>
  </si>
  <si>
    <t xml:space="preserve">   งานระบบไฟฟ้า</t>
  </si>
  <si>
    <t xml:space="preserve"> - ค่าวัสดุอุปกรณ์ (งป.007)</t>
  </si>
  <si>
    <t xml:space="preserve"> - ค่าแรงงาน</t>
  </si>
  <si>
    <t xml:space="preserve"> - ค่าขนส่ง</t>
  </si>
  <si>
    <t xml:space="preserve"> - ค่าสำรวจออกแบบและควบคุมงาน</t>
  </si>
  <si>
    <t xml:space="preserve"> - ค่าเบ็ดเตล็ด</t>
  </si>
  <si>
    <t xml:space="preserve"> - อื่น ๆ (ค่ารื้อถอน)</t>
  </si>
  <si>
    <t>รวมงานระบบไฟฟ้า</t>
  </si>
  <si>
    <t>3. หมวดเครื่องจักรอุปกรณ์ (งป.008)</t>
  </si>
  <si>
    <t>4. หมวดยานพาหนะ (งป.008)</t>
  </si>
  <si>
    <t>5. หมวดเครื่องมือ เครื่องใช้ขนาดเล็ก (งป.008)</t>
  </si>
  <si>
    <t>6. หมวดวิจัยและพัฒนา (งป.008)</t>
  </si>
  <si>
    <t>7. หมวดอื่น ๆ (งป.008)</t>
  </si>
  <si>
    <t>รวมทั้งสิ้น</t>
  </si>
  <si>
    <t>15. การประเมินระดับความเสี่ยงโดยระบุประเด็นความเสี่ยงและมิติความเสี่ยง(ที่มีความสอดคล้อง) และประเมินระดับความเสี่ยงของงาน/แผนงาน</t>
  </si>
  <si>
    <t xml:space="preserve">     15.1 การประเมินประสิทธิผลการควบคุมที่มีอยู่ของงาน/แผนงาน</t>
  </si>
  <si>
    <t>งาน/แผนงาน
(ปัจจัยเสี่ยง)</t>
  </si>
  <si>
    <t>ประเภทของปัจจัยเสี่ยง
S / O / F / C</t>
  </si>
  <si>
    <t>ประสิทธิผลการควบคุมที่มีอยู่</t>
  </si>
  <si>
    <t>ผลสรุป 
(เพียงพอ/ไม่เพียงพอ)</t>
  </si>
  <si>
    <t xml:space="preserve">ผลการดำเนินงานเมื่อเทียบกับเป้าหมาย </t>
  </si>
  <si>
    <t xml:space="preserve">กระบวนการควบคุม </t>
  </si>
  <si>
    <t xml:space="preserve">การติดตาม </t>
  </si>
  <si>
    <t>ความล่าช้าจากการจัดหา</t>
  </si>
  <si>
    <t>O</t>
  </si>
  <si>
    <t>เพียงพอ</t>
  </si>
  <si>
    <t>หมายเหตุ : 1) หากปัจจัยเสี่ยงที่ระบุได้เป็นเรื่องใหม่และยังไม่เคยดำเนินการมาก่อน ให้ประเมินคะแนนประสิทธิผลการควบคุมที่มีอยู่ เท่ากับ 1 คะแนน</t>
  </si>
  <si>
    <r>
      <t xml:space="preserve"> 2) ผลการประเมินประสิทธิผลการควบคุมที่มีอยู่ ด้านใดด้านหนึ่ง มีคะแนน 1 คะแนน ให้ถือว่าประสิทธิผลการควบคุมที่มีอยู่</t>
    </r>
    <r>
      <rPr>
        <b/>
        <u/>
        <sz val="12"/>
        <rFont val="TH SarabunPSK"/>
        <family val="2"/>
      </rPr>
      <t>ไม่เพียงพอ</t>
    </r>
    <r>
      <rPr>
        <sz val="12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</si>
  <si>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r>
      <t xml:space="preserve"> 3) ผลการประเมินประสิทธิผลการควบคุมที่มีอยู่ ในทุกด้านมีคะแนนตั้งแต่ 2 คะแนนขึ้นไป แต่</t>
    </r>
    <r>
      <rPr>
        <b/>
        <u/>
        <sz val="12"/>
        <rFont val="TH SarabunPSK"/>
        <family val="2"/>
      </rPr>
      <t>ผู้บริหารให้ความสำคัญ</t>
    </r>
    <r>
      <rPr>
        <sz val="12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</si>
  <si>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t>คะแนน</t>
  </si>
  <si>
    <t>ผลการดำเนินงานเมื่อเทียบกับเป้าหมาย</t>
  </si>
  <si>
    <t>กระบวนการควบคุม</t>
  </si>
  <si>
    <t>การติดตาม</t>
  </si>
  <si>
    <t>ผลการดำเนินงานไม่เป็นไปตามเป้าหมาย</t>
  </si>
  <si>
    <t>ไม่มีกระบวนการหรือกิจกรรมควบคุม</t>
  </si>
  <si>
    <t>ไม่มีการติดตาม/รายงานผลการดำเนินงาน</t>
  </si>
  <si>
    <t>ผลการดำเนินงานเป็นไปตามเป้าหมาย</t>
  </si>
  <si>
    <t>มีกระบวนการหรือกิจกรรมควบคุม</t>
  </si>
  <si>
    <t>มีการติดตาม/รายงานผลการดำเนินงานอย่างน้อยไตรมาสละ 1 ครั้ง</t>
  </si>
  <si>
    <t>ผลการดำเนินงานดีกว่าเป้าหมาย</t>
  </si>
  <si>
    <t>มีกระบวนการหรือกิจกรรมควบคุมและได้จัดทำเป็นคู่มือการปฏิบัติงานที่ชัดเจน</t>
  </si>
  <si>
    <t>มีการติดตาม/รายงานผลการดำเนินงานเป็นประจำทุกเดือน</t>
  </si>
  <si>
    <t xml:space="preserve">     15.2 การประเมินระดับความรุนแรงของโครงการ (ปัจจัยเสี่ยง)</t>
  </si>
  <si>
    <t>ประเด็นความเสี่ยงของงาน/แผนงาน
(สาเหตุ)</t>
  </si>
  <si>
    <t>ระดับความรุนแรง</t>
  </si>
  <si>
    <t>แนวทางในการจัดการความเสี่ยง</t>
  </si>
  <si>
    <t>คาดการณ์ระดับความรุนแรง</t>
  </si>
  <si>
    <t>เป้าหมาย</t>
  </si>
  <si>
    <t>คาดการณ์
ผลการดำเนินงาน
ค่า KRI 
(ณ สิ้นปี 2566)</t>
  </si>
  <si>
    <r>
      <t>ก่อน</t>
    </r>
    <r>
      <rPr>
        <b/>
        <sz val="14"/>
        <rFont val="TH SarabunPSK"/>
        <family val="2"/>
      </rPr>
      <t>การบริหารความเสี่ยง (ต้นปี 2566)</t>
    </r>
  </si>
  <si>
    <r>
      <t>หลัง</t>
    </r>
    <r>
      <rPr>
        <b/>
        <sz val="14"/>
        <rFont val="TH SarabunPSK"/>
        <family val="2"/>
      </rPr>
      <t>การบริหารความเสี่ยง (ณ สิ้นปี 2566)</t>
    </r>
  </si>
  <si>
    <t>(งาน/แผนงาน)</t>
  </si>
  <si>
    <t>โอกาส</t>
  </si>
  <si>
    <t>ผลกระทบ</t>
  </si>
  <si>
    <t>ระดับความเสี่ยง</t>
  </si>
  <si>
    <t xml:space="preserve">ระดับความเสี่ยง </t>
  </si>
  <si>
    <t>ดัชนีชี้วัดความเสี่ยง</t>
  </si>
  <si>
    <t>ค่าเป้าหมาย</t>
  </si>
  <si>
    <t>ค่าเบี่ยงเบนที่ยอมรับได้</t>
  </si>
  <si>
    <t>Likelihood (L)</t>
  </si>
  <si>
    <t>Impact (I)</t>
  </si>
  <si>
    <t>(LxI)</t>
  </si>
  <si>
    <t>(KRI)</t>
  </si>
  <si>
    <t>(RA)</t>
  </si>
  <si>
    <t>(RT)</t>
  </si>
  <si>
    <t>1) การปรับราคาวัสดุขึ้นตามสภาพเศรษฐกิจ</t>
  </si>
  <si>
    <t>กำหนด TOR ให้สามารถดำเนินการได้ภายในวงเงินงบประมาณ</t>
  </si>
  <si>
    <t>ร้อยละความสำเร็จของงาน</t>
  </si>
  <si>
    <t>2)</t>
  </si>
  <si>
    <t>3)</t>
  </si>
  <si>
    <t>หมายเหตุ : *1) ให้อธิบายผลการดำเนินงาน</t>
  </si>
  <si>
    <t xml:space="preserve">                2) หากผลการดำเนินงานไม่เป็นไปตามเป้าหมาย ให้ระบุปัญหา/อุปสรรค และแนวทางแก้ไขด้วย</t>
  </si>
  <si>
    <t>แบบ งป.004/5</t>
  </si>
  <si>
    <t>ตารางโอกาสเกิด/ผลกระทบ</t>
  </si>
  <si>
    <t>โอกาสเกิด (Likelihood : L)</t>
  </si>
  <si>
    <t>ผลกระทบ (Impact : I)</t>
  </si>
  <si>
    <t>ระดับ</t>
  </si>
  <si>
    <t>ความหมาย</t>
  </si>
  <si>
    <t>โอกาส/ความน่าจะเกิดทางสถิติ</t>
  </si>
  <si>
    <t>มีโอกาสเกิดขึ้นต่ำมาก</t>
  </si>
  <si>
    <t>1 - 20%</t>
  </si>
  <si>
    <t>มีผลกระทบต่ำมาก</t>
  </si>
  <si>
    <t>มีโอกาสเกิดขึ้นต่ำ</t>
  </si>
  <si>
    <t>21 - 40%</t>
  </si>
  <si>
    <t>มีผลกระทบต่ำ</t>
  </si>
  <si>
    <t>มีโอกาสเกิดขึ้นปานกลาง</t>
  </si>
  <si>
    <t>41 - 60%</t>
  </si>
  <si>
    <t>มีผลกระทบปานกลาง</t>
  </si>
  <si>
    <t>มีโอกาสเกิดขึ้นสูง</t>
  </si>
  <si>
    <t>61 - 80%</t>
  </si>
  <si>
    <t>มีผลกระทบสูง</t>
  </si>
  <si>
    <t>มีโอกาสเกิดขึ้นสูงมาก</t>
  </si>
  <si>
    <t>81 - 100%</t>
  </si>
  <si>
    <t>มีผลกระทบสูงมาก</t>
  </si>
  <si>
    <t>ตารางระดับความเสี่ยง</t>
  </si>
  <si>
    <t>ลำดับ</t>
  </si>
  <si>
    <t>(Risk Severity) (ผลคูณ LxI)</t>
  </si>
  <si>
    <t>ระดับคะแนน 1-4</t>
  </si>
  <si>
    <t>ผลกระทบต่ำ</t>
  </si>
  <si>
    <t>ระดับคะแนน &gt;4 และ ≤12</t>
  </si>
  <si>
    <t>ผลกระทบปานกลาง</t>
  </si>
  <si>
    <t>ระดับคะแนนมากกว่า 12</t>
  </si>
  <si>
    <t>ผลกระทบสูง</t>
  </si>
  <si>
    <t xml:space="preserve">จัดทำโดย </t>
  </si>
  <si>
    <t>ตรวจสอบโดย</t>
  </si>
  <si>
    <t xml:space="preserve">ตำแหน่ง  </t>
  </si>
  <si>
    <t>เบอร์โทรศัพท์ 9109</t>
  </si>
  <si>
    <t>เบอร์โทรศัพท์ 9101</t>
  </si>
  <si>
    <t>วันที่</t>
  </si>
  <si>
    <t>แบบ งป.007</t>
  </si>
  <si>
    <t>แบบฟอร์ม</t>
  </si>
  <si>
    <t>หมวดสิ่งก่อสร้าง</t>
  </si>
  <si>
    <t>รายละเอียดค่าวัสดุอุปกรณ์ของงานระบบไฟฟ้า</t>
  </si>
  <si>
    <t>ปีงบประมาณ..........2568-2571...................</t>
  </si>
  <si>
    <r>
      <t xml:space="preserve">กลุ่มโครงสร้าง </t>
    </r>
    <r>
      <rPr>
        <u/>
        <sz val="16"/>
        <rFont val="TH SarabunPSK"/>
        <family val="2"/>
      </rPr>
      <t>เครือข่ายและบริการ</t>
    </r>
  </si>
  <si>
    <r>
      <t xml:space="preserve">ชื่องาน </t>
    </r>
    <r>
      <rPr>
        <u/>
        <sz val="16"/>
        <rFont val="TH SarabunPSK"/>
        <family val="2"/>
      </rPr>
      <t>แผนจัดซื้ออุปกรณ์หลักปรับปรุงระบบสายเคเบิลใต้ดิน</t>
    </r>
  </si>
  <si>
    <r>
      <t xml:space="preserve">หน่วยงาน  </t>
    </r>
    <r>
      <rPr>
        <u/>
        <sz val="16"/>
        <rFont val="TH SarabunPSK"/>
        <family val="2"/>
      </rPr>
      <t>กบส. ฝบร.</t>
    </r>
  </si>
  <si>
    <t>งบประมาณที่ตั้งปี 2568</t>
  </si>
  <si>
    <t>จำนวน</t>
  </si>
  <si>
    <t>ราคา
ต่อหน่วย</t>
  </si>
  <si>
    <t>แหล่งที่มาของราคาที่ขอตั้งงบประมาณ</t>
  </si>
  <si>
    <t>วงเงินรวม
(บาท)</t>
  </si>
  <si>
    <t>ประมาณจ่าย</t>
  </si>
  <si>
    <t>คำชี้แจง</t>
  </si>
  <si>
    <t>ครั้งสุดท้ายเมื่อ
.................</t>
  </si>
  <si>
    <t>ท้องตลาด
เฉลี่ย 3 บริษัท</t>
  </si>
  <si>
    <t>อื่นๆ</t>
  </si>
  <si>
    <t>ปี 2569</t>
  </si>
  <si>
    <t>ปี 2570</t>
  </si>
  <si>
    <t>ปี 2571</t>
  </si>
  <si>
    <t>ซื้อ 115 kV Underground Cable 800 sq.mm. XLPE</t>
  </si>
  <si>
    <t>ซื้อ 115 kV Outdoor Termination (Dry type) size 800 sq.mm. XLPE Insulation Diameter 67-73 mm.</t>
  </si>
  <si>
    <t>ซื้อ 115 kV Plug-in Termination (Dry type) size 800 sq.mm. XLPE Insulation Diameter 68-71 mm.</t>
  </si>
  <si>
    <t xml:space="preserve">ซื้อ 115 kV Splicing size 800 sq.mm. XLPE Insulation Diameter 68-71 mm. </t>
  </si>
  <si>
    <t xml:space="preserve">ค่าดำเนินการงานประกอบติดตั้งระบบสายเคเบิลใต้ดิน </t>
  </si>
  <si>
    <t>ค่าจ้างเหมารื้อถอนระบบสายเคเบิลใต้ดิน</t>
  </si>
  <si>
    <t>รายงานความก้าวหน้าของแผนจัดซื้อ/จัดจ้างตามงบลงทุนเพื่อการดำเนินงานปกติ</t>
  </si>
  <si>
    <t>ที่ขอตั้งงบประมาณประจำปี 2568</t>
  </si>
  <si>
    <t>กลุ่มโครงสร้าง เครือข่ายและบริการ</t>
  </si>
  <si>
    <t>ชื่องาน รายการที่ 1-6</t>
  </si>
  <si>
    <t>หน่วยงาน  กบส. ฝบร.</t>
  </si>
  <si>
    <t xml:space="preserve"> </t>
  </si>
  <si>
    <t>หน่วย : ล้านบาท(ทศนิยม 3 ตำแหน่ง)</t>
  </si>
  <si>
    <t>ขั้นตอนการดำเนินงาน</t>
  </si>
  <si>
    <t>วงเงิน</t>
  </si>
  <si>
    <t>กำหนดเวลาดำเนินการใช้เงิน</t>
  </si>
  <si>
    <t>ดำเนินการ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</si>
  <si>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</si>
  <si>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</si>
  <si>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</si>
  <si>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</si>
  <si>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</si>
  <si>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</si>
  <si>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</si>
  <si>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</si>
  <si>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</si>
  <si>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</si>
  <si>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</si>
  <si>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</si>
  <si>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อนุมัติหลักการ / อนุมัติสเปค</t>
  </si>
  <si>
    <t>การดำเนินการจัดซื้อจัดจ้าง</t>
  </si>
  <si>
    <t xml:space="preserve"> - จัดทำเอกสารประกวดราคา/สอบราคา</t>
  </si>
  <si>
    <t xml:space="preserve"> - ประกวดราคา /สอบราคา</t>
  </si>
  <si>
    <t xml:space="preserve"> - อนุมัติจัดซื้อ / จัดจ้าง</t>
  </si>
  <si>
    <t xml:space="preserve"> - ทำสัญญา</t>
  </si>
  <si>
    <t>ส่งของ / ดำเนินการก่อสร้าง</t>
  </si>
  <si>
    <t>ตรวจรับและทดสอบ</t>
  </si>
  <si>
    <t>เบิกจ่ายเงิน(ล้านบาท)</t>
  </si>
  <si>
    <t>(ระบุวงเงินแต่ละเดือนให้ชัดเจน)</t>
  </si>
  <si>
    <t>หมายเหตุ</t>
  </si>
  <si>
    <t>1. ให้แสดง Workflow สถานะการดำเนินงานตามขั้นตอนต่าง ๆ เป็นรายเดือนตั้งแต่ปีที่ตั้งงบประมาณจนสิ้นสุดแผนงาน</t>
  </si>
  <si>
    <t>แบบ งป.009</t>
  </si>
  <si>
    <t>2. การประมาณเบิกจ่ายรายเดือน แยกรายละเอียด การจัดซื้ออุปกรณ์, ค่าใช้จ่ายหน้างาน, ค่าจ้างเหมาก่อสร้าง สำหรับสำรองค่าปรับราคา ไม่ต้องประมาณจ่าย</t>
  </si>
  <si>
    <t>3. สำหรับแผนงานที่ได้รับอนุมัติแล้ว ให้แสดง work flow ตั้งแต่เริ่มแผนจนสิ้นสุดแผนงงาน</t>
  </si>
  <si>
    <t>แผนการลงทุนรายปี (การลงทุนเพื่อการดำเนินงานปกติ)</t>
  </si>
  <si>
    <t>วงเงินลงทุน</t>
  </si>
  <si>
    <t>ปีที่เริ่มต้น-ถึงปี 2568</t>
  </si>
  <si>
    <t>ปี 2571-สิ้นสุดแผนงาน</t>
  </si>
  <si>
    <t>1. หมวดที่ดิน</t>
  </si>
  <si>
    <t xml:space="preserve">   งานโยธา</t>
  </si>
  <si>
    <t xml:space="preserve"> - ค่าวัสดุอุปกรณ์</t>
  </si>
  <si>
    <t xml:space="preserve"> - อื่น ๆ </t>
  </si>
  <si>
    <t>3. หมวดเครื่องจักรอุปกรณ์</t>
  </si>
  <si>
    <t>4. หมวดยานพาหนะ</t>
  </si>
  <si>
    <t>5. หมวดเครื่องมือเครื่องใช้ขนาดเล็ก</t>
  </si>
  <si>
    <t xml:space="preserve">6. หมวดวิจัยและพัฒนา </t>
  </si>
  <si>
    <t xml:space="preserve">7. หมวดอื่น ๆ </t>
  </si>
  <si>
    <t>สำรองค่าปรับราคา(กรณีแผนระยะยาว)</t>
  </si>
  <si>
    <t xml:space="preserve">หมายเหตุ* </t>
  </si>
  <si>
    <t xml:space="preserve">1. วงเงินลงทุนรวมต้องเท่ากับวงเงินเต็มแผนงาน </t>
  </si>
  <si>
    <t>2. สำรองค่าปรับราคา เป็นการตั้งวงเงินสำหรับสมทบการจัดซื้อ จัดจ้าง/จ้างเหมา กรณีเป็นแผนงานใหม่ จะเริ่มตั้งสำรองราคาปี 2569 จนสิ้นสุดแผน</t>
  </si>
  <si>
    <t>แบบ งป.010/1</t>
  </si>
  <si>
    <t>แผนการจ่ายเงินตามงบผูกพันปี 2568(กรณีแผนระยะยาว/งานต่อเนื่อง)</t>
  </si>
  <si>
    <t>หน่วย : ล้านบาท</t>
  </si>
  <si>
    <t>วงเงินเต็ม
แผนงาน</t>
  </si>
  <si>
    <t>อนุมัติถึง 
ปี 2568</t>
  </si>
  <si>
    <t>จ่ายจริงถึง 
ปี 2568</t>
  </si>
  <si>
    <t>ปี 2572 (ผูกพัน)</t>
  </si>
  <si>
    <t>งบประมาณ</t>
  </si>
  <si>
    <t>ผูกพัน</t>
  </si>
  <si>
    <t>ลงทุน</t>
  </si>
  <si>
    <t>งานโยธา</t>
  </si>
  <si>
    <t>งานระบบไฟฟ้า</t>
  </si>
  <si>
    <t xml:space="preserve"> - ค่าสำรวจออกแบบและควบคุม</t>
  </si>
  <si>
    <t xml:space="preserve"> - ค่าเบ็ดเตล็ต</t>
  </si>
  <si>
    <t xml:space="preserve"> - อื่น ๆ</t>
  </si>
  <si>
    <t>3. หมวดเครื่องอุปกรณ์ไฟฟ้า</t>
  </si>
  <si>
    <t>6. หมวดวิจัยและพัฒนา</t>
  </si>
  <si>
    <t>7. หมวดอื่น ๆ</t>
  </si>
  <si>
    <t>สำรองค่าปรับราคา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</si>
</sst>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.000_-;\-* #,##0.000_-;_-* &quot;-&quot;??_-;_-@_-"/>
    <numFmt numFmtId="166" formatCode="_-* #,##0.00_-;\-* #,##0.00_-;_-* &quot;-&quot;??_-;_-@"/>
    <numFmt numFmtId="167" formatCode="_-* #,##0_-;\-* #,##0_-;_-* &quot;-&quot;??_-;_-@_-"/>
    <numFmt numFmtId="168" formatCode="0.000"/>
    <numFmt numFmtId="169" formatCode="#,##0.000"/>
    <numFmt numFmtId="170" formatCode="_-* #,##0.00000_-;\-* #,##0.00000_-;_-* &quot;-&quot;??_-;_-@_-"/>
  </numFmts>
  <fonts count="32">
    <font>
      <sz val="14"/>
      <name val="Cordia New"/>
      <charset val="222"/>
    </font>
    <font>
      <sz val="11"/>
      <color theme="1"/>
      <name val="Tahoma"/>
      <family val="2"/>
      <charset val="222"/>
      <scheme val="minor"/>
    </font>
    <font>
      <sz val="8"/>
      <name val="Cordia New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6"/>
      <name val="Wingdings"/>
      <charset val="2"/>
    </font>
    <font>
      <b/>
      <sz val="22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b/>
      <u/>
      <sz val="16"/>
      <name val="TH SarabunPSK"/>
      <family val="2"/>
    </font>
    <font>
      <sz val="16"/>
      <color indexed="36"/>
      <name val="TH SarabunPSK"/>
      <family val="2"/>
    </font>
    <font>
      <b/>
      <sz val="20"/>
      <name val="TH SarabunPSK"/>
      <family val="2"/>
    </font>
    <font>
      <u/>
      <sz val="16"/>
      <name val="TH SarabunPSK"/>
      <family val="2"/>
    </font>
    <font>
      <b/>
      <sz val="18"/>
      <name val="TH SarabunPSK"/>
      <family val="2"/>
    </font>
    <font>
      <sz val="16"/>
      <name val="Wingdings"/>
      <charset val="2"/>
    </font>
    <font>
      <sz val="16"/>
      <color rgb="FFFF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4"/>
      <name val="Cordia New"/>
      <family val="2"/>
    </font>
    <font>
      <u val="singleAccounting"/>
      <sz val="16"/>
      <name val="TH SarabunPSK"/>
      <family val="2"/>
    </font>
    <font>
      <sz val="12"/>
      <name val="TH SarabunPSK"/>
      <family val="2"/>
    </font>
    <font>
      <b/>
      <sz val="12"/>
      <name val="TH SarabunPSK"/>
      <family val="2"/>
    </font>
    <font>
      <sz val="15"/>
      <name val="TH SarabunPSK"/>
      <family val="2"/>
    </font>
    <font>
      <b/>
      <sz val="24"/>
      <name val="TH SarabunPSK"/>
      <family val="2"/>
    </font>
    <font>
      <b/>
      <u/>
      <sz val="12"/>
      <name val="TH SarabunPSK"/>
      <family val="2"/>
    </font>
    <font>
      <b/>
      <sz val="36"/>
      <name val="TH SarabunPSK"/>
      <family val="2"/>
    </font>
    <font>
      <b/>
      <sz val="28"/>
      <name val="TH SarabunPSK"/>
      <family val="2"/>
    </font>
    <font>
      <sz val="11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164" fontId="22" fillId="0" borderId="0" applyFont="0" applyFill="0" applyBorder="0" applyAlignment="0" applyProtection="0"/>
    <xf numFmtId="0" fontId="22" fillId="0" borderId="0">
      <alignment vertical="top"/>
    </xf>
  </cellStyleXfs>
  <cellXfs count="328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0" fillId="0" borderId="0" xfId="0" applyFont="1"/>
    <xf numFmtId="0" fontId="9" fillId="0" borderId="0" xfId="0" applyFont="1"/>
    <xf numFmtId="0" fontId="4" fillId="0" borderId="0" xfId="0" applyFont="1" applyAlignment="1">
      <alignment horizontal="left" vertical="center"/>
    </xf>
    <xf numFmtId="0" fontId="10" fillId="0" borderId="7" xfId="0" applyFont="1" applyBorder="1"/>
    <xf numFmtId="0" fontId="10" fillId="0" borderId="6" xfId="0" applyFont="1" applyBorder="1"/>
    <xf numFmtId="0" fontId="10" fillId="0" borderId="2" xfId="0" applyFont="1" applyBorder="1"/>
    <xf numFmtId="0" fontId="10" fillId="0" borderId="11" xfId="0" applyFont="1" applyBorder="1"/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/>
    <xf numFmtId="0" fontId="5" fillId="0" borderId="6" xfId="0" applyFont="1" applyBorder="1"/>
    <xf numFmtId="0" fontId="4" fillId="0" borderId="4" xfId="0" applyFont="1" applyBorder="1"/>
    <xf numFmtId="0" fontId="4" fillId="0" borderId="2" xfId="0" applyFont="1" applyBorder="1"/>
    <xf numFmtId="0" fontId="4" fillId="0" borderId="11" xfId="0" applyFont="1" applyBorder="1"/>
    <xf numFmtId="0" fontId="12" fillId="0" borderId="10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5" fillId="0" borderId="2" xfId="0" applyFont="1" applyBorder="1"/>
    <xf numFmtId="0" fontId="4" fillId="0" borderId="11" xfId="0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6" xfId="0" quotePrefix="1" applyFont="1" applyBorder="1"/>
    <xf numFmtId="0" fontId="14" fillId="0" borderId="0" xfId="0" applyFont="1" applyAlignment="1">
      <alignment horizontal="center"/>
    </xf>
    <xf numFmtId="0" fontId="12" fillId="0" borderId="0" xfId="0" applyFont="1"/>
    <xf numFmtId="0" fontId="5" fillId="0" borderId="10" xfId="0" applyFont="1" applyBorder="1"/>
    <xf numFmtId="0" fontId="4" fillId="0" borderId="13" xfId="0" applyFont="1" applyBorder="1"/>
    <xf numFmtId="0" fontId="12" fillId="0" borderId="0" xfId="0" quotePrefix="1" applyFont="1"/>
    <xf numFmtId="0" fontId="5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 indent="1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 applyAlignment="1" applyProtection="1">
      <alignment vertical="top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quotePrefix="1" applyFont="1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right" textRotation="180"/>
    </xf>
    <xf numFmtId="0" fontId="5" fillId="0" borderId="0" xfId="0" applyFont="1" applyAlignment="1">
      <alignment textRotation="180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 applyProtection="1">
      <alignment horizontal="righ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0" borderId="0" xfId="0" applyFont="1" applyAlignment="1" applyProtection="1">
      <alignment horizontal="right"/>
      <protection locked="0"/>
    </xf>
    <xf numFmtId="0" fontId="4" fillId="7" borderId="0" xfId="0" applyFont="1" applyFill="1"/>
    <xf numFmtId="0" fontId="4" fillId="0" borderId="0" xfId="0" applyFont="1" applyAlignment="1">
      <alignment horizontal="center" vertical="top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 applyProtection="1">
      <alignment vertical="top"/>
      <protection locked="0"/>
    </xf>
    <xf numFmtId="0" fontId="4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6" xfId="0" applyFont="1" applyBorder="1" applyAlignment="1" applyProtection="1">
      <alignment horizontal="center" vertical="top"/>
      <protection locked="0"/>
    </xf>
    <xf numFmtId="0" fontId="4" fillId="0" borderId="2" xfId="0" applyFont="1" applyBorder="1" applyAlignment="1">
      <alignment horizontal="center" vertical="top"/>
    </xf>
    <xf numFmtId="166" fontId="20" fillId="0" borderId="0" xfId="0" applyNumberFormat="1" applyFont="1" applyAlignment="1">
      <alignment horizontal="left" vertical="center"/>
    </xf>
    <xf numFmtId="0" fontId="4" fillId="0" borderId="13" xfId="0" applyFont="1" applyBorder="1" applyAlignment="1">
      <alignment horizontal="left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15" xfId="0" applyFont="1" applyBorder="1" applyAlignment="1">
      <alignment horizontal="left" vertical="top" wrapText="1"/>
    </xf>
    <xf numFmtId="0" fontId="4" fillId="0" borderId="0" xfId="0" applyFont="1" applyAlignment="1" applyProtection="1">
      <alignment vertical="top" wrapText="1"/>
      <protection locked="0"/>
    </xf>
    <xf numFmtId="0" fontId="5" fillId="0" borderId="0" xfId="0" applyFont="1" applyAlignment="1">
      <alignment horizontal="left" indent="2"/>
    </xf>
    <xf numFmtId="0" fontId="5" fillId="0" borderId="0" xfId="0" quotePrefix="1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4" fillId="0" borderId="11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4" fillId="0" borderId="8" xfId="0" applyFont="1" applyBorder="1" applyAlignment="1">
      <alignment horizontal="center"/>
    </xf>
    <xf numFmtId="167" fontId="4" fillId="0" borderId="5" xfId="1" applyNumberFormat="1" applyFont="1" applyBorder="1"/>
    <xf numFmtId="167" fontId="5" fillId="0" borderId="8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167" fontId="4" fillId="0" borderId="5" xfId="0" applyNumberFormat="1" applyFont="1" applyBorder="1"/>
    <xf numFmtId="167" fontId="10" fillId="0" borderId="7" xfId="1" applyNumberFormat="1" applyFont="1" applyBorder="1"/>
    <xf numFmtId="167" fontId="26" fillId="0" borderId="5" xfId="1" applyNumberFormat="1" applyFont="1" applyBorder="1"/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167" fontId="4" fillId="0" borderId="8" xfId="0" applyNumberFormat="1" applyFont="1" applyBorder="1"/>
    <xf numFmtId="0" fontId="15" fillId="0" borderId="0" xfId="0" applyFont="1" applyAlignment="1" applyProtection="1">
      <alignment vertical="top"/>
      <protection locked="0"/>
    </xf>
    <xf numFmtId="2" fontId="4" fillId="0" borderId="0" xfId="0" applyNumberFormat="1" applyFont="1"/>
    <xf numFmtId="167" fontId="4" fillId="0" borderId="5" xfId="4" applyNumberFormat="1" applyFont="1" applyBorder="1"/>
    <xf numFmtId="167" fontId="5" fillId="0" borderId="8" xfId="0" applyNumberFormat="1" applyFont="1" applyBorder="1"/>
    <xf numFmtId="0" fontId="24" fillId="0" borderId="8" xfId="2" applyFont="1" applyBorder="1" applyAlignment="1">
      <alignment horizontal="center" vertical="top" wrapText="1"/>
    </xf>
    <xf numFmtId="0" fontId="10" fillId="0" borderId="3" xfId="0" applyFont="1" applyBorder="1"/>
    <xf numFmtId="43" fontId="4" fillId="0" borderId="5" xfId="0" applyNumberFormat="1" applyFont="1" applyBorder="1"/>
    <xf numFmtId="167" fontId="4" fillId="0" borderId="6" xfId="4" applyNumberFormat="1" applyFont="1" applyBorder="1" applyAlignment="1">
      <alignment horizontal="center"/>
    </xf>
    <xf numFmtId="167" fontId="4" fillId="0" borderId="4" xfId="0" applyNumberFormat="1" applyFont="1" applyBorder="1"/>
    <xf numFmtId="0" fontId="20" fillId="0" borderId="5" xfId="2" applyFont="1" applyBorder="1" applyAlignment="1">
      <alignment horizontal="left" vertical="center"/>
    </xf>
    <xf numFmtId="169" fontId="20" fillId="0" borderId="5" xfId="2" applyNumberFormat="1" applyFont="1" applyBorder="1" applyAlignment="1">
      <alignment horizontal="center" vertical="center"/>
    </xf>
    <xf numFmtId="169" fontId="18" fillId="0" borderId="5" xfId="2" applyNumberFormat="1" applyFont="1" applyBorder="1" applyAlignment="1">
      <alignment horizontal="center" vertical="center"/>
    </xf>
    <xf numFmtId="169" fontId="20" fillId="0" borderId="0" xfId="2" applyNumberFormat="1" applyFont="1" applyAlignment="1">
      <alignment horizontal="center" vertical="center"/>
    </xf>
    <xf numFmtId="0" fontId="3" fillId="0" borderId="0" xfId="2"/>
    <xf numFmtId="167" fontId="4" fillId="0" borderId="0" xfId="0" applyNumberFormat="1" applyFont="1"/>
    <xf numFmtId="167" fontId="4" fillId="0" borderId="7" xfId="4" applyNumberFormat="1" applyFont="1" applyBorder="1" applyAlignment="1"/>
    <xf numFmtId="0" fontId="4" fillId="0" borderId="0" xfId="0" applyFont="1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vertical="top"/>
    </xf>
    <xf numFmtId="167" fontId="4" fillId="0" borderId="5" xfId="4" applyNumberFormat="1" applyFont="1" applyBorder="1" applyAlignment="1">
      <alignment vertical="top"/>
    </xf>
    <xf numFmtId="167" fontId="4" fillId="0" borderId="5" xfId="0" applyNumberFormat="1" applyFont="1" applyBorder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0" xfId="0" applyFont="1"/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167" fontId="4" fillId="0" borderId="5" xfId="4" applyNumberFormat="1" applyFont="1" applyBorder="1" applyAlignment="1"/>
    <xf numFmtId="0" fontId="5" fillId="0" borderId="2" xfId="0" applyFont="1" applyBorder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167" fontId="4" fillId="0" borderId="2" xfId="4" applyNumberFormat="1" applyFont="1" applyBorder="1" applyAlignment="1">
      <alignment horizontal="right"/>
    </xf>
    <xf numFmtId="0" fontId="9" fillId="0" borderId="4" xfId="0" applyFont="1" applyBorder="1" applyAlignment="1">
      <alignment horizontal="center" vertical="center"/>
    </xf>
    <xf numFmtId="170" fontId="4" fillId="0" borderId="0" xfId="0" applyNumberFormat="1" applyFont="1"/>
    <xf numFmtId="0" fontId="21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9" fillId="0" borderId="0" xfId="2" applyFont="1" applyAlignment="1">
      <alignment horizontal="right" vertical="center"/>
    </xf>
    <xf numFmtId="0" fontId="19" fillId="0" borderId="8" xfId="2" applyFont="1" applyBorder="1" applyAlignment="1">
      <alignment horizontal="center" vertical="center"/>
    </xf>
    <xf numFmtId="0" fontId="20" fillId="0" borderId="1" xfId="2" applyFont="1" applyBorder="1" applyAlignment="1">
      <alignment horizontal="left" vertical="center"/>
    </xf>
    <xf numFmtId="0" fontId="20" fillId="0" borderId="1" xfId="2" applyFont="1" applyBorder="1" applyAlignment="1">
      <alignment horizontal="center" vertical="center"/>
    </xf>
    <xf numFmtId="0" fontId="20" fillId="0" borderId="15" xfId="2" applyFont="1" applyBorder="1" applyAlignment="1">
      <alignment horizontal="center" vertical="center"/>
    </xf>
    <xf numFmtId="0" fontId="20" fillId="0" borderId="5" xfId="2" applyFont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0" fillId="0" borderId="5" xfId="2" applyFont="1" applyBorder="1" applyAlignment="1">
      <alignment horizontal="left" vertical="center" indent="2"/>
    </xf>
    <xf numFmtId="0" fontId="20" fillId="0" borderId="5" xfId="2" applyFont="1" applyBorder="1" applyAlignment="1">
      <alignment horizontal="left" vertical="center" indent="3"/>
    </xf>
    <xf numFmtId="0" fontId="20" fillId="0" borderId="8" xfId="2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/>
    </xf>
    <xf numFmtId="165" fontId="20" fillId="0" borderId="8" xfId="4" applyNumberFormat="1" applyFont="1" applyFill="1" applyBorder="1" applyAlignment="1">
      <alignment horizontal="center" vertical="center"/>
    </xf>
    <xf numFmtId="168" fontId="20" fillId="0" borderId="8" xfId="2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168" fontId="4" fillId="0" borderId="0" xfId="0" applyNumberFormat="1" applyFont="1"/>
    <xf numFmtId="165" fontId="10" fillId="0" borderId="5" xfId="1" applyNumberFormat="1" applyFont="1" applyBorder="1"/>
    <xf numFmtId="165" fontId="10" fillId="0" borderId="5" xfId="1" applyNumberFormat="1" applyFont="1" applyBorder="1" applyAlignment="1">
      <alignment horizontal="center"/>
    </xf>
    <xf numFmtId="168" fontId="10" fillId="0" borderId="5" xfId="0" applyNumberFormat="1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4" fillId="8" borderId="5" xfId="0" applyFont="1" applyFill="1" applyBorder="1"/>
    <xf numFmtId="0" fontId="4" fillId="8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4" fillId="8" borderId="5" xfId="0" applyFont="1" applyFill="1" applyBorder="1" applyAlignment="1">
      <alignment horizontal="left"/>
    </xf>
    <xf numFmtId="0" fontId="5" fillId="0" borderId="5" xfId="0" applyFont="1" applyBorder="1" applyAlignment="1">
      <alignment horizontal="center"/>
    </xf>
    <xf numFmtId="168" fontId="5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10" fillId="0" borderId="0" xfId="0" applyFont="1" applyAlignment="1">
      <alignment horizontal="right"/>
    </xf>
    <xf numFmtId="0" fontId="14" fillId="0" borderId="0" xfId="0" applyFont="1"/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23" fillId="0" borderId="0" xfId="4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7" fontId="10" fillId="0" borderId="10" xfId="4" applyNumberFormat="1" applyFont="1" applyBorder="1" applyAlignment="1">
      <alignment horizontal="center"/>
    </xf>
    <xf numFmtId="167" fontId="10" fillId="0" borderId="15" xfId="4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4" fillId="0" borderId="6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7" xfId="0" applyFont="1" applyBorder="1" applyAlignment="1">
      <alignment horizontal="center"/>
    </xf>
    <xf numFmtId="167" fontId="10" fillId="0" borderId="13" xfId="4" applyNumberFormat="1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5" fillId="0" borderId="0" xfId="0" applyFont="1" applyAlignment="1" applyProtection="1">
      <alignment horizontal="left" vertical="top"/>
      <protection locked="0"/>
    </xf>
    <xf numFmtId="167" fontId="10" fillId="0" borderId="5" xfId="4" applyNumberFormat="1" applyFont="1" applyBorder="1" applyAlignment="1">
      <alignment horizontal="center"/>
    </xf>
    <xf numFmtId="167" fontId="10" fillId="0" borderId="6" xfId="4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9" fontId="4" fillId="0" borderId="15" xfId="0" applyNumberFormat="1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5" xfId="0" applyFont="1" applyBorder="1" applyAlignment="1" applyProtection="1">
      <alignment horizontal="center" vertical="top"/>
      <protection locked="0"/>
    </xf>
    <xf numFmtId="0" fontId="16" fillId="0" borderId="13" xfId="0" applyFont="1" applyBorder="1" applyAlignment="1" applyProtection="1">
      <alignment horizontal="center" vertical="top"/>
      <protection locked="0"/>
    </xf>
    <xf numFmtId="0" fontId="5" fillId="0" borderId="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2" xfId="2" applyFont="1" applyBorder="1" applyAlignment="1">
      <alignment horizontal="left" vertical="center"/>
    </xf>
    <xf numFmtId="0" fontId="10" fillId="0" borderId="9" xfId="2" applyFont="1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10" fillId="0" borderId="8" xfId="2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top" wrapText="1" indent="4"/>
    </xf>
    <xf numFmtId="0" fontId="24" fillId="0" borderId="0" xfId="0" applyFont="1" applyAlignment="1">
      <alignment horizontal="left" vertical="top" indent="4"/>
    </xf>
    <xf numFmtId="0" fontId="24" fillId="0" borderId="0" xfId="0" applyFont="1" applyAlignment="1">
      <alignment horizontal="left" vertical="top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8" xfId="2" applyFont="1" applyBorder="1" applyAlignment="1">
      <alignment horizontal="center" vertical="top" wrapText="1"/>
    </xf>
    <xf numFmtId="0" fontId="24" fillId="0" borderId="8" xfId="2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12" xfId="2" quotePrefix="1" applyFont="1" applyBorder="1" applyAlignment="1">
      <alignment horizontal="center" vertical="center" wrapText="1"/>
    </xf>
    <xf numFmtId="0" fontId="10" fillId="0" borderId="9" xfId="2" quotePrefix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textRotation="180"/>
    </xf>
    <xf numFmtId="0" fontId="10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textRotation="18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9" fillId="0" borderId="8" xfId="2" applyFont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19" fillId="0" borderId="8" xfId="2" applyFont="1" applyBorder="1" applyAlignment="1">
      <alignment horizontal="center" vertical="center" wrapText="1"/>
    </xf>
    <xf numFmtId="0" fontId="27" fillId="0" borderId="0" xfId="0" applyFont="1" applyAlignment="1">
      <alignment horizontal="right" textRotation="180"/>
    </xf>
  </cellXfs>
  <cellStyles count="6">
    <cellStyle name="Comma 2" xfId="1" xr:uid="{00000000-0005-0000-0000-000001000000}"/>
    <cellStyle name="Normal 2" xfId="2" xr:uid="{00000000-0005-0000-0000-000003000000}"/>
    <cellStyle name="Normal 3" xfId="3" xr:uid="{00000000-0005-0000-0000-000004000000}"/>
    <cellStyle name="Normal 4" xfId="5" xr:uid="{00000000-0005-0000-0000-000005000000}"/>
    <cellStyle name="จุลภาค" xfId="4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327660</xdr:colOff>
      <xdr:row>10</xdr:row>
      <xdr:rowOff>91440</xdr:rowOff>
    </xdr:from>
    <xdr:to>
      <xdr:col>6</xdr:col>
      <xdr:colOff>396240</xdr:colOff>
      <xdr:row>11</xdr:row>
      <xdr:rowOff>144780</xdr:rowOff>
    </xdr:to>
    <xdr:sp macro="" textlink="">
      <xdr:nvSpPr>
        <xdr:cNvPr id="2302" name="Text Box 1">
          <a:extLst>
            <a:ext uri="{FF2B5EF4-FFF2-40B4-BE49-F238E27FC236}">
              <a16:creationId xmlns:a16="http://schemas.microsoft.com/office/drawing/2014/main" id="{00000000-0008-0000-0200-0000FE080000}"/>
            </a:ext>
          </a:extLst>
        </xdr:cNvPr>
        <xdr:cNvSpPr txBox="1">
          <a:spLocks noChangeArrowheads="1"/>
        </xdr:cNvSpPr>
      </xdr:nvSpPr>
      <xdr:spPr bwMode="auto">
        <a:xfrm>
          <a:off x="7360920" y="3604260"/>
          <a:ext cx="6858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22</xdr:row>
      <xdr:rowOff>0</xdr:rowOff>
    </xdr:from>
    <xdr:to>
      <xdr:col>5</xdr:col>
      <xdr:colOff>68580</xdr:colOff>
      <xdr:row>23</xdr:row>
      <xdr:rowOff>3810</xdr:rowOff>
    </xdr:to>
    <xdr:sp macro="" textlink="">
      <xdr:nvSpPr>
        <xdr:cNvPr id="2" name="Text Box 72">
          <a:extLst>
            <a:ext uri="{FF2B5EF4-FFF2-40B4-BE49-F238E27FC236}">
              <a16:creationId xmlns:a16="http://schemas.microsoft.com/office/drawing/2014/main" id="{81B633C3-7CBE-4983-A520-ACDBB18E5093}"/>
            </a:ext>
          </a:extLst>
        </xdr:cNvPr>
        <xdr:cNvSpPr txBox="1">
          <a:spLocks noChangeArrowheads="1"/>
        </xdr:cNvSpPr>
      </xdr:nvSpPr>
      <xdr:spPr bwMode="auto">
        <a:xfrm>
          <a:off x="2705100" y="626745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37</xdr:row>
      <xdr:rowOff>0</xdr:rowOff>
    </xdr:from>
    <xdr:to>
      <xdr:col>5</xdr:col>
      <xdr:colOff>68580</xdr:colOff>
      <xdr:row>38</xdr:row>
      <xdr:rowOff>60960</xdr:rowOff>
    </xdr:to>
    <xdr:sp macro="" textlink="">
      <xdr:nvSpPr>
        <xdr:cNvPr id="23168" name="Text Box 5">
          <a:extLst>
            <a:ext uri="{FF2B5EF4-FFF2-40B4-BE49-F238E27FC236}">
              <a16:creationId xmlns:a16="http://schemas.microsoft.com/office/drawing/2014/main" id="{00000000-0008-0000-0600-0000805A0000}"/>
            </a:ext>
          </a:extLst>
        </xdr:cNvPr>
        <xdr:cNvSpPr txBox="1">
          <a:spLocks noChangeArrowheads="1"/>
        </xdr:cNvSpPr>
      </xdr:nvSpPr>
      <xdr:spPr bwMode="auto">
        <a:xfrm>
          <a:off x="1813560" y="1004316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68580</xdr:colOff>
      <xdr:row>12</xdr:row>
      <xdr:rowOff>156210</xdr:rowOff>
    </xdr:to>
    <xdr:sp macro="" textlink="">
      <xdr:nvSpPr>
        <xdr:cNvPr id="23169" name="Text Box 5">
          <a:extLst>
            <a:ext uri="{FF2B5EF4-FFF2-40B4-BE49-F238E27FC236}">
              <a16:creationId xmlns:a16="http://schemas.microsoft.com/office/drawing/2014/main" id="{00000000-0008-0000-0600-0000815A0000}"/>
            </a:ext>
          </a:extLst>
        </xdr:cNvPr>
        <xdr:cNvSpPr txBox="1">
          <a:spLocks noChangeArrowheads="1"/>
        </xdr:cNvSpPr>
      </xdr:nvSpPr>
      <xdr:spPr bwMode="auto">
        <a:xfrm>
          <a:off x="1813560" y="320040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68580</xdr:colOff>
      <xdr:row>3</xdr:row>
      <xdr:rowOff>0</xdr:rowOff>
    </xdr:to>
    <xdr:sp macro="" textlink="">
      <xdr:nvSpPr>
        <xdr:cNvPr id="23170" name="Text Box 72">
          <a:extLst>
            <a:ext uri="{FF2B5EF4-FFF2-40B4-BE49-F238E27FC236}">
              <a16:creationId xmlns:a16="http://schemas.microsoft.com/office/drawing/2014/main" id="{00000000-0008-0000-0600-0000825A0000}"/>
            </a:ext>
          </a:extLst>
        </xdr:cNvPr>
        <xdr:cNvSpPr txBox="1">
          <a:spLocks noChangeArrowheads="1"/>
        </xdr:cNvSpPr>
      </xdr:nvSpPr>
      <xdr:spPr bwMode="auto">
        <a:xfrm>
          <a:off x="3825240" y="533400"/>
          <a:ext cx="6858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20</xdr:row>
      <xdr:rowOff>76200</xdr:rowOff>
    </xdr:from>
    <xdr:to>
      <xdr:col>5</xdr:col>
      <xdr:colOff>68580</xdr:colOff>
      <xdr:row>21</xdr:row>
      <xdr:rowOff>60960</xdr:rowOff>
    </xdr:to>
    <xdr:sp macro="" textlink="">
      <xdr:nvSpPr>
        <xdr:cNvPr id="26917" name="Text Box 77">
          <a:extLst>
            <a:ext uri="{FF2B5EF4-FFF2-40B4-BE49-F238E27FC236}">
              <a16:creationId xmlns:a16="http://schemas.microsoft.com/office/drawing/2014/main" id="{00000000-0008-0000-0500-000025690000}"/>
            </a:ext>
          </a:extLst>
        </xdr:cNvPr>
        <xdr:cNvSpPr txBox="1">
          <a:spLocks noChangeArrowheads="1"/>
        </xdr:cNvSpPr>
      </xdr:nvSpPr>
      <xdr:spPr bwMode="auto">
        <a:xfrm>
          <a:off x="2743200" y="6629400"/>
          <a:ext cx="6858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68580</xdr:colOff>
      <xdr:row>29</xdr:row>
      <xdr:rowOff>0</xdr:rowOff>
    </xdr:to>
    <xdr:sp macro="" textlink="">
      <xdr:nvSpPr>
        <xdr:cNvPr id="26918" name="Text Box 5">
          <a:extLst>
            <a:ext uri="{FF2B5EF4-FFF2-40B4-BE49-F238E27FC236}">
              <a16:creationId xmlns:a16="http://schemas.microsoft.com/office/drawing/2014/main" id="{00000000-0008-0000-0500-000026690000}"/>
            </a:ext>
          </a:extLst>
        </xdr:cNvPr>
        <xdr:cNvSpPr txBox="1">
          <a:spLocks noChangeArrowheads="1"/>
        </xdr:cNvSpPr>
      </xdr:nvSpPr>
      <xdr:spPr bwMode="auto">
        <a:xfrm>
          <a:off x="2743200" y="91744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68580</xdr:colOff>
      <xdr:row>24</xdr:row>
      <xdr:rowOff>0</xdr:rowOff>
    </xdr:to>
    <xdr:sp macro="" textlink="">
      <xdr:nvSpPr>
        <xdr:cNvPr id="26919" name="Text Box 72">
          <a:extLst>
            <a:ext uri="{FF2B5EF4-FFF2-40B4-BE49-F238E27FC236}">
              <a16:creationId xmlns:a16="http://schemas.microsoft.com/office/drawing/2014/main" id="{00000000-0008-0000-0500-000027690000}"/>
            </a:ext>
          </a:extLst>
        </xdr:cNvPr>
        <xdr:cNvSpPr txBox="1">
          <a:spLocks noChangeArrowheads="1"/>
        </xdr:cNvSpPr>
      </xdr:nvSpPr>
      <xdr:spPr bwMode="auto">
        <a:xfrm>
          <a:off x="3291840" y="75361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</sheetPr>
  <dimension ref="A5:J12"/>
  <sheetViews>
    <sheetView showGridLines="0" topLeftCell="A7" workbookViewId="0">
      <selection activeCell="C17" sqref="C17"/>
    </sheetView>
  </sheetViews>
  <sheetFormatPr defaultColWidth="9" defaultRowHeight="18.75"/>
  <cols>
    <col min="1" max="9" width="9" style="16"/>
    <col min="10" max="10" width="12.140625" style="16" customWidth="1"/>
    <col min="11" max="16384" width="9" style="16"/>
  </cols>
  <sheetData>
    <row r="5" spans="1:10" ht="68.45" customHeight="1"/>
    <row r="10" spans="1:10" ht="45.75">
      <c r="A10" s="204" t="s">
        <v>0</v>
      </c>
      <c r="B10" s="204"/>
      <c r="C10" s="204"/>
      <c r="D10" s="204"/>
      <c r="E10" s="204"/>
      <c r="F10" s="204"/>
      <c r="G10" s="204"/>
      <c r="H10" s="204"/>
      <c r="I10" s="204"/>
      <c r="J10" s="204"/>
    </row>
    <row r="11" spans="1:10" ht="36">
      <c r="A11" s="203" t="s">
        <v>1</v>
      </c>
      <c r="B11" s="203"/>
      <c r="C11" s="203"/>
      <c r="D11" s="203"/>
      <c r="E11" s="203"/>
      <c r="F11" s="203"/>
      <c r="G11" s="203"/>
      <c r="H11" s="203"/>
      <c r="I11" s="203"/>
      <c r="J11" s="203"/>
    </row>
    <row r="12" spans="1:10" ht="36">
      <c r="A12" s="203" t="s">
        <v>2</v>
      </c>
      <c r="B12" s="203"/>
      <c r="C12" s="203"/>
      <c r="D12" s="203"/>
      <c r="E12" s="203"/>
      <c r="F12" s="203"/>
      <c r="G12" s="203"/>
      <c r="H12" s="203"/>
      <c r="I12" s="203"/>
      <c r="J12" s="203"/>
    </row>
  </sheetData>
  <mergeCells count="3">
    <mergeCell ref="A11:J11"/>
    <mergeCell ref="A12:J12"/>
    <mergeCell ref="A10:J10"/>
  </mergeCells>
  <phoneticPr fontId="2" type="noConversion"/>
  <pageMargins left="0.75" right="0.75" top="1" bottom="1" header="0.5" footer="0.5"/>
  <pageSetup paperSize="9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F0"/>
    <pageSetUpPr fitToPage="1"/>
  </sheetPr>
  <dimension ref="A1:G31"/>
  <sheetViews>
    <sheetView showGridLines="0" zoomScaleNormal="100" zoomScaleSheetLayoutView="100" workbookViewId="0">
      <selection activeCell="B9" sqref="B9"/>
    </sheetView>
  </sheetViews>
  <sheetFormatPr defaultColWidth="9.140625" defaultRowHeight="21"/>
  <cols>
    <col min="1" max="1" width="10" style="4" customWidth="1"/>
    <col min="2" max="2" width="16.140625" style="4" customWidth="1"/>
    <col min="3" max="3" width="54.28515625" style="4" customWidth="1"/>
    <col min="4" max="4" width="16.7109375" style="4" customWidth="1"/>
    <col min="5" max="16384" width="9.140625" style="4"/>
  </cols>
  <sheetData>
    <row r="1" spans="1:4">
      <c r="D1" s="9" t="s">
        <v>3</v>
      </c>
    </row>
    <row r="2" spans="1:4" ht="28.5">
      <c r="A2" s="208" t="s">
        <v>4</v>
      </c>
      <c r="B2" s="208"/>
      <c r="C2" s="208"/>
      <c r="D2" s="208"/>
    </row>
    <row r="3" spans="1:4" ht="28.5">
      <c r="A3" s="208" t="s">
        <v>5</v>
      </c>
      <c r="B3" s="208"/>
      <c r="C3" s="208"/>
      <c r="D3" s="208"/>
    </row>
    <row r="4" spans="1:4" ht="31.5" customHeight="1">
      <c r="A4" s="215" t="s">
        <v>6</v>
      </c>
      <c r="B4" s="215"/>
      <c r="C4" s="215"/>
      <c r="D4" s="215"/>
    </row>
    <row r="5" spans="1:4" ht="34.5" customHeight="1">
      <c r="A5" s="216" t="s">
        <v>7</v>
      </c>
      <c r="B5" s="216"/>
      <c r="C5" s="216"/>
      <c r="D5" s="216"/>
    </row>
    <row r="6" spans="1:4" ht="35.1" customHeight="1">
      <c r="B6" s="5"/>
      <c r="D6" s="9" t="s">
        <v>8</v>
      </c>
    </row>
    <row r="7" spans="1:4" ht="29.1" customHeight="1">
      <c r="A7" s="209" t="s">
        <v>9</v>
      </c>
      <c r="B7" s="211" t="s">
        <v>10</v>
      </c>
      <c r="C7" s="212"/>
      <c r="D7" s="10" t="s">
        <v>11</v>
      </c>
    </row>
    <row r="8" spans="1:4" ht="27" customHeight="1">
      <c r="A8" s="210"/>
      <c r="B8" s="213"/>
      <c r="C8" s="214"/>
      <c r="D8" s="11" t="s">
        <v>12</v>
      </c>
    </row>
    <row r="9" spans="1:4">
      <c r="A9" s="55">
        <v>3</v>
      </c>
      <c r="B9" s="13" t="s">
        <v>2</v>
      </c>
      <c r="C9" s="14"/>
      <c r="D9" s="109">
        <v>225398240</v>
      </c>
    </row>
    <row r="10" spans="1:4">
      <c r="A10" s="12"/>
      <c r="B10" s="13"/>
      <c r="C10" s="14"/>
      <c r="D10" s="109"/>
    </row>
    <row r="11" spans="1:4">
      <c r="A11" s="12"/>
      <c r="B11" s="13"/>
      <c r="C11" s="14"/>
      <c r="D11" s="109"/>
    </row>
    <row r="12" spans="1:4">
      <c r="A12" s="12"/>
      <c r="B12" s="13"/>
      <c r="C12" s="14"/>
      <c r="D12" s="109"/>
    </row>
    <row r="13" spans="1:4">
      <c r="A13" s="12"/>
      <c r="B13" s="13"/>
      <c r="C13" s="14"/>
      <c r="D13" s="109"/>
    </row>
    <row r="14" spans="1:4">
      <c r="A14" s="12"/>
      <c r="B14" s="13"/>
      <c r="C14" s="14"/>
      <c r="D14" s="12"/>
    </row>
    <row r="15" spans="1:4">
      <c r="A15" s="12"/>
      <c r="B15" s="13"/>
      <c r="C15" s="14"/>
      <c r="D15" s="12"/>
    </row>
    <row r="16" spans="1:4">
      <c r="A16" s="12"/>
      <c r="B16" s="13"/>
      <c r="C16" s="14"/>
      <c r="D16" s="12"/>
    </row>
    <row r="17" spans="1:7">
      <c r="A17" s="12"/>
      <c r="B17" s="13"/>
      <c r="C17" s="14"/>
      <c r="D17" s="12"/>
    </row>
    <row r="18" spans="1:7">
      <c r="A18" s="12"/>
      <c r="B18" s="13"/>
      <c r="C18" s="14"/>
      <c r="D18" s="12"/>
    </row>
    <row r="19" spans="1:7">
      <c r="A19" s="12"/>
      <c r="B19" s="13"/>
      <c r="C19" s="14"/>
      <c r="D19" s="12"/>
    </row>
    <row r="20" spans="1:7">
      <c r="A20" s="12"/>
      <c r="B20" s="13"/>
      <c r="C20" s="14"/>
      <c r="D20" s="12"/>
    </row>
    <row r="21" spans="1:7">
      <c r="A21" s="12"/>
      <c r="B21" s="13"/>
      <c r="C21" s="14"/>
      <c r="D21" s="12"/>
    </row>
    <row r="22" spans="1:7">
      <c r="A22" s="12"/>
      <c r="B22" s="13"/>
      <c r="C22" s="14"/>
      <c r="D22" s="12"/>
    </row>
    <row r="23" spans="1:7">
      <c r="A23" s="12"/>
      <c r="B23" s="13"/>
      <c r="C23" s="14"/>
      <c r="D23" s="12"/>
    </row>
    <row r="24" spans="1:7">
      <c r="A24" s="12"/>
      <c r="B24" s="13"/>
      <c r="C24" s="14"/>
      <c r="D24" s="12"/>
    </row>
    <row r="25" spans="1:7">
      <c r="A25" s="12"/>
      <c r="B25" s="13"/>
      <c r="C25" s="14"/>
      <c r="D25" s="12"/>
    </row>
    <row r="26" spans="1:7">
      <c r="A26" s="12"/>
      <c r="B26" s="13"/>
      <c r="C26" s="14"/>
      <c r="D26" s="12"/>
    </row>
    <row r="27" spans="1:7">
      <c r="A27" s="12"/>
      <c r="B27" s="13"/>
      <c r="C27" s="14"/>
      <c r="D27" s="12"/>
    </row>
    <row r="28" spans="1:7">
      <c r="A28" s="12"/>
      <c r="B28" s="13"/>
      <c r="C28" s="14"/>
      <c r="D28" s="12"/>
    </row>
    <row r="29" spans="1:7">
      <c r="A29" s="12"/>
      <c r="B29" s="13"/>
      <c r="C29" s="14"/>
      <c r="D29" s="12"/>
    </row>
    <row r="30" spans="1:7">
      <c r="A30" s="205" t="s">
        <v>13</v>
      </c>
      <c r="B30" s="206"/>
      <c r="C30" s="207"/>
      <c r="D30" s="120">
        <f>SUM(D9:D29)</f>
        <v>225398240</v>
      </c>
    </row>
    <row r="31" spans="1:7" ht="34.5" customHeight="1">
      <c r="A31" s="17"/>
      <c r="B31" s="16"/>
      <c r="C31" s="16"/>
      <c r="D31" s="16"/>
      <c r="E31" s="16"/>
      <c r="F31" s="16"/>
      <c r="G31" s="16"/>
    </row>
  </sheetData>
  <mergeCells count="7">
    <mergeCell ref="A30:C30"/>
    <mergeCell ref="A2:D2"/>
    <mergeCell ref="A3:D3"/>
    <mergeCell ref="A7:A8"/>
    <mergeCell ref="B7:C8"/>
    <mergeCell ref="A4:D4"/>
    <mergeCell ref="A5:D5"/>
  </mergeCells>
  <phoneticPr fontId="0" type="noConversion"/>
  <printOptions horizontalCentered="1"/>
  <pageMargins left="0.6692913385826772" right="0.39370078740157483" top="0.39370078740157483" bottom="0.19685039370078741" header="0.51181102362204722" footer="0.51181102362204722"/>
  <pageSetup paperSize="9" scale="99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F0"/>
    <pageSetUpPr fitToPage="1"/>
  </sheetPr>
  <dimension ref="A1:L30"/>
  <sheetViews>
    <sheetView showGridLines="0" zoomScaleNormal="100" zoomScaleSheetLayoutView="100" workbookViewId="0">
      <selection activeCell="K29" sqref="K29"/>
    </sheetView>
  </sheetViews>
  <sheetFormatPr defaultColWidth="9.140625" defaultRowHeight="25.9" customHeight="1"/>
  <cols>
    <col min="1" max="1" width="2.85546875" style="69" customWidth="1"/>
    <col min="2" max="2" width="9.28515625" style="69" customWidth="1"/>
    <col min="3" max="3" width="6.28515625" style="70" customWidth="1"/>
    <col min="4" max="4" width="8.140625" style="69" customWidth="1"/>
    <col min="5" max="5" width="6" style="69" customWidth="1"/>
    <col min="6" max="6" width="14.28515625" style="69" customWidth="1"/>
    <col min="7" max="10" width="8.7109375" style="69" customWidth="1"/>
    <col min="11" max="11" width="4.5703125" style="69" bestFit="1" customWidth="1"/>
    <col min="12" max="12" width="16" style="69" customWidth="1"/>
    <col min="13" max="13" width="35.85546875" style="69" bestFit="1" customWidth="1"/>
    <col min="14" max="14" width="49" style="69" customWidth="1"/>
    <col min="15" max="15" width="40.5703125" style="69" customWidth="1"/>
    <col min="16" max="16" width="28.140625" style="69" customWidth="1"/>
    <col min="17" max="16384" width="9.140625" style="69"/>
  </cols>
  <sheetData>
    <row r="1" spans="1:12" ht="25.9" customHeight="1">
      <c r="K1" s="72"/>
      <c r="L1" s="84" t="s">
        <v>14</v>
      </c>
    </row>
    <row r="2" spans="1:12" ht="25.9" customHeight="1">
      <c r="A2" s="218" t="s">
        <v>15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</row>
    <row r="3" spans="1:12" ht="25.9" customHeight="1">
      <c r="A3" s="218" t="s">
        <v>16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2" ht="25.9" customHeight="1">
      <c r="A4" s="70"/>
      <c r="B4" s="70"/>
      <c r="D4" s="70"/>
      <c r="E4" s="70"/>
      <c r="F4" s="70"/>
      <c r="G4" s="70"/>
      <c r="H4" s="70"/>
      <c r="I4" s="70"/>
      <c r="J4" s="70"/>
      <c r="K4" s="70"/>
    </row>
    <row r="5" spans="1:12" ht="25.9" customHeight="1">
      <c r="A5" s="71" t="s">
        <v>17</v>
      </c>
      <c r="B5" s="72" t="s">
        <v>18</v>
      </c>
      <c r="E5" s="116" t="s">
        <v>2</v>
      </c>
      <c r="F5" s="70"/>
      <c r="G5" s="70"/>
      <c r="H5" s="70"/>
      <c r="I5" s="70"/>
      <c r="J5" s="70"/>
      <c r="K5" s="70"/>
    </row>
    <row r="6" spans="1:12" ht="25.9" customHeight="1">
      <c r="A6" s="72" t="s">
        <v>19</v>
      </c>
      <c r="C6" s="69"/>
      <c r="F6" s="72"/>
      <c r="H6" s="70"/>
      <c r="I6" s="70"/>
      <c r="J6" s="70"/>
      <c r="K6" s="70"/>
    </row>
    <row r="7" spans="1:12" ht="25.9" customHeight="1">
      <c r="A7" s="72"/>
      <c r="B7" s="72" t="s">
        <v>20</v>
      </c>
      <c r="C7" s="69"/>
      <c r="D7" s="4" t="s">
        <v>21</v>
      </c>
      <c r="H7" s="70"/>
      <c r="I7" s="70"/>
      <c r="J7" s="70"/>
      <c r="K7" s="70"/>
    </row>
    <row r="8" spans="1:12" ht="25.9" customHeight="1">
      <c r="A8" s="72"/>
      <c r="C8" s="69"/>
      <c r="D8" s="4" t="s">
        <v>22</v>
      </c>
      <c r="F8" s="73"/>
      <c r="G8" s="4" t="s">
        <v>23</v>
      </c>
      <c r="H8" s="70"/>
      <c r="I8" s="70"/>
      <c r="J8" s="70"/>
      <c r="K8" s="70"/>
    </row>
    <row r="9" spans="1:12" ht="25.9" customHeight="1">
      <c r="B9" s="72" t="s">
        <v>24</v>
      </c>
      <c r="C9" s="75"/>
      <c r="D9" s="75"/>
      <c r="E9" s="75"/>
    </row>
    <row r="10" spans="1:12" ht="25.9" customHeight="1">
      <c r="B10" s="72"/>
      <c r="C10" s="70" t="s">
        <v>25</v>
      </c>
      <c r="D10" s="75" t="s">
        <v>26</v>
      </c>
      <c r="E10" s="75"/>
      <c r="I10" s="70" t="s">
        <v>25</v>
      </c>
      <c r="J10" s="69" t="s">
        <v>27</v>
      </c>
    </row>
    <row r="11" spans="1:12" ht="25.9" customHeight="1">
      <c r="B11" s="74"/>
      <c r="C11" s="70" t="s">
        <v>28</v>
      </c>
      <c r="D11" s="69" t="s">
        <v>29</v>
      </c>
      <c r="I11" s="70" t="s">
        <v>25</v>
      </c>
      <c r="J11" s="69" t="s">
        <v>30</v>
      </c>
    </row>
    <row r="12" spans="1:12" ht="25.9" customHeight="1">
      <c r="B12" s="72" t="s">
        <v>31</v>
      </c>
    </row>
    <row r="13" spans="1:12" ht="25.9" customHeight="1">
      <c r="C13" s="98" t="s">
        <v>32</v>
      </c>
      <c r="I13" s="70" t="s">
        <v>33</v>
      </c>
      <c r="J13" s="69" t="s">
        <v>34</v>
      </c>
    </row>
    <row r="14" spans="1:12" ht="25.9" customHeight="1">
      <c r="C14" s="98" t="s">
        <v>35</v>
      </c>
      <c r="I14" s="70" t="s">
        <v>25</v>
      </c>
      <c r="J14" s="69" t="s">
        <v>36</v>
      </c>
    </row>
    <row r="15" spans="1:12" ht="25.5" customHeight="1">
      <c r="C15" s="98" t="s">
        <v>37</v>
      </c>
      <c r="I15" s="70" t="s">
        <v>25</v>
      </c>
      <c r="J15" s="69" t="s">
        <v>38</v>
      </c>
    </row>
    <row r="16" spans="1:12" ht="21.75" customHeight="1">
      <c r="D16" s="68" t="s">
        <v>39</v>
      </c>
    </row>
    <row r="17" spans="1:11" ht="25.9" customHeight="1">
      <c r="A17" s="103" t="s">
        <v>40</v>
      </c>
      <c r="B17" s="104"/>
      <c r="C17" s="4"/>
      <c r="D17" s="4"/>
      <c r="E17" s="27" t="s">
        <v>41</v>
      </c>
      <c r="F17" s="4" t="s">
        <v>42</v>
      </c>
      <c r="G17" s="4"/>
      <c r="H17" s="4"/>
      <c r="I17" s="70" t="s">
        <v>43</v>
      </c>
      <c r="J17" s="69" t="s">
        <v>44</v>
      </c>
      <c r="K17" s="9"/>
    </row>
    <row r="18" spans="1:11" ht="25.9" customHeight="1">
      <c r="A18" s="103" t="s">
        <v>45</v>
      </c>
      <c r="B18" s="107"/>
      <c r="C18" s="3"/>
      <c r="D18" s="4"/>
      <c r="E18" s="27" t="s">
        <v>41</v>
      </c>
      <c r="F18" s="4" t="s">
        <v>46</v>
      </c>
      <c r="G18" s="4"/>
      <c r="H18" s="4"/>
      <c r="I18" s="4"/>
      <c r="J18" s="4"/>
      <c r="K18" s="9"/>
    </row>
    <row r="19" spans="1:11" ht="25.9" customHeight="1">
      <c r="A19" s="103"/>
      <c r="B19" s="103"/>
      <c r="C19" s="3"/>
      <c r="D19" s="4"/>
      <c r="E19" s="27" t="s">
        <v>41</v>
      </c>
      <c r="F19" s="4" t="s">
        <v>47</v>
      </c>
      <c r="G19" s="4"/>
      <c r="H19" s="4"/>
      <c r="I19" s="4"/>
      <c r="J19" s="4"/>
      <c r="K19" s="4"/>
    </row>
    <row r="20" spans="1:11" ht="25.9" customHeight="1">
      <c r="A20" s="105"/>
      <c r="B20" s="105"/>
      <c r="C20" s="4"/>
      <c r="D20" s="4"/>
      <c r="E20" s="27" t="s">
        <v>41</v>
      </c>
      <c r="F20" s="4" t="s">
        <v>48</v>
      </c>
      <c r="G20" s="4"/>
      <c r="H20" s="4"/>
      <c r="I20" s="4"/>
      <c r="J20" s="4"/>
      <c r="K20" s="4"/>
    </row>
    <row r="21" spans="1:11" ht="25.9" customHeight="1">
      <c r="A21" s="103" t="s">
        <v>49</v>
      </c>
      <c r="B21" s="105"/>
      <c r="C21" s="4"/>
      <c r="D21" s="4"/>
      <c r="E21" s="4"/>
      <c r="F21" s="4"/>
      <c r="G21" s="4"/>
      <c r="H21" s="4"/>
      <c r="I21" s="4"/>
      <c r="J21" s="4"/>
      <c r="K21" s="4"/>
    </row>
    <row r="22" spans="1:11" ht="25.9" customHeight="1">
      <c r="A22" s="103" t="s">
        <v>50</v>
      </c>
      <c r="B22" s="105"/>
      <c r="C22" s="4"/>
      <c r="D22" s="4"/>
      <c r="E22" s="4"/>
      <c r="F22" s="4"/>
      <c r="G22" s="4"/>
      <c r="H22" s="4"/>
      <c r="I22" s="4"/>
      <c r="J22" s="4"/>
      <c r="K22" s="4"/>
    </row>
    <row r="23" spans="1:11" ht="25.9" customHeight="1">
      <c r="A23" s="103" t="s">
        <v>51</v>
      </c>
      <c r="B23" s="105"/>
      <c r="C23" s="3"/>
      <c r="D23" s="4"/>
      <c r="E23" s="4"/>
      <c r="F23" s="4"/>
      <c r="G23" s="217">
        <v>225398240</v>
      </c>
      <c r="H23" s="217"/>
      <c r="I23" s="217"/>
      <c r="J23" s="217"/>
      <c r="K23" s="3" t="s">
        <v>52</v>
      </c>
    </row>
    <row r="24" spans="1:11" ht="25.9" customHeight="1">
      <c r="A24" s="103" t="s">
        <v>53</v>
      </c>
      <c r="B24" s="103"/>
      <c r="C24" s="4"/>
      <c r="D24" s="4"/>
      <c r="E24" s="4"/>
      <c r="F24" s="4"/>
      <c r="G24" s="217" t="s">
        <v>54</v>
      </c>
      <c r="H24" s="217"/>
      <c r="I24" s="217"/>
      <c r="J24" s="217"/>
      <c r="K24" s="3" t="s">
        <v>52</v>
      </c>
    </row>
    <row r="25" spans="1:11" ht="25.9" customHeight="1">
      <c r="A25" s="103" t="s">
        <v>55</v>
      </c>
      <c r="B25" s="105"/>
      <c r="C25" s="4"/>
      <c r="D25" s="3"/>
      <c r="E25" s="4"/>
      <c r="F25" s="82"/>
      <c r="G25" s="217" t="s">
        <v>54</v>
      </c>
      <c r="H25" s="217"/>
      <c r="I25" s="217"/>
      <c r="J25" s="217"/>
      <c r="K25" s="3" t="s">
        <v>52</v>
      </c>
    </row>
    <row r="26" spans="1:11" ht="25.9" customHeight="1">
      <c r="A26" s="103" t="s">
        <v>56</v>
      </c>
      <c r="B26" s="105"/>
      <c r="C26" s="4"/>
      <c r="D26" s="4"/>
      <c r="E26" s="4"/>
      <c r="F26" s="4"/>
      <c r="G26" s="217" t="s">
        <v>54</v>
      </c>
      <c r="H26" s="217"/>
      <c r="I26" s="217"/>
      <c r="J26" s="217"/>
      <c r="K26" s="3" t="s">
        <v>52</v>
      </c>
    </row>
    <row r="27" spans="1:11" ht="25.9" customHeight="1">
      <c r="A27" s="72" t="s">
        <v>57</v>
      </c>
      <c r="B27" s="74"/>
    </row>
    <row r="28" spans="1:11" ht="25.9" customHeight="1">
      <c r="B28" s="117"/>
      <c r="C28" s="118" t="s">
        <v>58</v>
      </c>
    </row>
    <row r="29" spans="1:11" ht="25.9" customHeight="1">
      <c r="B29" s="117" t="s">
        <v>59</v>
      </c>
      <c r="C29" s="119"/>
    </row>
    <row r="30" spans="1:11" ht="25.9" customHeight="1">
      <c r="B30" s="69" t="s">
        <v>60</v>
      </c>
    </row>
  </sheetData>
  <mergeCells count="6">
    <mergeCell ref="G26:J26"/>
    <mergeCell ref="A2:K2"/>
    <mergeCell ref="A3:K3"/>
    <mergeCell ref="G24:J24"/>
    <mergeCell ref="G23:J23"/>
    <mergeCell ref="G25:J25"/>
  </mergeCells>
  <phoneticPr fontId="0" type="noConversion"/>
  <printOptions horizontalCentered="1"/>
  <pageMargins left="0.7" right="0.7" top="0.75" bottom="0.75" header="0.3" footer="0.3"/>
  <pageSetup paperSize="9" scale="91" orientation="portrait" r:id="rId1"/>
  <headerFooter alignWithMargins="0"/>
  <ignoredErrors>
    <ignoredError sqref="A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00B0F0"/>
    <pageSetUpPr fitToPage="1"/>
  </sheetPr>
  <dimension ref="A1:M37"/>
  <sheetViews>
    <sheetView showGridLines="0" zoomScaleNormal="100" zoomScaleSheetLayoutView="100" workbookViewId="0">
      <selection activeCell="F13" sqref="F13"/>
    </sheetView>
  </sheetViews>
  <sheetFormatPr defaultColWidth="9.140625" defaultRowHeight="21"/>
  <cols>
    <col min="1" max="1" width="3.42578125" style="4" customWidth="1"/>
    <col min="2" max="2" width="2.7109375" style="4" customWidth="1"/>
    <col min="3" max="3" width="5.28515625" style="4" customWidth="1"/>
    <col min="4" max="4" width="5.42578125" style="4" customWidth="1"/>
    <col min="5" max="6" width="14.85546875" style="4" customWidth="1"/>
    <col min="7" max="7" width="18.140625" style="4" customWidth="1"/>
    <col min="8" max="8" width="11.7109375" style="4" customWidth="1"/>
    <col min="9" max="9" width="17.7109375" style="4" customWidth="1"/>
    <col min="10" max="10" width="12.7109375" style="4" customWidth="1"/>
    <col min="11" max="11" width="11" style="4" customWidth="1"/>
    <col min="12" max="12" width="14" style="4" customWidth="1"/>
    <col min="13" max="16384" width="9.140625" style="4"/>
  </cols>
  <sheetData>
    <row r="1" spans="2:13">
      <c r="H1" s="219" t="s">
        <v>61</v>
      </c>
      <c r="I1" s="219"/>
      <c r="L1" s="3"/>
    </row>
    <row r="2" spans="2:13" ht="10.5" customHeight="1">
      <c r="B2" s="3"/>
      <c r="C2" s="3"/>
      <c r="D2" s="3"/>
      <c r="E2" s="3"/>
      <c r="F2" s="3"/>
      <c r="G2" s="3"/>
      <c r="H2" s="3"/>
      <c r="I2" s="3"/>
      <c r="J2" s="7"/>
      <c r="K2" s="9"/>
      <c r="L2" s="9"/>
      <c r="M2" s="9"/>
    </row>
    <row r="3" spans="2:13">
      <c r="C3" s="3" t="s">
        <v>62</v>
      </c>
      <c r="D3" s="3"/>
      <c r="E3" s="3"/>
      <c r="F3" s="3"/>
      <c r="G3" s="3"/>
      <c r="H3" s="3"/>
      <c r="I3" s="3"/>
      <c r="J3" s="3"/>
      <c r="K3" s="9"/>
      <c r="L3" s="9"/>
      <c r="M3" s="9"/>
    </row>
    <row r="4" spans="2:13">
      <c r="C4" s="3"/>
      <c r="D4" s="3" t="s">
        <v>63</v>
      </c>
      <c r="F4" s="3"/>
      <c r="G4" s="3"/>
      <c r="H4" s="3"/>
      <c r="I4" s="3"/>
      <c r="J4" s="3"/>
      <c r="L4" s="9"/>
      <c r="M4" s="9"/>
    </row>
    <row r="5" spans="2:13">
      <c r="C5" s="3"/>
      <c r="D5" s="3" t="s">
        <v>64</v>
      </c>
      <c r="F5" s="111" t="s">
        <v>65</v>
      </c>
      <c r="G5" s="3"/>
      <c r="H5" s="3"/>
      <c r="I5" s="3"/>
      <c r="J5" s="3"/>
      <c r="L5" s="9"/>
      <c r="M5" s="9"/>
    </row>
    <row r="6" spans="2:13" ht="16.5" customHeight="1">
      <c r="C6" s="3"/>
      <c r="F6" s="3"/>
      <c r="G6" s="3"/>
      <c r="H6" s="3"/>
      <c r="I6" s="3"/>
      <c r="J6" s="3"/>
      <c r="L6" s="9"/>
      <c r="M6" s="9"/>
    </row>
    <row r="7" spans="2:13">
      <c r="C7" s="3"/>
      <c r="D7" s="3" t="s">
        <v>66</v>
      </c>
      <c r="F7" s="111" t="s">
        <v>67</v>
      </c>
      <c r="G7" s="3"/>
      <c r="H7" s="3"/>
      <c r="I7" s="3"/>
      <c r="J7" s="3"/>
      <c r="L7" s="9"/>
      <c r="M7" s="9"/>
    </row>
    <row r="8" spans="2:13" ht="17.25" customHeight="1">
      <c r="C8" s="3"/>
      <c r="F8" s="3"/>
      <c r="G8" s="3"/>
      <c r="H8" s="3"/>
      <c r="I8" s="3"/>
      <c r="J8" s="3"/>
      <c r="L8" s="9"/>
      <c r="M8" s="9"/>
    </row>
    <row r="9" spans="2:13">
      <c r="D9" s="3" t="s">
        <v>68</v>
      </c>
      <c r="F9" s="111" t="s">
        <v>69</v>
      </c>
      <c r="J9" s="7"/>
      <c r="K9" s="9"/>
      <c r="L9" s="9"/>
      <c r="M9" s="9"/>
    </row>
    <row r="10" spans="2:13" ht="21.6" customHeight="1">
      <c r="D10" s="111" t="s">
        <v>70</v>
      </c>
      <c r="J10" s="7"/>
      <c r="K10" s="9"/>
      <c r="L10" s="9"/>
      <c r="M10" s="9"/>
    </row>
    <row r="11" spans="2:13">
      <c r="D11" s="3" t="s">
        <v>71</v>
      </c>
      <c r="F11" s="111" t="s">
        <v>72</v>
      </c>
      <c r="J11" s="7"/>
      <c r="K11" s="9"/>
      <c r="L11" s="9"/>
      <c r="M11" s="9"/>
    </row>
    <row r="12" spans="2:13" ht="13.5" customHeight="1">
      <c r="J12" s="7"/>
      <c r="K12" s="9"/>
      <c r="L12" s="9"/>
      <c r="M12" s="9"/>
    </row>
    <row r="13" spans="2:13">
      <c r="C13" s="8" t="s">
        <v>73</v>
      </c>
      <c r="D13" s="3"/>
    </row>
    <row r="14" spans="2:13">
      <c r="C14" s="8"/>
      <c r="D14" s="1" t="s">
        <v>74</v>
      </c>
      <c r="F14" s="1"/>
      <c r="G14" s="1"/>
      <c r="H14" s="1"/>
      <c r="I14" s="45"/>
    </row>
    <row r="15" spans="2:13" ht="21" customHeight="1">
      <c r="E15" s="111" t="s">
        <v>75</v>
      </c>
      <c r="F15" s="24"/>
      <c r="G15" s="24"/>
      <c r="H15" s="24"/>
      <c r="I15" s="45"/>
    </row>
    <row r="16" spans="2:13" ht="15" customHeight="1"/>
    <row r="17" spans="1:13">
      <c r="C17" s="8"/>
      <c r="D17" s="3" t="s">
        <v>76</v>
      </c>
    </row>
    <row r="18" spans="1:13" ht="22.9" customHeight="1">
      <c r="E18" s="111" t="s">
        <v>77</v>
      </c>
    </row>
    <row r="19" spans="1:13" ht="15.75" customHeight="1"/>
    <row r="20" spans="1:13">
      <c r="C20" s="3" t="s">
        <v>78</v>
      </c>
      <c r="J20" s="7"/>
      <c r="K20" s="9"/>
      <c r="L20" s="9"/>
      <c r="M20" s="9"/>
    </row>
    <row r="21" spans="1:13" ht="19.149999999999999" customHeight="1">
      <c r="E21" s="112" t="s">
        <v>79</v>
      </c>
      <c r="J21" s="7"/>
      <c r="K21" s="9"/>
      <c r="L21" s="9"/>
      <c r="M21" s="9"/>
    </row>
    <row r="22" spans="1:13" ht="13.5" customHeight="1">
      <c r="D22" s="6"/>
      <c r="J22" s="7"/>
      <c r="K22" s="9"/>
      <c r="L22" s="9"/>
      <c r="M22" s="9"/>
    </row>
    <row r="23" spans="1:13">
      <c r="C23" s="3" t="s">
        <v>80</v>
      </c>
      <c r="J23" s="7"/>
      <c r="K23" s="9"/>
      <c r="L23" s="9"/>
      <c r="M23" s="9"/>
    </row>
    <row r="24" spans="1:13" ht="18" customHeight="1">
      <c r="D24" s="18"/>
      <c r="E24" s="112" t="s">
        <v>81</v>
      </c>
      <c r="J24" s="7"/>
      <c r="K24" s="9"/>
      <c r="L24" s="9"/>
      <c r="M24" s="9"/>
    </row>
    <row r="25" spans="1:13" ht="19.899999999999999" customHeight="1">
      <c r="C25" s="111" t="s">
        <v>82</v>
      </c>
      <c r="D25" s="6"/>
      <c r="J25" s="7"/>
      <c r="K25" s="9"/>
      <c r="L25" s="9"/>
      <c r="M25" s="9"/>
    </row>
    <row r="26" spans="1:13">
      <c r="C26" s="3" t="s">
        <v>83</v>
      </c>
      <c r="J26" s="7"/>
      <c r="K26" s="9"/>
      <c r="L26" s="9"/>
      <c r="M26" s="9"/>
    </row>
    <row r="27" spans="1:13">
      <c r="C27" s="3" t="s">
        <v>84</v>
      </c>
      <c r="J27" s="7"/>
      <c r="K27" s="9"/>
      <c r="L27" s="9"/>
      <c r="M27" s="9"/>
    </row>
    <row r="28" spans="1:13" ht="23.25">
      <c r="C28" s="3"/>
      <c r="D28" s="3" t="s">
        <v>85</v>
      </c>
      <c r="E28"/>
      <c r="F28"/>
      <c r="G28"/>
      <c r="H28"/>
      <c r="I28"/>
      <c r="J28" s="7"/>
      <c r="K28" s="9"/>
      <c r="L28" s="9"/>
      <c r="M28" s="9"/>
    </row>
    <row r="29" spans="1:13" ht="23.25">
      <c r="C29" s="83" t="s">
        <v>86</v>
      </c>
      <c r="D29" s="3"/>
      <c r="E29"/>
      <c r="F29"/>
      <c r="G29"/>
      <c r="H29"/>
      <c r="I29"/>
      <c r="J29" s="7"/>
      <c r="K29" s="9"/>
      <c r="L29" s="9"/>
      <c r="M29" s="9"/>
    </row>
    <row r="30" spans="1:13">
      <c r="C30" s="3" t="s">
        <v>87</v>
      </c>
      <c r="J30" s="7"/>
      <c r="K30" s="9"/>
      <c r="L30" s="9"/>
      <c r="M30" s="9"/>
    </row>
    <row r="31" spans="1:13" ht="28.5" customHeight="1">
      <c r="A31" s="8" t="s">
        <v>88</v>
      </c>
      <c r="B31" s="3" t="s">
        <v>89</v>
      </c>
      <c r="J31" s="7"/>
      <c r="K31" s="9"/>
      <c r="L31" s="9"/>
      <c r="M31" s="9"/>
    </row>
    <row r="32" spans="1:13">
      <c r="C32" s="26" t="s">
        <v>90</v>
      </c>
      <c r="D32" s="3" t="s">
        <v>91</v>
      </c>
      <c r="J32" s="7"/>
      <c r="K32" s="9"/>
      <c r="L32" s="9"/>
      <c r="M32" s="9"/>
    </row>
    <row r="33" spans="6:13">
      <c r="F33" s="46" t="s">
        <v>92</v>
      </c>
      <c r="G33" s="4" t="s">
        <v>93</v>
      </c>
      <c r="H33" s="5" t="s">
        <v>94</v>
      </c>
      <c r="J33" s="7"/>
      <c r="K33" s="9"/>
      <c r="L33" s="9"/>
      <c r="M33" s="9"/>
    </row>
    <row r="34" spans="6:13">
      <c r="F34" s="46" t="s">
        <v>95</v>
      </c>
      <c r="G34" s="4" t="s">
        <v>93</v>
      </c>
      <c r="H34" s="5" t="s">
        <v>96</v>
      </c>
      <c r="J34" s="7"/>
      <c r="K34" s="9"/>
      <c r="L34" s="9"/>
      <c r="M34" s="9"/>
    </row>
    <row r="35" spans="6:13">
      <c r="F35" s="46" t="s">
        <v>97</v>
      </c>
      <c r="G35" s="4" t="s">
        <v>93</v>
      </c>
      <c r="H35" s="5" t="s">
        <v>98</v>
      </c>
      <c r="J35" s="7"/>
      <c r="K35" s="9"/>
      <c r="L35" s="9"/>
      <c r="M35" s="9"/>
    </row>
    <row r="36" spans="6:13">
      <c r="F36" s="46" t="s">
        <v>99</v>
      </c>
      <c r="G36" s="4" t="s">
        <v>93</v>
      </c>
      <c r="H36" s="5" t="s">
        <v>96</v>
      </c>
      <c r="J36" s="7"/>
      <c r="K36" s="9"/>
      <c r="L36" s="9"/>
      <c r="M36" s="9"/>
    </row>
    <row r="37" spans="6:13">
      <c r="F37" s="46" t="s">
        <v>100</v>
      </c>
      <c r="G37" s="4" t="s">
        <v>93</v>
      </c>
      <c r="H37" s="5" t="s">
        <v>96</v>
      </c>
      <c r="J37" s="7"/>
      <c r="K37" s="9"/>
      <c r="L37" s="9"/>
      <c r="M37" s="9"/>
    </row>
  </sheetData>
  <mergeCells count="1">
    <mergeCell ref="H1:I1"/>
  </mergeCells>
  <printOptions horizontalCentered="1"/>
  <pageMargins left="0.6692913385826772" right="0.39370078740157483" top="0.39370078740157483" bottom="0.19685039370078741" header="0.51181102362204722" footer="0.51181102362204722"/>
  <pageSetup paperSize="9" scale="9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</sheetPr>
  <dimension ref="A1:H45"/>
  <sheetViews>
    <sheetView topLeftCell="A31" zoomScale="120" zoomScaleNormal="120" workbookViewId="0">
      <selection activeCell="B44" sqref="B44:B45"/>
    </sheetView>
  </sheetViews>
  <sheetFormatPr defaultColWidth="9.140625" defaultRowHeight="21"/>
  <cols>
    <col min="1" max="1" width="5.140625" style="4" customWidth="1"/>
    <col min="2" max="2" width="151.140625" style="4" bestFit="1" customWidth="1"/>
    <col min="3" max="3" width="24.85546875" style="4" customWidth="1"/>
    <col min="4" max="4" width="24.85546875" style="4" bestFit="1" customWidth="1"/>
    <col min="5" max="5" width="34.5703125" style="4" customWidth="1"/>
    <col min="6" max="16384" width="9.140625" style="4"/>
  </cols>
  <sheetData>
    <row r="1" spans="1:8" s="24" customFormat="1">
      <c r="B1" s="24" t="s">
        <v>101</v>
      </c>
      <c r="C1" s="24" t="s">
        <v>102</v>
      </c>
      <c r="D1" s="24" t="s">
        <v>103</v>
      </c>
      <c r="H1" s="24" t="s">
        <v>104</v>
      </c>
    </row>
    <row r="2" spans="1:8">
      <c r="A2" s="5" t="s">
        <v>105</v>
      </c>
      <c r="B2" s="5" t="s">
        <v>105</v>
      </c>
      <c r="C2" s="64" t="s">
        <v>106</v>
      </c>
      <c r="H2" s="4" t="s">
        <v>107</v>
      </c>
    </row>
    <row r="3" spans="1:8">
      <c r="A3" s="5" t="s">
        <v>108</v>
      </c>
      <c r="B3" s="5" t="s">
        <v>105</v>
      </c>
      <c r="C3" s="64" t="s">
        <v>109</v>
      </c>
      <c r="H3" s="4" t="s">
        <v>110</v>
      </c>
    </row>
    <row r="4" spans="1:8">
      <c r="A4" s="5" t="s">
        <v>111</v>
      </c>
      <c r="B4" s="5" t="s">
        <v>105</v>
      </c>
      <c r="C4" s="64" t="s">
        <v>112</v>
      </c>
      <c r="H4" s="4" t="s">
        <v>113</v>
      </c>
    </row>
    <row r="5" spans="1:8">
      <c r="A5" s="5" t="s">
        <v>114</v>
      </c>
      <c r="B5" s="5" t="s">
        <v>105</v>
      </c>
      <c r="C5" s="64" t="s">
        <v>115</v>
      </c>
      <c r="H5" s="4" t="s">
        <v>116</v>
      </c>
    </row>
    <row r="6" spans="1:8">
      <c r="B6" s="5" t="s">
        <v>108</v>
      </c>
      <c r="C6" s="65" t="s">
        <v>117</v>
      </c>
    </row>
    <row r="7" spans="1:8">
      <c r="A7" s="5"/>
      <c r="B7" s="5" t="s">
        <v>108</v>
      </c>
      <c r="C7" s="65" t="s">
        <v>118</v>
      </c>
    </row>
    <row r="8" spans="1:8" ht="23.25">
      <c r="B8" s="5" t="s">
        <v>111</v>
      </c>
      <c r="C8" s="66" t="s">
        <v>119</v>
      </c>
      <c r="H8"/>
    </row>
    <row r="9" spans="1:8">
      <c r="A9" s="5"/>
      <c r="B9" s="5" t="s">
        <v>111</v>
      </c>
      <c r="C9" s="66" t="s">
        <v>120</v>
      </c>
    </row>
    <row r="10" spans="1:8">
      <c r="B10" s="5" t="s">
        <v>114</v>
      </c>
      <c r="C10" s="67" t="s">
        <v>121</v>
      </c>
    </row>
    <row r="11" spans="1:8">
      <c r="B11" s="5" t="s">
        <v>114</v>
      </c>
      <c r="C11" s="67" t="s">
        <v>122</v>
      </c>
    </row>
    <row r="12" spans="1:8">
      <c r="B12" s="5" t="s">
        <v>114</v>
      </c>
      <c r="C12" s="67" t="s">
        <v>123</v>
      </c>
    </row>
    <row r="13" spans="1:8">
      <c r="B13" s="64" t="s">
        <v>106</v>
      </c>
      <c r="C13" s="64" t="s">
        <v>124</v>
      </c>
    </row>
    <row r="14" spans="1:8">
      <c r="B14" s="64" t="s">
        <v>106</v>
      </c>
      <c r="C14" s="64" t="s">
        <v>125</v>
      </c>
    </row>
    <row r="15" spans="1:8">
      <c r="B15" s="64" t="s">
        <v>109</v>
      </c>
      <c r="C15" s="64" t="s">
        <v>126</v>
      </c>
    </row>
    <row r="16" spans="1:8">
      <c r="B16" s="64" t="s">
        <v>109</v>
      </c>
      <c r="C16" s="64" t="s">
        <v>127</v>
      </c>
    </row>
    <row r="17" spans="2:3">
      <c r="B17" s="64" t="s">
        <v>112</v>
      </c>
      <c r="C17" s="64" t="s">
        <v>128</v>
      </c>
    </row>
    <row r="18" spans="2:3">
      <c r="B18" s="64" t="s">
        <v>112</v>
      </c>
      <c r="C18" s="64" t="s">
        <v>129</v>
      </c>
    </row>
    <row r="19" spans="2:3">
      <c r="B19" s="64" t="s">
        <v>115</v>
      </c>
      <c r="C19" s="64" t="s">
        <v>130</v>
      </c>
    </row>
    <row r="20" spans="2:3">
      <c r="B20" s="65" t="s">
        <v>117</v>
      </c>
      <c r="C20" s="65" t="s">
        <v>131</v>
      </c>
    </row>
    <row r="21" spans="2:3">
      <c r="B21" s="65" t="s">
        <v>117</v>
      </c>
      <c r="C21" s="65" t="s">
        <v>132</v>
      </c>
    </row>
    <row r="22" spans="2:3">
      <c r="B22" s="65" t="s">
        <v>118</v>
      </c>
      <c r="C22" s="65" t="s">
        <v>133</v>
      </c>
    </row>
    <row r="23" spans="2:3">
      <c r="B23" s="65" t="s">
        <v>118</v>
      </c>
      <c r="C23" s="65" t="s">
        <v>134</v>
      </c>
    </row>
    <row r="24" spans="2:3">
      <c r="B24" s="65" t="s">
        <v>118</v>
      </c>
      <c r="C24" s="65" t="s">
        <v>135</v>
      </c>
    </row>
    <row r="25" spans="2:3">
      <c r="B25" s="66" t="s">
        <v>119</v>
      </c>
      <c r="C25" s="66" t="s">
        <v>136</v>
      </c>
    </row>
    <row r="26" spans="2:3">
      <c r="B26" s="66" t="s">
        <v>120</v>
      </c>
      <c r="C26" s="66" t="s">
        <v>137</v>
      </c>
    </row>
    <row r="27" spans="2:3">
      <c r="B27" s="67" t="s">
        <v>121</v>
      </c>
      <c r="C27" s="67" t="s">
        <v>138</v>
      </c>
    </row>
    <row r="28" spans="2:3">
      <c r="B28" s="67" t="s">
        <v>122</v>
      </c>
      <c r="C28" s="67" t="s">
        <v>139</v>
      </c>
    </row>
    <row r="29" spans="2:3">
      <c r="B29" s="67" t="s">
        <v>122</v>
      </c>
      <c r="C29" s="67" t="s">
        <v>140</v>
      </c>
    </row>
    <row r="30" spans="2:3">
      <c r="B30" s="67" t="s">
        <v>122</v>
      </c>
      <c r="C30" s="67" t="s">
        <v>141</v>
      </c>
    </row>
    <row r="31" spans="2:3">
      <c r="B31" s="67" t="s">
        <v>123</v>
      </c>
      <c r="C31" s="67" t="s">
        <v>142</v>
      </c>
    </row>
    <row r="35" spans="2:2" ht="21" customHeight="1">
      <c r="B35" s="85" t="s">
        <v>143</v>
      </c>
    </row>
    <row r="36" spans="2:2" ht="21" customHeight="1">
      <c r="B36" s="85" t="s">
        <v>144</v>
      </c>
    </row>
    <row r="37" spans="2:2" ht="21" customHeight="1">
      <c r="B37" s="85" t="s">
        <v>145</v>
      </c>
    </row>
    <row r="38" spans="2:2" ht="21" customHeight="1">
      <c r="B38" s="4" t="s">
        <v>146</v>
      </c>
    </row>
    <row r="39" spans="2:2">
      <c r="B39" s="4" t="s">
        <v>147</v>
      </c>
    </row>
    <row r="40" spans="2:2">
      <c r="B40" s="85" t="s">
        <v>148</v>
      </c>
    </row>
    <row r="41" spans="2:2">
      <c r="B41" s="85" t="s">
        <v>149</v>
      </c>
    </row>
    <row r="42" spans="2:2">
      <c r="B42" s="85" t="s">
        <v>150</v>
      </c>
    </row>
    <row r="43" spans="2:2">
      <c r="B43" s="85" t="s">
        <v>151</v>
      </c>
    </row>
    <row r="44" spans="2:2">
      <c r="B44" s="4" t="s">
        <v>152</v>
      </c>
    </row>
    <row r="45" spans="2:2">
      <c r="B45" s="4" t="s">
        <v>153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AB27"/>
  <sheetViews>
    <sheetView showGridLines="0" topLeftCell="A6" zoomScaleNormal="100" zoomScaleSheetLayoutView="100" workbookViewId="0">
      <selection activeCell="I27" sqref="I27"/>
    </sheetView>
  </sheetViews>
  <sheetFormatPr defaultColWidth="9.140625" defaultRowHeight="25.9" customHeight="1"/>
  <cols>
    <col min="1" max="1" width="4.140625" style="70" customWidth="1"/>
    <col min="2" max="2" width="27" style="87" customWidth="1"/>
    <col min="3" max="3" width="6.85546875" style="87" customWidth="1"/>
    <col min="4" max="4" width="4.85546875" style="87" customWidth="1"/>
    <col min="5" max="5" width="21" style="87" customWidth="1"/>
    <col min="6" max="10" width="5.28515625" style="87" customWidth="1"/>
    <col min="11" max="11" width="4.5703125" style="87" customWidth="1"/>
    <col min="12" max="12" width="5.28515625" style="87" customWidth="1"/>
    <col min="13" max="13" width="4.42578125" style="87" customWidth="1"/>
    <col min="14" max="14" width="5.140625" style="87" customWidth="1"/>
    <col min="15" max="15" width="3.28515625" style="87" customWidth="1"/>
    <col min="16" max="16" width="4.42578125" style="87" customWidth="1"/>
    <col min="17" max="17" width="6.42578125" style="87" customWidth="1"/>
    <col min="18" max="18" width="4.42578125" style="87" customWidth="1"/>
    <col min="19" max="19" width="4.85546875" style="87" customWidth="1"/>
    <col min="20" max="20" width="4.7109375" style="87" customWidth="1"/>
    <col min="21" max="21" width="4.42578125" style="87" customWidth="1"/>
    <col min="22" max="22" width="4.7109375" style="87" customWidth="1"/>
    <col min="23" max="23" width="6.28515625" style="87" customWidth="1"/>
    <col min="24" max="24" width="7.140625" style="87" bestFit="1" customWidth="1"/>
    <col min="25" max="16384" width="9.140625" style="69"/>
  </cols>
  <sheetData>
    <row r="1" spans="1:27" ht="21">
      <c r="W1" s="80" t="s">
        <v>154</v>
      </c>
    </row>
    <row r="2" spans="1:27" ht="21">
      <c r="A2" s="72" t="s">
        <v>155</v>
      </c>
      <c r="B2" s="69"/>
      <c r="C2" s="69"/>
      <c r="F2" s="69"/>
      <c r="G2" s="69"/>
      <c r="H2" s="69"/>
      <c r="O2" s="69"/>
      <c r="P2" s="69"/>
      <c r="W2" s="80"/>
      <c r="X2" s="69"/>
    </row>
    <row r="3" spans="1:27" s="68" customFormat="1" ht="29.25" customHeight="1">
      <c r="A3" s="87"/>
      <c r="B3" s="81" t="s">
        <v>156</v>
      </c>
      <c r="C3" s="81"/>
      <c r="D3" s="87"/>
      <c r="E3" s="87"/>
      <c r="F3" s="81"/>
      <c r="G3" s="81"/>
      <c r="H3" s="81"/>
      <c r="I3" s="87"/>
      <c r="J3" s="87"/>
      <c r="K3" s="87"/>
      <c r="L3" s="87"/>
      <c r="M3" s="87"/>
      <c r="N3" s="87"/>
      <c r="O3" s="81"/>
      <c r="P3" s="81"/>
      <c r="Q3" s="87"/>
      <c r="R3" s="87"/>
      <c r="S3" s="87"/>
      <c r="T3" s="87"/>
      <c r="U3" s="87"/>
      <c r="V3" s="87"/>
      <c r="W3" s="80"/>
      <c r="X3" s="81"/>
    </row>
    <row r="4" spans="1:27" ht="25.9" customHeight="1">
      <c r="A4" s="268" t="s">
        <v>157</v>
      </c>
      <c r="B4" s="269"/>
      <c r="C4" s="270"/>
      <c r="D4" s="268" t="s">
        <v>158</v>
      </c>
      <c r="E4" s="269"/>
      <c r="F4" s="269"/>
      <c r="G4" s="269"/>
      <c r="H4" s="270"/>
      <c r="I4" s="268" t="s">
        <v>159</v>
      </c>
      <c r="J4" s="269"/>
      <c r="K4" s="269"/>
      <c r="L4" s="269"/>
      <c r="M4" s="269"/>
      <c r="N4" s="269"/>
      <c r="O4" s="269"/>
      <c r="P4" s="270"/>
      <c r="Q4" s="268" t="s">
        <v>160</v>
      </c>
      <c r="R4" s="269"/>
      <c r="S4" s="269"/>
      <c r="T4" s="269"/>
      <c r="U4" s="269"/>
      <c r="V4" s="269"/>
      <c r="W4" s="269"/>
      <c r="X4" s="270"/>
    </row>
    <row r="5" spans="1:27" ht="124.15" customHeight="1">
      <c r="A5" s="271" t="s">
        <v>161</v>
      </c>
      <c r="B5" s="272"/>
      <c r="C5" s="273"/>
      <c r="D5" s="271" t="s">
        <v>162</v>
      </c>
      <c r="E5" s="272"/>
      <c r="F5" s="272"/>
      <c r="G5" s="272"/>
      <c r="H5" s="273"/>
      <c r="I5" s="271" t="s">
        <v>163</v>
      </c>
      <c r="J5" s="272"/>
      <c r="K5" s="272"/>
      <c r="L5" s="272"/>
      <c r="M5" s="272"/>
      <c r="N5" s="272"/>
      <c r="O5" s="272"/>
      <c r="P5" s="273"/>
      <c r="Q5" s="271" t="s">
        <v>164</v>
      </c>
      <c r="R5" s="272"/>
      <c r="S5" s="272"/>
      <c r="T5" s="272"/>
      <c r="U5" s="272"/>
      <c r="V5" s="272"/>
      <c r="W5" s="272"/>
      <c r="X5" s="273"/>
      <c r="Y5" s="4"/>
      <c r="Z5" s="4"/>
      <c r="AA5" s="4"/>
    </row>
    <row r="6" spans="1:27" s="68" customFormat="1" ht="97.9" customHeight="1">
      <c r="A6" s="96" t="s">
        <v>165</v>
      </c>
      <c r="B6" s="101" t="s">
        <v>166</v>
      </c>
      <c r="C6" s="88" t="s">
        <v>167</v>
      </c>
      <c r="D6" s="93" t="s">
        <v>168</v>
      </c>
      <c r="E6" s="229" t="s">
        <v>169</v>
      </c>
      <c r="F6" s="229"/>
      <c r="G6" s="244">
        <v>1</v>
      </c>
      <c r="H6" s="245"/>
      <c r="I6" s="93" t="s">
        <v>165</v>
      </c>
      <c r="J6" s="229" t="s">
        <v>170</v>
      </c>
      <c r="K6" s="229"/>
      <c r="L6" s="229"/>
      <c r="M6" s="229"/>
      <c r="N6" s="229"/>
      <c r="O6" s="274" t="s">
        <v>167</v>
      </c>
      <c r="P6" s="245"/>
      <c r="Q6" s="93" t="s">
        <v>165</v>
      </c>
      <c r="R6" s="229" t="s">
        <v>171</v>
      </c>
      <c r="S6" s="229"/>
      <c r="T6" s="229"/>
      <c r="U6" s="229"/>
      <c r="V6" s="229"/>
      <c r="W6" s="229"/>
      <c r="X6" s="99" t="s">
        <v>167</v>
      </c>
      <c r="Y6" s="2"/>
      <c r="Z6" s="2"/>
      <c r="AA6" s="2"/>
    </row>
    <row r="7" spans="1:27" s="68" customFormat="1" ht="168.6" customHeight="1">
      <c r="A7" s="96" t="s">
        <v>172</v>
      </c>
      <c r="B7" s="88" t="s">
        <v>173</v>
      </c>
      <c r="C7" s="88" t="s">
        <v>167</v>
      </c>
      <c r="D7" s="93" t="s">
        <v>165</v>
      </c>
      <c r="E7" s="230" t="s">
        <v>174</v>
      </c>
      <c r="F7" s="230"/>
      <c r="G7" s="246" t="s">
        <v>167</v>
      </c>
      <c r="H7" s="247"/>
      <c r="I7" s="93" t="s">
        <v>165</v>
      </c>
      <c r="J7" s="230" t="s">
        <v>175</v>
      </c>
      <c r="K7" s="230"/>
      <c r="L7" s="230"/>
      <c r="M7" s="230"/>
      <c r="N7" s="230"/>
      <c r="O7" s="246" t="s">
        <v>167</v>
      </c>
      <c r="P7" s="247"/>
      <c r="Q7" s="93" t="s">
        <v>165</v>
      </c>
      <c r="R7" s="230" t="s">
        <v>176</v>
      </c>
      <c r="S7" s="230"/>
      <c r="T7" s="230"/>
      <c r="U7" s="230"/>
      <c r="V7" s="230"/>
      <c r="W7" s="230"/>
      <c r="X7" s="90" t="s">
        <v>167</v>
      </c>
      <c r="Y7" s="2"/>
      <c r="Z7" s="2"/>
      <c r="AA7" s="2"/>
    </row>
    <row r="8" spans="1:27" s="68" customFormat="1" ht="78.75" customHeight="1">
      <c r="A8" s="96" t="s">
        <v>165</v>
      </c>
      <c r="B8" s="88" t="s">
        <v>177</v>
      </c>
      <c r="C8" s="88" t="s">
        <v>167</v>
      </c>
      <c r="D8" s="93"/>
      <c r="E8" s="88"/>
      <c r="F8" s="88"/>
      <c r="G8" s="88"/>
      <c r="H8" s="88"/>
      <c r="I8" s="93" t="s">
        <v>165</v>
      </c>
      <c r="J8" s="230" t="s">
        <v>178</v>
      </c>
      <c r="K8" s="230"/>
      <c r="L8" s="230"/>
      <c r="M8" s="230"/>
      <c r="N8" s="230"/>
      <c r="O8" s="246" t="s">
        <v>167</v>
      </c>
      <c r="P8" s="247"/>
      <c r="Q8" s="93"/>
      <c r="R8" s="100"/>
      <c r="S8" s="100"/>
      <c r="T8" s="100"/>
      <c r="U8" s="100"/>
      <c r="V8" s="100"/>
      <c r="W8" s="88"/>
      <c r="X8" s="90"/>
      <c r="Y8" s="2"/>
      <c r="Z8" s="2"/>
      <c r="AA8" s="2"/>
    </row>
    <row r="9" spans="1:27" s="68" customFormat="1" ht="68.25" customHeight="1">
      <c r="A9" s="97"/>
      <c r="B9" s="92"/>
      <c r="C9" s="92"/>
      <c r="D9" s="95">
        <v>225398240</v>
      </c>
      <c r="E9" s="92"/>
      <c r="F9" s="92"/>
      <c r="G9" s="92"/>
      <c r="H9" s="92"/>
      <c r="I9" s="94" t="s">
        <v>165</v>
      </c>
      <c r="J9" s="243" t="s">
        <v>179</v>
      </c>
      <c r="K9" s="243"/>
      <c r="L9" s="243"/>
      <c r="M9" s="243"/>
      <c r="N9" s="243"/>
      <c r="O9" s="227" t="s">
        <v>167</v>
      </c>
      <c r="P9" s="228"/>
      <c r="Q9" s="95"/>
      <c r="R9" s="106"/>
      <c r="S9" s="106"/>
      <c r="T9" s="106"/>
      <c r="U9" s="106"/>
      <c r="V9" s="106"/>
      <c r="W9" s="92"/>
      <c r="X9" s="91"/>
      <c r="Y9" s="2"/>
      <c r="Z9" s="2"/>
      <c r="AA9" s="2"/>
    </row>
    <row r="10" spans="1:27" s="68" customFormat="1" ht="21">
      <c r="A10" s="86"/>
      <c r="B10" s="229" t="s">
        <v>180</v>
      </c>
      <c r="C10" s="229"/>
      <c r="D10" s="229"/>
      <c r="E10" s="229"/>
      <c r="F10" s="88"/>
      <c r="G10" s="88"/>
      <c r="H10" s="88"/>
      <c r="I10" s="100"/>
      <c r="J10" s="100"/>
      <c r="K10" s="100"/>
      <c r="L10" s="88"/>
      <c r="M10" s="88"/>
      <c r="N10" s="88"/>
      <c r="O10" s="88"/>
      <c r="P10" s="88"/>
      <c r="Q10" s="79"/>
      <c r="R10" s="79"/>
      <c r="S10" s="79"/>
      <c r="T10" s="79"/>
      <c r="U10" s="79"/>
      <c r="V10" s="79"/>
      <c r="W10" s="88"/>
      <c r="X10" s="88"/>
      <c r="Y10" s="2"/>
      <c r="Z10" s="2"/>
      <c r="AA10" s="2"/>
    </row>
    <row r="11" spans="1:27" s="68" customFormat="1" ht="32.25" customHeight="1">
      <c r="A11" s="69"/>
      <c r="B11" s="74" t="s">
        <v>181</v>
      </c>
      <c r="C11" s="74"/>
      <c r="D11" s="69"/>
      <c r="E11" s="69"/>
      <c r="F11" s="74"/>
      <c r="G11" s="74"/>
      <c r="H11" s="74"/>
      <c r="I11" s="69"/>
      <c r="J11" s="69"/>
      <c r="K11" s="69"/>
      <c r="L11" s="69"/>
      <c r="M11" s="69"/>
      <c r="N11" s="69"/>
      <c r="O11" s="74"/>
      <c r="P11" s="74"/>
      <c r="Q11" s="69"/>
      <c r="R11" s="69"/>
      <c r="S11" s="69"/>
      <c r="T11" s="69"/>
      <c r="U11" s="69"/>
      <c r="V11" s="69"/>
      <c r="W11" s="69"/>
      <c r="X11" s="74"/>
      <c r="Y11" s="70"/>
      <c r="Z11" s="70"/>
      <c r="AA11" s="4"/>
    </row>
    <row r="12" spans="1:27" s="68" customFormat="1" ht="23.25">
      <c r="A12" s="69"/>
      <c r="B12" s="80" t="s">
        <v>182</v>
      </c>
      <c r="C12" s="240" t="s">
        <v>113</v>
      </c>
      <c r="D12" s="240"/>
      <c r="E12" s="240"/>
      <c r="F12" s="240"/>
      <c r="G12" s="240"/>
      <c r="H12" s="24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7" s="68" customFormat="1" ht="21">
      <c r="B13" s="80" t="s">
        <v>183</v>
      </c>
      <c r="C13" s="121" t="s">
        <v>184</v>
      </c>
      <c r="D13" s="89"/>
      <c r="E13" s="89"/>
      <c r="F13" s="80"/>
      <c r="G13" s="80"/>
      <c r="H13" s="80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7" s="68" customFormat="1" ht="21">
      <c r="B14" s="80"/>
      <c r="C14" s="89"/>
      <c r="D14" s="89"/>
      <c r="E14" s="89"/>
      <c r="F14" s="80"/>
      <c r="G14" s="80"/>
      <c r="H14" s="80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7" s="68" customFormat="1" ht="25.5" customHeight="1">
      <c r="A15" s="3" t="s">
        <v>185</v>
      </c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7"/>
    </row>
    <row r="16" spans="1:27" s="68" customFormat="1" ht="30.75" customHeight="1">
      <c r="A16" s="5"/>
      <c r="B16" s="1" t="s">
        <v>186</v>
      </c>
      <c r="C16" s="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8" s="68" customFormat="1" ht="21">
      <c r="A17" s="211" t="s">
        <v>187</v>
      </c>
      <c r="B17" s="251"/>
      <c r="C17" s="251"/>
      <c r="D17" s="212"/>
      <c r="E17" s="209" t="s">
        <v>188</v>
      </c>
      <c r="F17" s="235" t="s">
        <v>189</v>
      </c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7" t="s">
        <v>13</v>
      </c>
      <c r="S17" s="237"/>
      <c r="T17" s="237"/>
      <c r="U17" s="238"/>
      <c r="V17" s="238"/>
      <c r="W17" s="239"/>
      <c r="X17" s="215"/>
    </row>
    <row r="18" spans="1:28" s="68" customFormat="1" ht="21.75" customHeight="1">
      <c r="A18" s="258"/>
      <c r="B18" s="215"/>
      <c r="C18" s="215"/>
      <c r="D18" s="259"/>
      <c r="E18" s="260"/>
      <c r="F18" s="211" t="s">
        <v>190</v>
      </c>
      <c r="G18" s="251"/>
      <c r="H18" s="212"/>
      <c r="I18" s="211" t="s">
        <v>191</v>
      </c>
      <c r="J18" s="251"/>
      <c r="K18" s="212"/>
      <c r="L18" s="211" t="s">
        <v>192</v>
      </c>
      <c r="M18" s="251"/>
      <c r="N18" s="212"/>
      <c r="O18" s="262" t="s">
        <v>193</v>
      </c>
      <c r="P18" s="263"/>
      <c r="Q18" s="264"/>
      <c r="R18" s="237"/>
      <c r="S18" s="237"/>
      <c r="T18" s="237"/>
      <c r="U18" s="238"/>
      <c r="V18" s="238"/>
      <c r="W18" s="239"/>
      <c r="X18" s="215"/>
    </row>
    <row r="19" spans="1:28" ht="25.9" customHeight="1">
      <c r="A19" s="213"/>
      <c r="B19" s="252"/>
      <c r="C19" s="252"/>
      <c r="D19" s="214"/>
      <c r="E19" s="261"/>
      <c r="F19" s="213" t="s">
        <v>194</v>
      </c>
      <c r="G19" s="252"/>
      <c r="H19" s="214"/>
      <c r="I19" s="213"/>
      <c r="J19" s="252"/>
      <c r="K19" s="214"/>
      <c r="L19" s="213"/>
      <c r="M19" s="252"/>
      <c r="N19" s="214"/>
      <c r="O19" s="265"/>
      <c r="P19" s="266"/>
      <c r="Q19" s="267"/>
      <c r="R19" s="237"/>
      <c r="S19" s="237"/>
      <c r="T19" s="237"/>
      <c r="U19" s="238"/>
      <c r="V19" s="238"/>
      <c r="W19" s="239"/>
      <c r="X19" s="215"/>
    </row>
    <row r="20" spans="1:28" ht="24.75" customHeight="1">
      <c r="A20" s="48" t="s">
        <v>17</v>
      </c>
      <c r="B20" s="16" t="s">
        <v>195</v>
      </c>
      <c r="C20" s="6"/>
      <c r="D20" s="14"/>
      <c r="E20" s="12"/>
      <c r="F20" s="222">
        <v>44564580</v>
      </c>
      <c r="G20" s="223"/>
      <c r="H20" s="234"/>
      <c r="I20" s="222">
        <v>69686650</v>
      </c>
      <c r="J20" s="223"/>
      <c r="K20" s="234"/>
      <c r="L20" s="222">
        <v>64260160</v>
      </c>
      <c r="M20" s="223"/>
      <c r="N20" s="234"/>
      <c r="O20" s="222">
        <v>46886850</v>
      </c>
      <c r="P20" s="223"/>
      <c r="Q20" s="234"/>
      <c r="R20" s="222">
        <f>SUM(F20:Q20)</f>
        <v>225398240</v>
      </c>
      <c r="S20" s="223"/>
      <c r="T20" s="223"/>
      <c r="U20" s="241"/>
      <c r="V20" s="241"/>
      <c r="W20" s="242"/>
      <c r="X20" s="4"/>
    </row>
    <row r="21" spans="1:28" ht="24.75" customHeight="1">
      <c r="A21" s="48"/>
      <c r="B21" s="4"/>
      <c r="C21" s="6"/>
      <c r="D21" s="14"/>
      <c r="E21" s="12"/>
      <c r="F21" s="221"/>
      <c r="G21" s="224"/>
      <c r="H21" s="253"/>
      <c r="I21" s="4"/>
      <c r="J21" s="4"/>
      <c r="K21" s="4"/>
      <c r="L21" s="221"/>
      <c r="M21" s="224"/>
      <c r="N21" s="253"/>
      <c r="O21" s="231"/>
      <c r="P21" s="232"/>
      <c r="Q21" s="233"/>
      <c r="R21" s="221"/>
      <c r="S21" s="224"/>
      <c r="T21" s="224"/>
      <c r="U21" s="220"/>
      <c r="V21" s="220"/>
      <c r="W21" s="221"/>
      <c r="X21" s="4"/>
    </row>
    <row r="22" spans="1:28" s="68" customFormat="1" ht="24.75" customHeight="1">
      <c r="A22" s="48"/>
      <c r="B22" s="4"/>
      <c r="C22" s="6"/>
      <c r="D22" s="14"/>
      <c r="E22" s="12"/>
      <c r="F22" s="221"/>
      <c r="G22" s="224"/>
      <c r="H22" s="253"/>
      <c r="I22" s="4"/>
      <c r="J22" s="4"/>
      <c r="K22" s="4"/>
      <c r="L22" s="221"/>
      <c r="M22" s="224"/>
      <c r="N22" s="253"/>
      <c r="O22" s="221"/>
      <c r="P22" s="224"/>
      <c r="Q22" s="253"/>
      <c r="R22" s="221"/>
      <c r="S22" s="224"/>
      <c r="T22" s="224"/>
      <c r="U22" s="220"/>
      <c r="V22" s="220"/>
      <c r="W22" s="221"/>
      <c r="X22" s="4"/>
      <c r="Y22" s="69"/>
      <c r="Z22" s="69"/>
      <c r="AA22" s="69"/>
      <c r="AB22" s="69"/>
    </row>
    <row r="23" spans="1:28" ht="24.75" customHeight="1">
      <c r="A23" s="48"/>
      <c r="B23" s="4"/>
      <c r="C23" s="6"/>
      <c r="D23" s="14"/>
      <c r="E23" s="12"/>
      <c r="F23" s="254"/>
      <c r="G23" s="255"/>
      <c r="H23" s="256"/>
      <c r="I23" s="4"/>
      <c r="J23" s="4"/>
      <c r="K23" s="4"/>
      <c r="L23" s="221"/>
      <c r="M23" s="224"/>
      <c r="N23" s="253"/>
      <c r="O23" s="254"/>
      <c r="P23" s="255"/>
      <c r="Q23" s="256"/>
      <c r="R23" s="221"/>
      <c r="S23" s="224"/>
      <c r="T23" s="224"/>
      <c r="U23" s="220"/>
      <c r="V23" s="220"/>
      <c r="W23" s="221"/>
      <c r="X23" s="4"/>
    </row>
    <row r="24" spans="1:28" ht="27.75" customHeight="1">
      <c r="A24" s="248" t="s">
        <v>196</v>
      </c>
      <c r="B24" s="249"/>
      <c r="C24" s="249"/>
      <c r="D24" s="250"/>
      <c r="E24" s="15"/>
      <c r="F24" s="225">
        <f>F20/R20*100</f>
        <v>19.771485349663777</v>
      </c>
      <c r="G24" s="226"/>
      <c r="H24" s="257"/>
      <c r="I24" s="225">
        <f>I20/R20*100</f>
        <v>30.91712251169308</v>
      </c>
      <c r="J24" s="226"/>
      <c r="K24" s="257"/>
      <c r="L24" s="225">
        <f>L20/R20*100</f>
        <v>28.509610367853806</v>
      </c>
      <c r="M24" s="226"/>
      <c r="N24" s="257"/>
      <c r="O24" s="225">
        <f>O20/R20*100</f>
        <v>20.801781770789336</v>
      </c>
      <c r="P24" s="226"/>
      <c r="Q24" s="257"/>
      <c r="R24" s="225">
        <f>SUM(F24:Q24)</f>
        <v>100</v>
      </c>
      <c r="S24" s="226"/>
      <c r="T24" s="226"/>
      <c r="U24" s="220"/>
      <c r="V24" s="220"/>
      <c r="W24" s="221"/>
      <c r="X24" s="122"/>
    </row>
    <row r="25" spans="1:28" ht="27.75" customHeight="1">
      <c r="A25" s="26"/>
      <c r="B25" s="82" t="s">
        <v>197</v>
      </c>
      <c r="C25" s="4"/>
      <c r="D25" s="4"/>
      <c r="H25" s="27"/>
      <c r="J25" s="4"/>
      <c r="K25" s="4"/>
      <c r="L25" s="4"/>
      <c r="M25" s="4"/>
      <c r="N25" s="4"/>
      <c r="R25" s="4"/>
      <c r="S25" s="4"/>
      <c r="T25" s="4"/>
      <c r="U25" s="4"/>
      <c r="V25" s="4"/>
      <c r="X25" s="4"/>
    </row>
    <row r="26" spans="1:28" ht="27.75" customHeight="1">
      <c r="A26" s="9"/>
      <c r="B26" s="82" t="s">
        <v>198</v>
      </c>
      <c r="C26" s="4"/>
      <c r="D26" s="4"/>
      <c r="G26" s="4"/>
      <c r="H26" s="27"/>
      <c r="J26" s="4"/>
      <c r="K26" s="4"/>
      <c r="L26" s="4"/>
      <c r="M26" s="4"/>
      <c r="N26" s="4"/>
      <c r="O26" s="3"/>
      <c r="P26" s="3"/>
      <c r="Q26" s="4"/>
      <c r="R26" s="4"/>
      <c r="S26" s="4"/>
      <c r="T26" s="4"/>
      <c r="U26" s="4"/>
      <c r="V26" s="4"/>
      <c r="W26" s="4"/>
      <c r="X26" s="4"/>
    </row>
    <row r="27" spans="1:28" ht="25.9" customHeight="1">
      <c r="B27" s="82" t="s">
        <v>199</v>
      </c>
      <c r="C27" s="82"/>
    </row>
  </sheetData>
  <mergeCells count="63">
    <mergeCell ref="X17:X19"/>
    <mergeCell ref="A4:C4"/>
    <mergeCell ref="Q4:X4"/>
    <mergeCell ref="A5:C5"/>
    <mergeCell ref="Q5:X5"/>
    <mergeCell ref="D4:H4"/>
    <mergeCell ref="D5:H5"/>
    <mergeCell ref="I4:P4"/>
    <mergeCell ref="I5:P5"/>
    <mergeCell ref="J6:N6"/>
    <mergeCell ref="E6:F6"/>
    <mergeCell ref="O6:P6"/>
    <mergeCell ref="O7:P7"/>
    <mergeCell ref="B10:E10"/>
    <mergeCell ref="O8:P8"/>
    <mergeCell ref="E7:F7"/>
    <mergeCell ref="O24:Q24"/>
    <mergeCell ref="O18:Q19"/>
    <mergeCell ref="L24:N24"/>
    <mergeCell ref="I18:K19"/>
    <mergeCell ref="L18:N19"/>
    <mergeCell ref="L21:N21"/>
    <mergeCell ref="L22:N22"/>
    <mergeCell ref="L23:N23"/>
    <mergeCell ref="I20:K20"/>
    <mergeCell ref="O23:Q23"/>
    <mergeCell ref="O22:Q22"/>
    <mergeCell ref="I24:K24"/>
    <mergeCell ref="J7:N7"/>
    <mergeCell ref="A24:D24"/>
    <mergeCell ref="F18:H18"/>
    <mergeCell ref="F19:H19"/>
    <mergeCell ref="F20:H20"/>
    <mergeCell ref="F21:H21"/>
    <mergeCell ref="F22:H22"/>
    <mergeCell ref="F23:H23"/>
    <mergeCell ref="F24:H24"/>
    <mergeCell ref="A17:D19"/>
    <mergeCell ref="E17:E19"/>
    <mergeCell ref="O9:P9"/>
    <mergeCell ref="R6:W6"/>
    <mergeCell ref="R7:W7"/>
    <mergeCell ref="O21:Q21"/>
    <mergeCell ref="O20:Q20"/>
    <mergeCell ref="F17:Q17"/>
    <mergeCell ref="R17:T19"/>
    <mergeCell ref="U17:W19"/>
    <mergeCell ref="C12:H12"/>
    <mergeCell ref="U20:W20"/>
    <mergeCell ref="U21:W21"/>
    <mergeCell ref="L20:N20"/>
    <mergeCell ref="J8:N8"/>
    <mergeCell ref="J9:N9"/>
    <mergeCell ref="G6:H6"/>
    <mergeCell ref="G7:H7"/>
    <mergeCell ref="U22:W22"/>
    <mergeCell ref="U23:W23"/>
    <mergeCell ref="U24:W24"/>
    <mergeCell ref="R20:T20"/>
    <mergeCell ref="R21:T21"/>
    <mergeCell ref="R22:T22"/>
    <mergeCell ref="R23:T23"/>
    <mergeCell ref="R24:T24"/>
  </mergeCells>
  <printOptions horizontalCentered="1"/>
  <pageMargins left="0.25" right="0.25" top="0.75" bottom="0.75" header="0.3" footer="0.3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S!$H$2:$H$5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00B0F0"/>
    <pageSetUpPr fitToPage="1"/>
  </sheetPr>
  <dimension ref="A1:M31"/>
  <sheetViews>
    <sheetView showGridLines="0" topLeftCell="A7" zoomScale="70" zoomScaleNormal="70" zoomScaleSheetLayoutView="100" workbookViewId="0">
      <selection activeCell="O15" sqref="O15"/>
    </sheetView>
  </sheetViews>
  <sheetFormatPr defaultColWidth="9" defaultRowHeight="25.9" customHeight="1"/>
  <cols>
    <col min="1" max="5" width="9" style="4"/>
    <col min="6" max="6" width="16.85546875" style="4" bestFit="1" customWidth="1"/>
    <col min="7" max="10" width="12.140625" style="4" bestFit="1" customWidth="1"/>
    <col min="11" max="11" width="18.140625" style="4" bestFit="1" customWidth="1"/>
    <col min="12" max="12" width="9" style="4"/>
    <col min="13" max="13" width="15.140625" style="4" bestFit="1" customWidth="1"/>
    <col min="14" max="16384" width="9" style="4"/>
  </cols>
  <sheetData>
    <row r="1" spans="1:13" ht="25.9" customHeight="1">
      <c r="K1" s="9" t="s">
        <v>200</v>
      </c>
    </row>
    <row r="2" spans="1:13" ht="25.9" customHeight="1">
      <c r="B2" s="3" t="s">
        <v>201</v>
      </c>
    </row>
    <row r="3" spans="1:13" ht="25.9" customHeight="1">
      <c r="K3" s="9" t="s">
        <v>8</v>
      </c>
    </row>
    <row r="4" spans="1:13" ht="25.9" customHeight="1">
      <c r="A4" s="211" t="s">
        <v>202</v>
      </c>
      <c r="B4" s="251"/>
      <c r="C4" s="251"/>
      <c r="D4" s="251"/>
      <c r="E4" s="251"/>
      <c r="F4" s="30" t="s">
        <v>203</v>
      </c>
      <c r="G4" s="248" t="s">
        <v>204</v>
      </c>
      <c r="H4" s="249"/>
      <c r="I4" s="249"/>
      <c r="J4" s="249"/>
      <c r="K4" s="250"/>
    </row>
    <row r="5" spans="1:13" ht="25.9" customHeight="1">
      <c r="A5" s="213"/>
      <c r="B5" s="252"/>
      <c r="C5" s="252"/>
      <c r="D5" s="252"/>
      <c r="E5" s="252"/>
      <c r="F5" s="162" t="s">
        <v>205</v>
      </c>
      <c r="G5" s="23">
        <v>2568</v>
      </c>
      <c r="H5" s="23">
        <v>2569</v>
      </c>
      <c r="I5" s="23">
        <v>2570</v>
      </c>
      <c r="J5" s="23">
        <v>2571</v>
      </c>
      <c r="K5" s="28" t="s">
        <v>13</v>
      </c>
    </row>
    <row r="6" spans="1:13" ht="25.9" customHeight="1">
      <c r="A6" s="40" t="s">
        <v>206</v>
      </c>
      <c r="B6" s="41"/>
      <c r="C6" s="41"/>
      <c r="D6" s="41"/>
      <c r="E6" s="47"/>
      <c r="F6" s="42"/>
      <c r="G6" s="30"/>
      <c r="H6" s="10"/>
      <c r="I6" s="30"/>
      <c r="J6" s="30"/>
      <c r="K6" s="12"/>
    </row>
    <row r="7" spans="1:13" ht="25.9" customHeight="1">
      <c r="A7" s="31" t="s">
        <v>207</v>
      </c>
      <c r="B7" s="29"/>
      <c r="C7" s="29"/>
      <c r="D7" s="29"/>
      <c r="F7" s="275" t="s">
        <v>208</v>
      </c>
      <c r="G7" s="276"/>
      <c r="H7" s="276"/>
      <c r="I7" s="276"/>
      <c r="J7" s="276"/>
      <c r="K7" s="277"/>
    </row>
    <row r="8" spans="1:13" ht="25.9" customHeight="1">
      <c r="A8" s="31" t="s">
        <v>209</v>
      </c>
      <c r="B8" s="29"/>
      <c r="C8" s="29"/>
      <c r="D8" s="29"/>
      <c r="F8" s="13"/>
      <c r="G8" s="33"/>
      <c r="H8" s="33"/>
      <c r="I8" s="33"/>
      <c r="J8" s="33"/>
      <c r="K8" s="32"/>
    </row>
    <row r="9" spans="1:13" ht="25.9" customHeight="1">
      <c r="A9" s="13" t="s">
        <v>210</v>
      </c>
      <c r="F9" s="278" t="s">
        <v>208</v>
      </c>
      <c r="G9" s="279"/>
      <c r="H9" s="279"/>
      <c r="I9" s="279"/>
      <c r="J9" s="279"/>
      <c r="K9" s="280"/>
    </row>
    <row r="10" spans="1:13" ht="25.9" customHeight="1">
      <c r="A10" s="13" t="s">
        <v>211</v>
      </c>
      <c r="F10" s="13"/>
      <c r="G10" s="12"/>
      <c r="H10" s="12"/>
      <c r="I10" s="13"/>
      <c r="J10" s="13"/>
      <c r="K10" s="12"/>
    </row>
    <row r="11" spans="1:13" ht="25.9" customHeight="1">
      <c r="A11" s="13"/>
      <c r="B11" s="4" t="s">
        <v>212</v>
      </c>
      <c r="F11" s="128">
        <v>200900000</v>
      </c>
      <c r="G11" s="136">
        <v>39850000</v>
      </c>
      <c r="H11" s="136">
        <v>62450000</v>
      </c>
      <c r="I11" s="128">
        <v>56750000</v>
      </c>
      <c r="J11" s="128">
        <v>41850000</v>
      </c>
      <c r="K11" s="123">
        <f t="shared" ref="K11:K17" si="0">SUM(G11:J11)</f>
        <v>200900000</v>
      </c>
      <c r="M11" s="135"/>
    </row>
    <row r="12" spans="1:13" ht="25.9" customHeight="1">
      <c r="A12" s="13"/>
      <c r="B12" s="4" t="s">
        <v>213</v>
      </c>
      <c r="F12" s="128">
        <v>16048240</v>
      </c>
      <c r="G12" s="123">
        <v>2829580</v>
      </c>
      <c r="H12" s="136">
        <v>4831650</v>
      </c>
      <c r="I12" s="128">
        <v>5105160</v>
      </c>
      <c r="J12" s="128">
        <v>3281850</v>
      </c>
      <c r="K12" s="123">
        <f t="shared" si="0"/>
        <v>16048240</v>
      </c>
      <c r="M12" s="135"/>
    </row>
    <row r="13" spans="1:13" ht="25.9" customHeight="1">
      <c r="A13" s="13"/>
      <c r="B13" s="4" t="s">
        <v>214</v>
      </c>
      <c r="F13" s="13"/>
      <c r="G13" s="12"/>
      <c r="H13" s="12"/>
      <c r="I13" s="13"/>
      <c r="J13" s="13"/>
      <c r="K13" s="123">
        <f t="shared" si="0"/>
        <v>0</v>
      </c>
      <c r="M13" s="166"/>
    </row>
    <row r="14" spans="1:13" ht="25.9" customHeight="1">
      <c r="A14" s="13"/>
      <c r="B14" s="4" t="s">
        <v>215</v>
      </c>
      <c r="F14" s="13"/>
      <c r="G14" s="12"/>
      <c r="H14" s="12"/>
      <c r="I14" s="13"/>
      <c r="J14" s="13"/>
      <c r="K14" s="123">
        <f t="shared" si="0"/>
        <v>0</v>
      </c>
    </row>
    <row r="15" spans="1:13" ht="25.9" customHeight="1">
      <c r="A15" s="13"/>
      <c r="B15" s="4" t="s">
        <v>216</v>
      </c>
      <c r="F15" s="13"/>
      <c r="G15" s="12"/>
      <c r="H15" s="12"/>
      <c r="I15" s="13"/>
      <c r="J15" s="13"/>
      <c r="K15" s="123">
        <f t="shared" si="0"/>
        <v>0</v>
      </c>
      <c r="M15" s="166"/>
    </row>
    <row r="16" spans="1:13" ht="25.9" customHeight="1">
      <c r="A16" s="13"/>
      <c r="B16" s="4" t="s">
        <v>217</v>
      </c>
      <c r="F16" s="164">
        <v>8450000</v>
      </c>
      <c r="G16" s="123">
        <v>1885000</v>
      </c>
      <c r="H16" s="12">
        <v>2405000</v>
      </c>
      <c r="I16" s="13">
        <v>2405000</v>
      </c>
      <c r="J16" s="13">
        <v>1755000</v>
      </c>
      <c r="K16" s="123">
        <f t="shared" si="0"/>
        <v>8450000</v>
      </c>
    </row>
    <row r="17" spans="1:11" ht="25.9" customHeight="1">
      <c r="A17" s="13"/>
      <c r="B17" s="3" t="s">
        <v>218</v>
      </c>
      <c r="C17" s="3"/>
      <c r="F17" s="163">
        <f>SUM(F11:F16)</f>
        <v>225398240</v>
      </c>
      <c r="G17" s="120">
        <f>SUM(G11:G16)</f>
        <v>44564580</v>
      </c>
      <c r="H17" s="120">
        <f t="shared" ref="H17:J17" si="1">SUM(H11:H16)</f>
        <v>69686650</v>
      </c>
      <c r="I17" s="120">
        <f t="shared" si="1"/>
        <v>64260160</v>
      </c>
      <c r="J17" s="120">
        <f t="shared" si="1"/>
        <v>46886850</v>
      </c>
      <c r="K17" s="120">
        <f t="shared" si="0"/>
        <v>225398240</v>
      </c>
    </row>
    <row r="18" spans="1:11" ht="25.9" customHeight="1">
      <c r="A18" s="31" t="s">
        <v>219</v>
      </c>
      <c r="B18" s="6"/>
      <c r="C18" s="6"/>
      <c r="F18" s="35"/>
      <c r="G18" s="34"/>
      <c r="H18" s="34"/>
      <c r="I18" s="35"/>
      <c r="J18" s="35"/>
      <c r="K18" s="12"/>
    </row>
    <row r="19" spans="1:11" ht="25.9" customHeight="1">
      <c r="A19" s="31" t="s">
        <v>220</v>
      </c>
      <c r="B19" s="6"/>
      <c r="C19" s="6"/>
      <c r="F19" s="13"/>
      <c r="G19" s="12"/>
      <c r="H19" s="12"/>
      <c r="I19" s="13"/>
      <c r="J19" s="13"/>
      <c r="K19" s="12"/>
    </row>
    <row r="20" spans="1:11" ht="25.9" customHeight="1">
      <c r="A20" s="36" t="s">
        <v>221</v>
      </c>
      <c r="B20" s="6"/>
      <c r="C20" s="6"/>
      <c r="F20" s="13"/>
      <c r="G20" s="12"/>
      <c r="H20" s="12"/>
      <c r="I20" s="13"/>
      <c r="J20" s="13"/>
      <c r="K20" s="12"/>
    </row>
    <row r="21" spans="1:11" ht="25.9" customHeight="1">
      <c r="A21" s="36" t="s">
        <v>222</v>
      </c>
      <c r="B21" s="6"/>
      <c r="C21" s="6"/>
      <c r="F21" s="13"/>
      <c r="G21" s="12"/>
      <c r="H21" s="12"/>
      <c r="I21" s="13"/>
      <c r="J21" s="13"/>
      <c r="K21" s="12"/>
    </row>
    <row r="22" spans="1:11" ht="25.9" customHeight="1">
      <c r="A22" s="43" t="s">
        <v>223</v>
      </c>
      <c r="B22" s="44"/>
      <c r="C22" s="44"/>
      <c r="D22" s="39"/>
      <c r="E22" s="39"/>
      <c r="F22" s="38"/>
      <c r="G22" s="37"/>
      <c r="H22" s="37"/>
      <c r="I22" s="38"/>
      <c r="J22" s="38"/>
      <c r="K22" s="12"/>
    </row>
    <row r="23" spans="1:11" ht="25.9" customHeight="1">
      <c r="A23" s="248" t="s">
        <v>224</v>
      </c>
      <c r="B23" s="249"/>
      <c r="C23" s="249"/>
      <c r="D23" s="249"/>
      <c r="E23" s="249"/>
      <c r="F23" s="163">
        <f>SUM(G23:J23)</f>
        <v>225398240</v>
      </c>
      <c r="G23" s="120">
        <f>SUM(G17)</f>
        <v>44564580</v>
      </c>
      <c r="H23" s="120">
        <f t="shared" ref="H23:J23" si="2">SUM(H17)</f>
        <v>69686650</v>
      </c>
      <c r="I23" s="120">
        <f t="shared" si="2"/>
        <v>64260160</v>
      </c>
      <c r="J23" s="120">
        <f t="shared" si="2"/>
        <v>46886850</v>
      </c>
      <c r="K23" s="120">
        <f>SUM(K11:K16)</f>
        <v>225398240</v>
      </c>
    </row>
    <row r="24" spans="1:11" ht="25.9" customHeight="1">
      <c r="B24" s="3"/>
      <c r="D24" s="3"/>
    </row>
    <row r="25" spans="1:11" ht="25.9" customHeight="1">
      <c r="C25" s="3"/>
    </row>
    <row r="26" spans="1:11" ht="25.9" customHeight="1">
      <c r="D26" s="3"/>
    </row>
    <row r="28" spans="1:11" ht="25.9" customHeight="1">
      <c r="D28" s="3"/>
    </row>
    <row r="30" spans="1:11" ht="25.9" customHeight="1">
      <c r="D30" s="3"/>
      <c r="E30" s="3"/>
      <c r="F30" s="3"/>
      <c r="G30" s="3"/>
    </row>
    <row r="31" spans="1:11" ht="25.9" customHeight="1">
      <c r="D31" s="3"/>
      <c r="F31" s="3"/>
    </row>
  </sheetData>
  <mergeCells count="5">
    <mergeCell ref="A23:E23"/>
    <mergeCell ref="F7:K7"/>
    <mergeCell ref="F9:K9"/>
    <mergeCell ref="G4:K4"/>
    <mergeCell ref="A4:E5"/>
  </mergeCells>
  <pageMargins left="0.6692913385826772" right="0.39370078740157483" top="0.39370078740157483" bottom="0.19685039370078741" header="0.51181102362204722" footer="0.51181102362204722"/>
  <pageSetup paperSize="9" scale="74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S50"/>
  <sheetViews>
    <sheetView showGridLines="0" topLeftCell="A19" zoomScaleNormal="100" zoomScaleSheetLayoutView="100" workbookViewId="0">
      <selection activeCell="A9" sqref="A9:L9"/>
    </sheetView>
  </sheetViews>
  <sheetFormatPr defaultColWidth="9.140625" defaultRowHeight="21"/>
  <cols>
    <col min="1" max="1" width="17.140625" style="4" customWidth="1"/>
    <col min="2" max="2" width="14.5703125" style="4" customWidth="1"/>
    <col min="3" max="3" width="13.28515625" style="4" customWidth="1"/>
    <col min="4" max="4" width="14.85546875" style="4" customWidth="1"/>
    <col min="5" max="5" width="15.7109375" style="4" customWidth="1"/>
    <col min="6" max="6" width="16.7109375" style="4" customWidth="1"/>
    <col min="7" max="7" width="14" style="4" customWidth="1"/>
    <col min="8" max="8" width="14.85546875" style="4" customWidth="1"/>
    <col min="9" max="9" width="18.5703125" style="4" customWidth="1"/>
    <col min="10" max="10" width="11.7109375" style="4" customWidth="1"/>
    <col min="11" max="11" width="21.42578125" style="4" customWidth="1"/>
    <col min="12" max="12" width="17.5703125" style="4" customWidth="1"/>
    <col min="13" max="16384" width="9.140625" style="4"/>
  </cols>
  <sheetData>
    <row r="1" spans="1:19" s="2" customFormat="1">
      <c r="A1" s="309" t="s">
        <v>225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</row>
    <row r="2" spans="1:19" s="16" customFormat="1" ht="18.75">
      <c r="A2" s="154" t="s">
        <v>226</v>
      </c>
    </row>
    <row r="3" spans="1:19" s="16" customFormat="1" ht="27.75" customHeight="1">
      <c r="A3" s="310" t="s">
        <v>227</v>
      </c>
      <c r="B3" s="311"/>
      <c r="C3" s="310" t="s">
        <v>228</v>
      </c>
      <c r="D3" s="311"/>
      <c r="E3" s="295" t="s">
        <v>229</v>
      </c>
      <c r="F3" s="295"/>
      <c r="G3" s="295"/>
      <c r="H3" s="295"/>
      <c r="I3" s="295"/>
      <c r="J3" s="295"/>
      <c r="K3" s="310" t="s">
        <v>230</v>
      </c>
      <c r="L3" s="311"/>
    </row>
    <row r="4" spans="1:19" s="16" customFormat="1" ht="30" customHeight="1">
      <c r="A4" s="312"/>
      <c r="B4" s="313"/>
      <c r="C4" s="312"/>
      <c r="D4" s="313"/>
      <c r="E4" s="295" t="s">
        <v>231</v>
      </c>
      <c r="F4" s="295"/>
      <c r="G4" s="295"/>
      <c r="H4" s="295" t="s">
        <v>232</v>
      </c>
      <c r="I4" s="295"/>
      <c r="J4" s="155" t="s">
        <v>233</v>
      </c>
      <c r="K4" s="312"/>
      <c r="L4" s="313"/>
    </row>
    <row r="5" spans="1:19" s="16" customFormat="1" ht="24" customHeight="1">
      <c r="A5" s="314" t="s">
        <v>234</v>
      </c>
      <c r="B5" s="315"/>
      <c r="C5" s="294" t="s">
        <v>235</v>
      </c>
      <c r="D5" s="294"/>
      <c r="E5" s="305">
        <v>2</v>
      </c>
      <c r="F5" s="305"/>
      <c r="G5" s="305"/>
      <c r="H5" s="305">
        <v>2</v>
      </c>
      <c r="I5" s="305"/>
      <c r="J5" s="156">
        <v>3</v>
      </c>
      <c r="K5" s="305" t="s">
        <v>236</v>
      </c>
      <c r="L5" s="305"/>
    </row>
    <row r="6" spans="1:19" s="16" customFormat="1" ht="24" customHeight="1">
      <c r="A6" s="295"/>
      <c r="B6" s="295"/>
      <c r="C6" s="295"/>
      <c r="D6" s="295"/>
      <c r="E6" s="306"/>
      <c r="F6" s="306"/>
      <c r="G6" s="306"/>
      <c r="H6" s="306"/>
      <c r="I6" s="306"/>
      <c r="J6" s="157"/>
      <c r="K6" s="306"/>
      <c r="L6" s="306"/>
    </row>
    <row r="7" spans="1:19" s="148" customFormat="1" ht="15.75">
      <c r="A7" s="300" t="s">
        <v>237</v>
      </c>
      <c r="B7" s="300"/>
      <c r="C7" s="300"/>
      <c r="D7" s="300"/>
      <c r="E7" s="300"/>
      <c r="F7" s="300"/>
      <c r="G7" s="300"/>
      <c r="H7" s="300"/>
      <c r="I7" s="300"/>
      <c r="J7" s="300"/>
      <c r="K7" s="300"/>
      <c r="L7" s="300"/>
      <c r="M7" s="146"/>
      <c r="N7" s="146"/>
      <c r="O7" s="146"/>
      <c r="P7" s="146"/>
      <c r="Q7" s="146"/>
      <c r="R7" s="146"/>
      <c r="S7" s="147"/>
    </row>
    <row r="8" spans="1:19" s="148" customFormat="1" ht="15.75">
      <c r="A8" s="298" t="s">
        <v>238</v>
      </c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</row>
    <row r="9" spans="1:19" s="148" customFormat="1" ht="15.75">
      <c r="A9" s="298" t="s">
        <v>239</v>
      </c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</row>
    <row r="10" spans="1:19" s="16" customFormat="1" ht="26.25" customHeight="1">
      <c r="A10" s="303" t="s">
        <v>240</v>
      </c>
      <c r="B10" s="303" t="s">
        <v>229</v>
      </c>
      <c r="C10" s="303"/>
      <c r="D10" s="303"/>
      <c r="E10" s="303"/>
      <c r="F10" s="303"/>
      <c r="G10" s="303"/>
      <c r="H10" s="303"/>
      <c r="I10" s="303"/>
      <c r="J10" s="303"/>
      <c r="K10" s="303"/>
      <c r="L10" s="303"/>
    </row>
    <row r="11" spans="1:19" s="16" customFormat="1" ht="25.5" customHeight="1">
      <c r="A11" s="303"/>
      <c r="B11" s="303" t="s">
        <v>241</v>
      </c>
      <c r="C11" s="303"/>
      <c r="D11" s="303"/>
      <c r="E11" s="303"/>
      <c r="F11" s="303" t="s">
        <v>242</v>
      </c>
      <c r="G11" s="303"/>
      <c r="H11" s="303"/>
      <c r="I11" s="303"/>
      <c r="J11" s="303" t="s">
        <v>243</v>
      </c>
      <c r="K11" s="303"/>
      <c r="L11" s="303"/>
    </row>
    <row r="12" spans="1:19" s="16" customFormat="1" ht="18.75">
      <c r="A12" s="158">
        <v>1</v>
      </c>
      <c r="B12" s="304" t="s">
        <v>244</v>
      </c>
      <c r="C12" s="304"/>
      <c r="D12" s="304"/>
      <c r="E12" s="304"/>
      <c r="F12" s="304" t="s">
        <v>245</v>
      </c>
      <c r="G12" s="304"/>
      <c r="H12" s="304"/>
      <c r="I12" s="304"/>
      <c r="J12" s="304" t="s">
        <v>246</v>
      </c>
      <c r="K12" s="304"/>
      <c r="L12" s="304"/>
    </row>
    <row r="13" spans="1:19" s="16" customFormat="1" ht="18.75">
      <c r="A13" s="158">
        <v>2</v>
      </c>
      <c r="B13" s="304" t="s">
        <v>247</v>
      </c>
      <c r="C13" s="304"/>
      <c r="D13" s="304"/>
      <c r="E13" s="304"/>
      <c r="F13" s="304" t="s">
        <v>248</v>
      </c>
      <c r="G13" s="304"/>
      <c r="H13" s="304"/>
      <c r="I13" s="304"/>
      <c r="J13" s="304" t="s">
        <v>249</v>
      </c>
      <c r="K13" s="304"/>
      <c r="L13" s="304"/>
    </row>
    <row r="14" spans="1:19" s="160" customFormat="1" ht="18.75">
      <c r="A14" s="159">
        <v>3</v>
      </c>
      <c r="B14" s="304" t="s">
        <v>250</v>
      </c>
      <c r="C14" s="304"/>
      <c r="D14" s="304"/>
      <c r="E14" s="304"/>
      <c r="F14" s="304" t="s">
        <v>251</v>
      </c>
      <c r="G14" s="304"/>
      <c r="H14" s="304"/>
      <c r="I14" s="304"/>
      <c r="J14" s="304" t="s">
        <v>252</v>
      </c>
      <c r="K14" s="304"/>
      <c r="L14" s="304"/>
    </row>
    <row r="15" spans="1:19">
      <c r="A15" s="1" t="s">
        <v>253</v>
      </c>
    </row>
    <row r="16" spans="1:19" s="16" customFormat="1" ht="18.75">
      <c r="A16" s="296" t="s">
        <v>254</v>
      </c>
      <c r="B16" s="296" t="s">
        <v>255</v>
      </c>
      <c r="C16" s="296"/>
      <c r="D16" s="296"/>
      <c r="E16" s="295" t="s">
        <v>256</v>
      </c>
      <c r="F16" s="296" t="s">
        <v>257</v>
      </c>
      <c r="G16" s="296"/>
      <c r="H16" s="296"/>
      <c r="I16" s="296" t="s">
        <v>258</v>
      </c>
      <c r="J16" s="296"/>
      <c r="K16" s="296"/>
      <c r="L16" s="296" t="s">
        <v>259</v>
      </c>
    </row>
    <row r="17" spans="1:12" s="16" customFormat="1" ht="26.25" customHeight="1">
      <c r="A17" s="301"/>
      <c r="B17" s="297" t="s">
        <v>260</v>
      </c>
      <c r="C17" s="297"/>
      <c r="D17" s="297"/>
      <c r="E17" s="295"/>
      <c r="F17" s="297" t="s">
        <v>261</v>
      </c>
      <c r="G17" s="297"/>
      <c r="H17" s="297"/>
      <c r="I17" s="302" t="s">
        <v>262</v>
      </c>
      <c r="J17" s="302"/>
      <c r="K17" s="302"/>
      <c r="L17" s="301"/>
    </row>
    <row r="18" spans="1:12" s="16" customFormat="1" ht="21" customHeight="1">
      <c r="A18" s="301"/>
      <c r="B18" s="151" t="s">
        <v>263</v>
      </c>
      <c r="C18" s="151" t="s">
        <v>264</v>
      </c>
      <c r="D18" s="151" t="s">
        <v>265</v>
      </c>
      <c r="E18" s="295"/>
      <c r="F18" s="151" t="s">
        <v>263</v>
      </c>
      <c r="G18" s="151" t="s">
        <v>264</v>
      </c>
      <c r="H18" s="151" t="s">
        <v>266</v>
      </c>
      <c r="I18" s="152" t="s">
        <v>267</v>
      </c>
      <c r="J18" s="152" t="s">
        <v>268</v>
      </c>
      <c r="K18" s="152" t="s">
        <v>269</v>
      </c>
      <c r="L18" s="301"/>
    </row>
    <row r="19" spans="1:12" s="16" customFormat="1" ht="18.75">
      <c r="A19" s="302"/>
      <c r="B19" s="153" t="s">
        <v>270</v>
      </c>
      <c r="C19" s="153" t="s">
        <v>271</v>
      </c>
      <c r="D19" s="153" t="s">
        <v>272</v>
      </c>
      <c r="E19" s="295"/>
      <c r="F19" s="153" t="s">
        <v>270</v>
      </c>
      <c r="G19" s="153" t="s">
        <v>271</v>
      </c>
      <c r="H19" s="153" t="s">
        <v>272</v>
      </c>
      <c r="I19" s="138" t="s">
        <v>273</v>
      </c>
      <c r="J19" s="138" t="s">
        <v>274</v>
      </c>
      <c r="K19" s="138" t="s">
        <v>275</v>
      </c>
      <c r="L19" s="302"/>
    </row>
    <row r="20" spans="1:12" s="150" customFormat="1" ht="34.15" customHeight="1">
      <c r="A20" s="125" t="s">
        <v>276</v>
      </c>
      <c r="B20" s="125">
        <v>3</v>
      </c>
      <c r="C20" s="125">
        <v>4</v>
      </c>
      <c r="D20" s="125">
        <v>12</v>
      </c>
      <c r="E20" s="125" t="s">
        <v>277</v>
      </c>
      <c r="F20" s="125">
        <v>2</v>
      </c>
      <c r="G20" s="125">
        <v>4</v>
      </c>
      <c r="H20" s="125">
        <v>8</v>
      </c>
      <c r="I20" s="308" t="s">
        <v>278</v>
      </c>
      <c r="J20" s="307">
        <v>100</v>
      </c>
      <c r="K20" s="307">
        <v>95</v>
      </c>
      <c r="L20" s="307">
        <v>100</v>
      </c>
    </row>
    <row r="21" spans="1:12">
      <c r="A21" s="78" t="s">
        <v>279</v>
      </c>
      <c r="B21" s="78"/>
      <c r="C21" s="78"/>
      <c r="D21" s="78"/>
      <c r="E21" s="78"/>
      <c r="F21" s="78"/>
      <c r="G21" s="78"/>
      <c r="H21" s="78"/>
      <c r="I21" s="308"/>
      <c r="J21" s="307"/>
      <c r="K21" s="307"/>
      <c r="L21" s="307"/>
    </row>
    <row r="22" spans="1:12">
      <c r="A22" s="78" t="s">
        <v>280</v>
      </c>
      <c r="B22" s="78"/>
      <c r="C22" s="78"/>
      <c r="D22" s="78"/>
      <c r="E22" s="78"/>
      <c r="F22" s="78"/>
      <c r="G22" s="78"/>
      <c r="H22" s="78"/>
      <c r="I22" s="308"/>
      <c r="J22" s="307"/>
      <c r="K22" s="307"/>
      <c r="L22" s="307"/>
    </row>
    <row r="23" spans="1:12" s="150" customFormat="1" ht="15.75">
      <c r="A23" s="149" t="s">
        <v>281</v>
      </c>
    </row>
    <row r="24" spans="1:12" s="150" customFormat="1" ht="15.75">
      <c r="A24" s="149" t="s">
        <v>282</v>
      </c>
    </row>
    <row r="25" spans="1:12" ht="72.75">
      <c r="A25" s="5"/>
      <c r="L25" s="76" t="s">
        <v>283</v>
      </c>
    </row>
    <row r="26" spans="1:12">
      <c r="A26" s="5"/>
      <c r="B26" s="53" t="s">
        <v>284</v>
      </c>
    </row>
    <row r="27" spans="1:12">
      <c r="A27" s="5"/>
      <c r="B27" s="292" t="s">
        <v>285</v>
      </c>
      <c r="C27" s="292"/>
      <c r="D27" s="292"/>
      <c r="E27" s="292"/>
      <c r="F27" s="292"/>
      <c r="G27" s="292"/>
      <c r="H27" s="292" t="s">
        <v>286</v>
      </c>
      <c r="I27" s="292"/>
    </row>
    <row r="28" spans="1:12">
      <c r="A28" s="5"/>
      <c r="B28" s="292" t="s">
        <v>287</v>
      </c>
      <c r="C28" s="292"/>
      <c r="D28" s="292" t="s">
        <v>288</v>
      </c>
      <c r="E28" s="292"/>
      <c r="F28" s="292" t="s">
        <v>289</v>
      </c>
      <c r="G28" s="292"/>
      <c r="H28" s="292" t="s">
        <v>288</v>
      </c>
      <c r="I28" s="292"/>
    </row>
    <row r="29" spans="1:12">
      <c r="A29" s="5"/>
      <c r="B29" s="290">
        <v>1</v>
      </c>
      <c r="C29" s="290"/>
      <c r="D29" s="291" t="s">
        <v>290</v>
      </c>
      <c r="E29" s="291"/>
      <c r="F29" s="290" t="s">
        <v>291</v>
      </c>
      <c r="G29" s="290"/>
      <c r="H29" s="291" t="s">
        <v>292</v>
      </c>
      <c r="I29" s="291"/>
    </row>
    <row r="30" spans="1:12">
      <c r="A30" s="5"/>
      <c r="B30" s="290">
        <v>2</v>
      </c>
      <c r="C30" s="290"/>
      <c r="D30" s="291" t="s">
        <v>293</v>
      </c>
      <c r="E30" s="291"/>
      <c r="F30" s="290" t="s">
        <v>294</v>
      </c>
      <c r="G30" s="290"/>
      <c r="H30" s="291" t="s">
        <v>295</v>
      </c>
      <c r="I30" s="291"/>
    </row>
    <row r="31" spans="1:12">
      <c r="A31" s="5"/>
      <c r="B31" s="290">
        <v>3</v>
      </c>
      <c r="C31" s="290"/>
      <c r="D31" s="291" t="s">
        <v>296</v>
      </c>
      <c r="E31" s="291"/>
      <c r="F31" s="290" t="s">
        <v>297</v>
      </c>
      <c r="G31" s="290"/>
      <c r="H31" s="291" t="s">
        <v>298</v>
      </c>
      <c r="I31" s="291"/>
    </row>
    <row r="32" spans="1:12">
      <c r="A32" s="5"/>
      <c r="B32" s="290">
        <v>4</v>
      </c>
      <c r="C32" s="290"/>
      <c r="D32" s="291" t="s">
        <v>299</v>
      </c>
      <c r="E32" s="291"/>
      <c r="F32" s="290" t="s">
        <v>300</v>
      </c>
      <c r="G32" s="290"/>
      <c r="H32" s="291" t="s">
        <v>301</v>
      </c>
      <c r="I32" s="291"/>
    </row>
    <row r="33" spans="1:13">
      <c r="A33" s="5"/>
      <c r="B33" s="290">
        <v>5</v>
      </c>
      <c r="C33" s="290"/>
      <c r="D33" s="291" t="s">
        <v>302</v>
      </c>
      <c r="E33" s="291"/>
      <c r="F33" s="290" t="s">
        <v>303</v>
      </c>
      <c r="G33" s="290"/>
      <c r="H33" s="291" t="s">
        <v>304</v>
      </c>
      <c r="I33" s="291"/>
    </row>
    <row r="34" spans="1:13">
      <c r="A34" s="5"/>
      <c r="B34" s="50" t="s">
        <v>305</v>
      </c>
      <c r="C34" s="3"/>
    </row>
    <row r="35" spans="1:13">
      <c r="A35" s="5"/>
      <c r="B35" s="292" t="s">
        <v>306</v>
      </c>
      <c r="C35" s="292"/>
      <c r="D35" s="293" t="s">
        <v>265</v>
      </c>
      <c r="E35" s="293"/>
      <c r="F35" s="293"/>
      <c r="G35" s="293"/>
      <c r="H35" s="293"/>
      <c r="I35" s="293"/>
    </row>
    <row r="36" spans="1:13">
      <c r="A36" s="5"/>
      <c r="B36" s="292"/>
      <c r="C36" s="292"/>
      <c r="D36" s="293" t="s">
        <v>307</v>
      </c>
      <c r="E36" s="293"/>
      <c r="F36" s="293"/>
      <c r="G36" s="293"/>
      <c r="H36" s="293" t="s">
        <v>288</v>
      </c>
      <c r="I36" s="293"/>
    </row>
    <row r="37" spans="1:13">
      <c r="A37" s="5"/>
      <c r="B37" s="289">
        <v>1</v>
      </c>
      <c r="C37" s="289"/>
      <c r="D37" s="289" t="s">
        <v>308</v>
      </c>
      <c r="E37" s="289"/>
      <c r="F37" s="289"/>
      <c r="G37" s="289"/>
      <c r="H37" s="289" t="s">
        <v>309</v>
      </c>
      <c r="I37" s="289"/>
    </row>
    <row r="38" spans="1:13">
      <c r="A38" s="5"/>
      <c r="B38" s="289">
        <v>2</v>
      </c>
      <c r="C38" s="289"/>
      <c r="D38" s="289" t="s">
        <v>310</v>
      </c>
      <c r="E38" s="289"/>
      <c r="F38" s="289"/>
      <c r="G38" s="289"/>
      <c r="H38" s="289" t="s">
        <v>311</v>
      </c>
      <c r="I38" s="289"/>
    </row>
    <row r="39" spans="1:13">
      <c r="A39" s="5"/>
      <c r="B39" s="289">
        <v>3</v>
      </c>
      <c r="C39" s="289"/>
      <c r="D39" s="289" t="s">
        <v>312</v>
      </c>
      <c r="E39" s="289"/>
      <c r="F39" s="289"/>
      <c r="G39" s="289"/>
      <c r="H39" s="289" t="s">
        <v>313</v>
      </c>
      <c r="I39" s="289"/>
    </row>
    <row r="40" spans="1:13">
      <c r="A40" s="5"/>
      <c r="B40" s="6"/>
      <c r="C40" s="6"/>
      <c r="D40" s="6"/>
      <c r="E40" s="6"/>
      <c r="F40" s="6"/>
      <c r="G40" s="6"/>
      <c r="H40" s="6"/>
      <c r="I40" s="6"/>
    </row>
    <row r="41" spans="1:13" ht="24.6" customHeight="1">
      <c r="H41" s="285" t="s">
        <v>314</v>
      </c>
      <c r="I41" s="286"/>
      <c r="J41" s="285" t="s">
        <v>315</v>
      </c>
      <c r="K41" s="286"/>
    </row>
    <row r="42" spans="1:13" ht="15" customHeight="1">
      <c r="H42" s="21"/>
      <c r="I42" s="126"/>
      <c r="J42" s="21"/>
      <c r="K42" s="126"/>
    </row>
    <row r="43" spans="1:13" ht="17.25" customHeight="1">
      <c r="H43" s="283"/>
      <c r="I43" s="284"/>
      <c r="J43" s="283"/>
      <c r="K43" s="284"/>
    </row>
    <row r="44" spans="1:13" ht="16.5" customHeight="1">
      <c r="H44" s="20" t="s">
        <v>316</v>
      </c>
      <c r="I44" s="16"/>
      <c r="J44" s="20" t="s">
        <v>316</v>
      </c>
      <c r="K44" s="19"/>
    </row>
    <row r="45" spans="1:13" ht="18" customHeight="1">
      <c r="H45" s="21"/>
      <c r="I45" s="22"/>
      <c r="J45" s="21"/>
      <c r="K45" s="126"/>
    </row>
    <row r="46" spans="1:13">
      <c r="H46" s="287" t="s">
        <v>317</v>
      </c>
      <c r="I46" s="288"/>
      <c r="J46" s="287" t="s">
        <v>318</v>
      </c>
      <c r="K46" s="288"/>
    </row>
    <row r="47" spans="1:13" ht="19.5" customHeight="1">
      <c r="H47" s="20"/>
      <c r="I47" s="16"/>
      <c r="J47" s="20"/>
      <c r="K47" s="19"/>
    </row>
    <row r="48" spans="1:13" ht="17.25" customHeight="1">
      <c r="H48" s="20" t="s">
        <v>319</v>
      </c>
      <c r="I48" s="16"/>
      <c r="J48" s="20" t="s">
        <v>319</v>
      </c>
      <c r="K48" s="19"/>
      <c r="M48" s="77"/>
    </row>
    <row r="49" spans="8:13">
      <c r="H49" s="21"/>
      <c r="I49" s="22"/>
      <c r="J49" s="281"/>
      <c r="K49" s="282"/>
      <c r="M49" s="77"/>
    </row>
    <row r="50" spans="8:13" ht="72.75">
      <c r="L50" s="76" t="s">
        <v>283</v>
      </c>
    </row>
  </sheetData>
  <mergeCells count="93">
    <mergeCell ref="A1:L1"/>
    <mergeCell ref="A3:B4"/>
    <mergeCell ref="C3:D4"/>
    <mergeCell ref="B10:L10"/>
    <mergeCell ref="B11:E11"/>
    <mergeCell ref="F11:I11"/>
    <mergeCell ref="K3:L4"/>
    <mergeCell ref="K5:L5"/>
    <mergeCell ref="K6:L6"/>
    <mergeCell ref="A5:B5"/>
    <mergeCell ref="A6:B6"/>
    <mergeCell ref="E4:G4"/>
    <mergeCell ref="E3:J3"/>
    <mergeCell ref="E5:G5"/>
    <mergeCell ref="E6:G6"/>
    <mergeCell ref="H4:I4"/>
    <mergeCell ref="H5:I5"/>
    <mergeCell ref="H6:I6"/>
    <mergeCell ref="L20:L22"/>
    <mergeCell ref="F16:H16"/>
    <mergeCell ref="F17:H17"/>
    <mergeCell ref="I16:K16"/>
    <mergeCell ref="I17:K17"/>
    <mergeCell ref="L16:L19"/>
    <mergeCell ref="I20:I22"/>
    <mergeCell ref="J20:J22"/>
    <mergeCell ref="K20:K22"/>
    <mergeCell ref="J11:L11"/>
    <mergeCell ref="J12:L12"/>
    <mergeCell ref="J13:L13"/>
    <mergeCell ref="J14:L14"/>
    <mergeCell ref="B12:E12"/>
    <mergeCell ref="B13:E13"/>
    <mergeCell ref="B14:E14"/>
    <mergeCell ref="F12:I12"/>
    <mergeCell ref="F13:I13"/>
    <mergeCell ref="F14:I14"/>
    <mergeCell ref="C5:D5"/>
    <mergeCell ref="C6:D6"/>
    <mergeCell ref="B27:G27"/>
    <mergeCell ref="H27:I27"/>
    <mergeCell ref="B28:C28"/>
    <mergeCell ref="D28:E28"/>
    <mergeCell ref="F28:G28"/>
    <mergeCell ref="H28:I28"/>
    <mergeCell ref="B16:D16"/>
    <mergeCell ref="B17:D17"/>
    <mergeCell ref="E16:E19"/>
    <mergeCell ref="A9:L9"/>
    <mergeCell ref="A8:L8"/>
    <mergeCell ref="A7:L7"/>
    <mergeCell ref="A16:A19"/>
    <mergeCell ref="A10:A11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5:C36"/>
    <mergeCell ref="D35:I35"/>
    <mergeCell ref="D36:G36"/>
    <mergeCell ref="H36:I36"/>
    <mergeCell ref="B39:C39"/>
    <mergeCell ref="D39:G39"/>
    <mergeCell ref="H39:I39"/>
    <mergeCell ref="B37:C37"/>
    <mergeCell ref="D37:G37"/>
    <mergeCell ref="H37:I37"/>
    <mergeCell ref="B38:C38"/>
    <mergeCell ref="D38:G38"/>
    <mergeCell ref="H38:I38"/>
    <mergeCell ref="J49:K49"/>
    <mergeCell ref="H43:I43"/>
    <mergeCell ref="J43:K43"/>
    <mergeCell ref="H41:I41"/>
    <mergeCell ref="J41:K41"/>
    <mergeCell ref="H46:I46"/>
    <mergeCell ref="J46:K46"/>
  </mergeCells>
  <pageMargins left="0.7" right="0.7" top="0.75" bottom="0.75" header="0.3" footer="0.3"/>
  <pageSetup paperSize="9" scale="75" fitToHeight="0" orientation="landscape" r:id="rId1"/>
  <rowBreaks count="1" manualBreakCount="1">
    <brk id="25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00B0F0"/>
    <pageSetUpPr fitToPage="1"/>
  </sheetPr>
  <dimension ref="A1:O30"/>
  <sheetViews>
    <sheetView showGridLines="0" tabSelected="1" topLeftCell="A7" zoomScaleNormal="100" zoomScaleSheetLayoutView="100" workbookViewId="0">
      <selection activeCell="B10" sqref="B10:B11"/>
    </sheetView>
  </sheetViews>
  <sheetFormatPr defaultColWidth="9.140625" defaultRowHeight="21"/>
  <cols>
    <col min="1" max="1" width="4.28515625" style="4" customWidth="1"/>
    <col min="2" max="2" width="77.140625" style="137" customWidth="1"/>
    <col min="3" max="3" width="8.7109375" style="4" customWidth="1"/>
    <col min="4" max="4" width="16.7109375" style="4" bestFit="1" customWidth="1"/>
    <col min="5" max="5" width="15" style="4" bestFit="1" customWidth="1"/>
    <col min="6" max="6" width="16.42578125" style="4" customWidth="1"/>
    <col min="7" max="7" width="9.42578125" style="4" customWidth="1"/>
    <col min="8" max="8" width="15" style="4" bestFit="1" customWidth="1"/>
    <col min="9" max="10" width="15" style="4" customWidth="1"/>
    <col min="11" max="11" width="16.42578125" style="4" customWidth="1"/>
    <col min="12" max="12" width="15" style="4" bestFit="1" customWidth="1"/>
    <col min="13" max="13" width="17.42578125" style="4" customWidth="1"/>
    <col min="14" max="14" width="9.140625" style="4"/>
    <col min="15" max="15" width="13.7109375" style="4" bestFit="1" customWidth="1"/>
    <col min="16" max="16384" width="9.140625" style="4"/>
  </cols>
  <sheetData>
    <row r="1" spans="1:15">
      <c r="M1" s="3" t="s">
        <v>320</v>
      </c>
    </row>
    <row r="2" spans="1:15" ht="26.25">
      <c r="A2" s="316" t="s">
        <v>321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</row>
    <row r="3" spans="1:15" ht="26.25">
      <c r="A3" s="316" t="s">
        <v>322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</row>
    <row r="4" spans="1:15" ht="26.25">
      <c r="A4" s="316" t="s">
        <v>323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</row>
    <row r="5" spans="1:15" ht="26.25">
      <c r="A5" s="316" t="s">
        <v>324</v>
      </c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</row>
    <row r="6" spans="1:15">
      <c r="A6" s="3" t="s">
        <v>325</v>
      </c>
    </row>
    <row r="7" spans="1:15" ht="26.25">
      <c r="A7" s="3" t="s">
        <v>326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5">
      <c r="A8" s="3" t="s">
        <v>327</v>
      </c>
      <c r="C8" s="85" t="s">
        <v>328</v>
      </c>
      <c r="D8" s="85"/>
    </row>
    <row r="9" spans="1:15">
      <c r="M9" s="7" t="s">
        <v>8</v>
      </c>
    </row>
    <row r="10" spans="1:15">
      <c r="A10" s="209" t="s">
        <v>9</v>
      </c>
      <c r="B10" s="318" t="s">
        <v>202</v>
      </c>
      <c r="C10" s="209" t="s">
        <v>329</v>
      </c>
      <c r="D10" s="318" t="s">
        <v>330</v>
      </c>
      <c r="E10" s="248" t="s">
        <v>331</v>
      </c>
      <c r="F10" s="249"/>
      <c r="G10" s="250"/>
      <c r="H10" s="318" t="s">
        <v>332</v>
      </c>
      <c r="I10" s="211" t="s">
        <v>333</v>
      </c>
      <c r="J10" s="251"/>
      <c r="K10" s="251"/>
      <c r="L10" s="212"/>
      <c r="M10" s="209" t="s">
        <v>334</v>
      </c>
    </row>
    <row r="11" spans="1:15" ht="42">
      <c r="A11" s="317"/>
      <c r="B11" s="302"/>
      <c r="C11" s="317"/>
      <c r="D11" s="261"/>
      <c r="E11" s="54" t="s">
        <v>335</v>
      </c>
      <c r="F11" s="54" t="s">
        <v>336</v>
      </c>
      <c r="G11" s="25" t="s">
        <v>337</v>
      </c>
      <c r="H11" s="317"/>
      <c r="I11" s="165" t="s">
        <v>205</v>
      </c>
      <c r="J11" s="165" t="s">
        <v>338</v>
      </c>
      <c r="K11" s="165" t="s">
        <v>339</v>
      </c>
      <c r="L11" s="165" t="s">
        <v>340</v>
      </c>
      <c r="M11" s="317"/>
    </row>
    <row r="12" spans="1:15">
      <c r="A12" s="142">
        <v>1</v>
      </c>
      <c r="B12" s="139" t="s">
        <v>341</v>
      </c>
      <c r="C12" s="143">
        <v>6500</v>
      </c>
      <c r="D12" s="144">
        <v>7000</v>
      </c>
      <c r="E12" s="143"/>
      <c r="F12" s="143"/>
      <c r="G12" s="143"/>
      <c r="H12" s="145">
        <f>C12*D12</f>
        <v>45500000</v>
      </c>
      <c r="I12" s="145">
        <v>10150000</v>
      </c>
      <c r="J12" s="145">
        <v>12950000</v>
      </c>
      <c r="K12" s="144">
        <v>12950000</v>
      </c>
      <c r="L12" s="145">
        <v>9450000</v>
      </c>
      <c r="M12" s="145">
        <f>SUM(I12:L12)</f>
        <v>45500000</v>
      </c>
    </row>
    <row r="13" spans="1:15" ht="42">
      <c r="A13" s="142">
        <v>2</v>
      </c>
      <c r="B13" s="139" t="s">
        <v>342</v>
      </c>
      <c r="C13" s="143">
        <v>267</v>
      </c>
      <c r="D13" s="144">
        <v>250000</v>
      </c>
      <c r="E13" s="143"/>
      <c r="F13" s="143"/>
      <c r="G13" s="143"/>
      <c r="H13" s="145">
        <f t="shared" ref="H13:H17" si="0">C13*D13</f>
        <v>66750000</v>
      </c>
      <c r="I13" s="145">
        <v>15750000</v>
      </c>
      <c r="J13" s="145">
        <v>18750000</v>
      </c>
      <c r="K13" s="144">
        <v>18750000</v>
      </c>
      <c r="L13" s="145">
        <v>13500000</v>
      </c>
      <c r="M13" s="145">
        <f t="shared" ref="M13:M16" si="1">SUM(I13:L13)</f>
        <v>66750000</v>
      </c>
    </row>
    <row r="14" spans="1:15" ht="42">
      <c r="A14" s="142">
        <v>3</v>
      </c>
      <c r="B14" s="139" t="s">
        <v>343</v>
      </c>
      <c r="C14" s="143">
        <v>189</v>
      </c>
      <c r="D14" s="144">
        <v>250000</v>
      </c>
      <c r="E14" s="143"/>
      <c r="F14" s="143"/>
      <c r="G14" s="143"/>
      <c r="H14" s="145">
        <f t="shared" si="0"/>
        <v>47250000</v>
      </c>
      <c r="I14" s="145">
        <v>3750000</v>
      </c>
      <c r="J14" s="145">
        <v>18750000</v>
      </c>
      <c r="K14" s="144">
        <v>14250000</v>
      </c>
      <c r="L14" s="145">
        <v>10500000</v>
      </c>
      <c r="M14" s="145">
        <f t="shared" si="1"/>
        <v>47250000</v>
      </c>
      <c r="O14" s="135"/>
    </row>
    <row r="15" spans="1:15" ht="27.6" customHeight="1">
      <c r="A15" s="142">
        <v>4</v>
      </c>
      <c r="B15" s="139" t="s">
        <v>344</v>
      </c>
      <c r="C15" s="143">
        <v>207</v>
      </c>
      <c r="D15" s="144">
        <v>200000</v>
      </c>
      <c r="E15" s="143"/>
      <c r="F15" s="143"/>
      <c r="G15" s="143"/>
      <c r="H15" s="145">
        <f t="shared" si="0"/>
        <v>41400000</v>
      </c>
      <c r="I15" s="145">
        <v>10200000</v>
      </c>
      <c r="J15" s="145">
        <v>12000000</v>
      </c>
      <c r="K15" s="144">
        <v>10800000</v>
      </c>
      <c r="L15" s="145">
        <v>8400000</v>
      </c>
      <c r="M15" s="145">
        <f t="shared" si="1"/>
        <v>41400000</v>
      </c>
      <c r="O15" s="135"/>
    </row>
    <row r="16" spans="1:15">
      <c r="A16" s="55">
        <v>5</v>
      </c>
      <c r="B16" s="139" t="s">
        <v>345</v>
      </c>
      <c r="C16" s="12">
        <v>1</v>
      </c>
      <c r="D16" s="161">
        <v>16048240</v>
      </c>
      <c r="E16" s="12"/>
      <c r="F16" s="12"/>
      <c r="G16" s="12"/>
      <c r="H16" s="113">
        <f t="shared" si="0"/>
        <v>16048240</v>
      </c>
      <c r="I16" s="113">
        <v>2829580</v>
      </c>
      <c r="J16" s="113">
        <v>4831650</v>
      </c>
      <c r="K16" s="161">
        <v>5105160</v>
      </c>
      <c r="L16" s="113">
        <v>3281850</v>
      </c>
      <c r="M16" s="145">
        <f t="shared" si="1"/>
        <v>16048240</v>
      </c>
      <c r="O16" s="135"/>
    </row>
    <row r="17" spans="1:13">
      <c r="A17" s="142">
        <v>6</v>
      </c>
      <c r="B17" s="139" t="s">
        <v>346</v>
      </c>
      <c r="C17" s="143">
        <v>6500</v>
      </c>
      <c r="D17" s="144">
        <v>1300</v>
      </c>
      <c r="E17" s="143"/>
      <c r="F17" s="143"/>
      <c r="G17" s="143"/>
      <c r="H17" s="145">
        <f t="shared" si="0"/>
        <v>8450000</v>
      </c>
      <c r="I17" s="145">
        <v>1885000</v>
      </c>
      <c r="J17" s="145">
        <v>2405000</v>
      </c>
      <c r="K17" s="144">
        <v>2405000</v>
      </c>
      <c r="L17" s="145">
        <v>1755000</v>
      </c>
      <c r="M17" s="145">
        <f>SUM(I17:L17)</f>
        <v>8450000</v>
      </c>
    </row>
    <row r="18" spans="1:13">
      <c r="A18" s="142"/>
      <c r="B18" s="139"/>
      <c r="C18" s="143"/>
      <c r="D18" s="144"/>
      <c r="E18" s="143"/>
      <c r="F18" s="143"/>
      <c r="G18" s="143"/>
      <c r="H18" s="145"/>
      <c r="I18" s="145"/>
      <c r="J18" s="145"/>
      <c r="K18" s="144"/>
      <c r="L18" s="145"/>
      <c r="M18" s="143"/>
    </row>
    <row r="19" spans="1:13">
      <c r="A19" s="142"/>
      <c r="B19" s="139"/>
      <c r="C19" s="143"/>
      <c r="D19" s="144"/>
      <c r="E19" s="143"/>
      <c r="F19" s="143"/>
      <c r="G19" s="143"/>
      <c r="H19" s="145"/>
      <c r="I19" s="145"/>
      <c r="J19" s="145"/>
      <c r="K19" s="144"/>
      <c r="L19" s="145"/>
      <c r="M19" s="143"/>
    </row>
    <row r="20" spans="1:13">
      <c r="A20" s="142"/>
      <c r="B20" s="139"/>
      <c r="C20" s="143"/>
      <c r="D20" s="144"/>
      <c r="E20" s="143"/>
      <c r="F20" s="143"/>
      <c r="G20" s="143"/>
      <c r="H20" s="145"/>
      <c r="I20" s="145"/>
      <c r="J20" s="145"/>
      <c r="K20" s="144"/>
      <c r="L20" s="145"/>
      <c r="M20" s="143"/>
    </row>
    <row r="21" spans="1:13">
      <c r="A21" s="142"/>
      <c r="B21" s="139"/>
      <c r="C21" s="143"/>
      <c r="D21" s="144"/>
      <c r="E21" s="143"/>
      <c r="F21" s="143"/>
      <c r="G21" s="143"/>
      <c r="H21" s="145"/>
      <c r="I21" s="145"/>
      <c r="J21" s="145"/>
      <c r="K21" s="144"/>
      <c r="L21" s="145"/>
      <c r="M21" s="143"/>
    </row>
    <row r="22" spans="1:13">
      <c r="A22" s="12"/>
      <c r="B22" s="139"/>
      <c r="C22" s="12"/>
      <c r="D22" s="123"/>
      <c r="E22" s="12"/>
      <c r="F22" s="12"/>
      <c r="G22" s="12"/>
      <c r="H22" s="113"/>
      <c r="I22" s="113"/>
      <c r="J22" s="113"/>
      <c r="K22" s="123"/>
      <c r="L22" s="113"/>
      <c r="M22" s="12"/>
    </row>
    <row r="23" spans="1:13">
      <c r="A23" s="12"/>
      <c r="B23" s="139"/>
      <c r="C23" s="12"/>
      <c r="D23" s="12"/>
      <c r="E23" s="12"/>
      <c r="F23" s="12"/>
      <c r="G23" s="12"/>
      <c r="H23" s="12"/>
      <c r="I23" s="12"/>
      <c r="J23" s="12"/>
      <c r="K23" s="123"/>
      <c r="L23" s="12"/>
      <c r="M23" s="12"/>
    </row>
    <row r="24" spans="1:13">
      <c r="A24" s="12"/>
      <c r="B24" s="139"/>
      <c r="C24" s="12"/>
      <c r="D24" s="12"/>
      <c r="E24" s="12"/>
      <c r="F24" s="12"/>
      <c r="G24" s="12"/>
      <c r="H24" s="12"/>
      <c r="I24" s="12"/>
      <c r="J24" s="12"/>
      <c r="K24" s="123"/>
      <c r="L24" s="12"/>
      <c r="M24" s="12"/>
    </row>
    <row r="25" spans="1:13">
      <c r="A25" s="12"/>
      <c r="B25" s="139"/>
      <c r="C25" s="12"/>
      <c r="D25" s="12"/>
      <c r="E25" s="12"/>
      <c r="F25" s="12"/>
      <c r="G25" s="12"/>
      <c r="H25" s="12"/>
      <c r="I25" s="12"/>
      <c r="J25" s="12"/>
      <c r="K25" s="123"/>
      <c r="L25" s="12"/>
      <c r="M25" s="12"/>
    </row>
    <row r="26" spans="1:13">
      <c r="A26" s="37"/>
      <c r="B26" s="140"/>
      <c r="C26" s="37"/>
      <c r="D26" s="37"/>
      <c r="E26" s="37"/>
      <c r="F26" s="37"/>
      <c r="G26" s="37"/>
      <c r="H26" s="129">
        <f>SUM(H12:H25)</f>
        <v>225398240</v>
      </c>
      <c r="I26" s="129">
        <f t="shared" ref="I26:M26" si="2">SUM(I12:I25)</f>
        <v>44564580</v>
      </c>
      <c r="J26" s="129">
        <f t="shared" si="2"/>
        <v>69686650</v>
      </c>
      <c r="K26" s="129">
        <f t="shared" si="2"/>
        <v>64260160</v>
      </c>
      <c r="L26" s="129">
        <f t="shared" si="2"/>
        <v>46886850</v>
      </c>
      <c r="M26" s="129">
        <f t="shared" si="2"/>
        <v>225398240</v>
      </c>
    </row>
    <row r="27" spans="1:13">
      <c r="B27" s="14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>
      <c r="B28" s="14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>
      <c r="B29" s="14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>
      <c r="B30" s="14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</sheetData>
  <mergeCells count="12">
    <mergeCell ref="A2:M2"/>
    <mergeCell ref="A10:A11"/>
    <mergeCell ref="A4:M4"/>
    <mergeCell ref="A5:M5"/>
    <mergeCell ref="M10:M11"/>
    <mergeCell ref="H10:H11"/>
    <mergeCell ref="C10:C11"/>
    <mergeCell ref="B10:B11"/>
    <mergeCell ref="A3:M3"/>
    <mergeCell ref="E10:G10"/>
    <mergeCell ref="D10:D11"/>
    <mergeCell ref="I10:L10"/>
  </mergeCells>
  <phoneticPr fontId="0" type="noConversion"/>
  <printOptions horizontalCentered="1"/>
  <pageMargins left="0.62992125984251968" right="0.39370078740157483" top="0.78740157480314965" bottom="0.59055118110236227" header="0.51181102362204722" footer="0.51181102362204722"/>
  <pageSetup paperSize="9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F868-7A1F-4F65-B5B0-7108AD83E832}">
  <sheetPr>
    <tabColor rgb="FF00B0F0"/>
  </sheetPr>
  <dimension ref="A1:R24"/>
  <sheetViews>
    <sheetView zoomScale="85" zoomScaleNormal="85" zoomScaleSheetLayoutView="100" workbookViewId="0">
      <selection activeCell="D10" sqref="D10"/>
    </sheetView>
  </sheetViews>
  <sheetFormatPr defaultColWidth="9.140625" defaultRowHeight="26.45" customHeight="1"/>
  <cols>
    <col min="1" max="1" width="8.42578125" style="4" customWidth="1"/>
    <col min="2" max="2" width="31.28515625" style="4" customWidth="1"/>
    <col min="3" max="3" width="15.85546875" style="4" customWidth="1"/>
    <col min="4" max="5" width="8.5703125" style="4" customWidth="1"/>
    <col min="6" max="6" width="8.5703125" style="82" customWidth="1"/>
    <col min="7" max="16" width="8.5703125" style="4" customWidth="1"/>
    <col min="17" max="17" width="9.140625" style="4" customWidth="1"/>
    <col min="18" max="16384" width="9.140625" style="4"/>
  </cols>
  <sheetData>
    <row r="1" spans="1:16" ht="26.45" customHeight="1">
      <c r="N1" s="7"/>
      <c r="O1" s="7"/>
    </row>
    <row r="2" spans="1:16" ht="30.6" customHeight="1">
      <c r="N2" s="7"/>
      <c r="O2" s="7"/>
    </row>
    <row r="3" spans="1:16" ht="26.45" customHeight="1">
      <c r="B3" s="202"/>
      <c r="C3" s="316" t="s">
        <v>347</v>
      </c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202"/>
      <c r="O3" s="202"/>
    </row>
    <row r="4" spans="1:16" ht="26.45" customHeight="1">
      <c r="B4" s="202"/>
      <c r="C4" s="316" t="s">
        <v>348</v>
      </c>
      <c r="D4" s="316"/>
      <c r="E4" s="316"/>
      <c r="F4" s="316"/>
      <c r="G4" s="316"/>
      <c r="H4" s="316"/>
      <c r="I4" s="316"/>
      <c r="J4" s="316"/>
      <c r="K4" s="316"/>
      <c r="L4" s="316"/>
      <c r="M4" s="316"/>
    </row>
    <row r="5" spans="1:16" ht="26.45" customHeight="1">
      <c r="A5" s="3" t="s">
        <v>349</v>
      </c>
      <c r="F5" s="4"/>
      <c r="N5" s="202"/>
      <c r="O5" s="202"/>
    </row>
    <row r="6" spans="1:16" ht="26.45" customHeight="1">
      <c r="A6" s="3" t="s">
        <v>350</v>
      </c>
    </row>
    <row r="7" spans="1:16" ht="26.45" customHeight="1">
      <c r="A7" s="3" t="s">
        <v>351</v>
      </c>
    </row>
    <row r="8" spans="1:16" ht="26.45" customHeight="1">
      <c r="A8" s="3" t="s">
        <v>352</v>
      </c>
      <c r="B8" s="3"/>
      <c r="C8" s="3"/>
      <c r="P8" s="201" t="s">
        <v>353</v>
      </c>
    </row>
    <row r="9" spans="1:16" ht="26.45" customHeight="1">
      <c r="A9" s="209" t="s">
        <v>306</v>
      </c>
      <c r="B9" s="209" t="s">
        <v>354</v>
      </c>
      <c r="C9" s="10" t="s">
        <v>355</v>
      </c>
      <c r="D9" s="248" t="s">
        <v>356</v>
      </c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50"/>
    </row>
    <row r="10" spans="1:16" ht="26.45" customHeight="1">
      <c r="A10" s="320"/>
      <c r="B10" s="260"/>
      <c r="C10" s="198" t="s">
        <v>357</v>
      </c>
      <c r="D10" s="248" t="s">
        <v>205</v>
      </c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50"/>
    </row>
    <row r="11" spans="1:16" ht="26.45" customHeight="1">
      <c r="A11" s="200" t="s">
        <v>9</v>
      </c>
      <c r="B11" s="261"/>
      <c r="C11" s="11" t="s">
        <v>205</v>
      </c>
      <c r="D11" s="28" t="s">
        <v>358</v>
      </c>
      <c r="E11" s="28" t="s">
        <v>359</v>
      </c>
      <c r="F11" s="28" t="s">
        <v>360</v>
      </c>
      <c r="G11" s="28" t="s">
        <v>361</v>
      </c>
      <c r="H11" s="28" t="s">
        <v>362</v>
      </c>
      <c r="I11" s="28" t="s">
        <v>363</v>
      </c>
      <c r="J11" s="28" t="s">
        <v>364</v>
      </c>
      <c r="K11" s="28" t="s">
        <v>365</v>
      </c>
      <c r="L11" s="28" t="s">
        <v>366</v>
      </c>
      <c r="M11" s="28" t="s">
        <v>367</v>
      </c>
      <c r="N11" s="28" t="s">
        <v>368</v>
      </c>
      <c r="O11" s="28" t="s">
        <v>369</v>
      </c>
      <c r="P11" s="28" t="s">
        <v>13</v>
      </c>
    </row>
    <row r="12" spans="1:16" ht="26.45" customHeight="1">
      <c r="A12" s="192">
        <v>1</v>
      </c>
      <c r="B12" s="16" t="s">
        <v>370</v>
      </c>
      <c r="C12" s="199">
        <v>44.564</v>
      </c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</row>
    <row r="13" spans="1:16" ht="26.45" customHeight="1">
      <c r="A13" s="192">
        <v>2</v>
      </c>
      <c r="B13" s="16" t="s">
        <v>371</v>
      </c>
      <c r="C13" s="191"/>
      <c r="D13" s="12"/>
      <c r="E13" s="12"/>
      <c r="F13" s="195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ht="26.45" customHeight="1">
      <c r="A14" s="191"/>
      <c r="B14" s="16" t="s">
        <v>372</v>
      </c>
      <c r="C14" s="191"/>
      <c r="D14" s="193"/>
      <c r="E14" s="12"/>
      <c r="F14" s="195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26.45" customHeight="1">
      <c r="A15" s="191"/>
      <c r="B15" s="16" t="s">
        <v>373</v>
      </c>
      <c r="C15" s="191"/>
      <c r="D15" s="12"/>
      <c r="E15" s="193"/>
      <c r="F15" s="197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26.45" customHeight="1">
      <c r="A16" s="191"/>
      <c r="B16" s="16" t="s">
        <v>374</v>
      </c>
      <c r="C16" s="191"/>
      <c r="D16" s="12"/>
      <c r="E16" s="12"/>
      <c r="F16" s="195"/>
      <c r="G16" s="197"/>
      <c r="H16" s="12"/>
      <c r="I16" s="196"/>
      <c r="J16" s="12"/>
      <c r="K16" s="12"/>
      <c r="L16" s="12"/>
      <c r="M16" s="12"/>
      <c r="N16" s="12"/>
      <c r="O16" s="12"/>
      <c r="P16" s="12"/>
    </row>
    <row r="17" spans="1:18" ht="26.45" customHeight="1">
      <c r="A17" s="191"/>
      <c r="B17" s="16" t="s">
        <v>375</v>
      </c>
      <c r="C17" s="191"/>
      <c r="D17" s="12"/>
      <c r="E17" s="12"/>
      <c r="F17" s="195"/>
      <c r="G17" s="12"/>
      <c r="H17" s="193"/>
      <c r="I17" s="193"/>
      <c r="J17" s="12"/>
      <c r="K17" s="12"/>
      <c r="L17" s="12"/>
      <c r="M17" s="12"/>
      <c r="N17" s="12"/>
      <c r="O17" s="12"/>
      <c r="P17" s="12"/>
    </row>
    <row r="18" spans="1:18" ht="26.45" customHeight="1">
      <c r="A18" s="192">
        <v>3</v>
      </c>
      <c r="B18" s="16" t="s">
        <v>376</v>
      </c>
      <c r="C18" s="191"/>
      <c r="D18" s="12"/>
      <c r="E18" s="12"/>
      <c r="F18" s="195"/>
      <c r="G18" s="12"/>
      <c r="H18" s="12"/>
      <c r="I18" s="12"/>
      <c r="J18" s="193"/>
      <c r="K18" s="193"/>
      <c r="L18" s="193"/>
      <c r="M18" s="193"/>
      <c r="N18" s="12"/>
      <c r="O18" s="12"/>
      <c r="P18" s="12"/>
    </row>
    <row r="19" spans="1:18" ht="26.45" customHeight="1">
      <c r="A19" s="192">
        <v>4</v>
      </c>
      <c r="B19" s="16" t="s">
        <v>377</v>
      </c>
      <c r="C19" s="191"/>
      <c r="D19" s="12"/>
      <c r="E19" s="12"/>
      <c r="F19" s="195"/>
      <c r="G19" s="12"/>
      <c r="H19" s="12"/>
      <c r="I19" s="12"/>
      <c r="J19" s="12"/>
      <c r="K19" s="194"/>
      <c r="L19" s="193"/>
      <c r="M19" s="193"/>
      <c r="N19" s="193"/>
      <c r="O19" s="193"/>
      <c r="P19" s="12"/>
    </row>
    <row r="20" spans="1:18" s="16" customFormat="1" ht="26.45" customHeight="1">
      <c r="A20" s="192">
        <v>5</v>
      </c>
      <c r="B20" s="16" t="s">
        <v>378</v>
      </c>
      <c r="C20" s="191"/>
      <c r="D20" s="191"/>
      <c r="E20" s="191"/>
      <c r="F20" s="191"/>
      <c r="G20" s="191"/>
      <c r="H20" s="191"/>
      <c r="I20" s="191"/>
      <c r="J20" s="191"/>
      <c r="K20" s="190"/>
      <c r="L20" s="190"/>
      <c r="M20" s="190">
        <v>39.85</v>
      </c>
      <c r="N20" s="190"/>
      <c r="O20" s="189">
        <v>4.7145799999999998</v>
      </c>
      <c r="P20" s="188">
        <f>SUM(K20:O20)</f>
        <v>44.564579999999999</v>
      </c>
      <c r="R20" s="187"/>
    </row>
    <row r="21" spans="1:18" s="16" customFormat="1" ht="26.45" customHeight="1">
      <c r="A21" s="184"/>
      <c r="B21" s="22" t="s">
        <v>379</v>
      </c>
      <c r="C21" s="184"/>
      <c r="D21" s="184"/>
      <c r="E21" s="184"/>
      <c r="F21" s="184"/>
      <c r="G21" s="184"/>
      <c r="H21" s="184"/>
      <c r="I21" s="184"/>
      <c r="J21" s="184"/>
      <c r="K21" s="186"/>
      <c r="L21" s="185"/>
      <c r="M21" s="185"/>
      <c r="N21" s="185"/>
      <c r="O21" s="185"/>
      <c r="P21" s="184"/>
      <c r="R21" s="4"/>
    </row>
    <row r="22" spans="1:18" s="16" customFormat="1" ht="26.45" customHeight="1">
      <c r="A22" s="183" t="s">
        <v>380</v>
      </c>
      <c r="B22" s="182" t="s">
        <v>381</v>
      </c>
      <c r="C22" s="17"/>
      <c r="Q22" s="319" t="s">
        <v>382</v>
      </c>
      <c r="R22" s="4"/>
    </row>
    <row r="23" spans="1:18" ht="26.45" customHeight="1">
      <c r="B23" s="182" t="s">
        <v>383</v>
      </c>
      <c r="Q23" s="319"/>
    </row>
    <row r="24" spans="1:18" ht="26.45" customHeight="1">
      <c r="B24" s="17" t="s">
        <v>384</v>
      </c>
      <c r="Q24" s="319"/>
    </row>
  </sheetData>
  <mergeCells count="7">
    <mergeCell ref="Q22:Q24"/>
    <mergeCell ref="C3:M3"/>
    <mergeCell ref="C4:M4"/>
    <mergeCell ref="A9:A10"/>
    <mergeCell ref="B9:B11"/>
    <mergeCell ref="D9:P9"/>
    <mergeCell ref="D10:P10"/>
  </mergeCells>
  <printOptions horizontalCentered="1" headings="1" gridLines="1"/>
  <pageMargins left="0.15748031496062992" right="7.874015748031496E-2" top="0.51181102362204722" bottom="0.39370078740157483" header="0.51181102362204722" footer="0.51181102362204722"/>
  <pageSetup paperSize="9" scale="8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00B0F0"/>
  </sheetPr>
  <dimension ref="A1:G32"/>
  <sheetViews>
    <sheetView showGridLines="0" topLeftCell="A11" zoomScale="85" zoomScaleNormal="85" zoomScaleSheetLayoutView="100" workbookViewId="0">
      <selection activeCell="F28" sqref="F28"/>
    </sheetView>
  </sheetViews>
  <sheetFormatPr defaultColWidth="9.140625" defaultRowHeight="21"/>
  <cols>
    <col min="1" max="1" width="10" style="4" customWidth="1"/>
    <col min="2" max="2" width="30.5703125" style="4" customWidth="1"/>
    <col min="3" max="6" width="24.140625" style="4" customWidth="1"/>
    <col min="7" max="7" width="23.85546875" style="4" customWidth="1"/>
    <col min="8" max="16384" width="9.140625" style="4"/>
  </cols>
  <sheetData>
    <row r="1" spans="1:7" ht="26.25">
      <c r="A1" s="316" t="s">
        <v>385</v>
      </c>
      <c r="B1" s="316"/>
      <c r="C1" s="316"/>
      <c r="D1" s="316"/>
      <c r="E1" s="316"/>
      <c r="F1" s="316"/>
      <c r="G1" s="316"/>
    </row>
    <row r="2" spans="1:7">
      <c r="A2" s="3" t="s">
        <v>325</v>
      </c>
    </row>
    <row r="3" spans="1:7">
      <c r="A3" s="3" t="s">
        <v>326</v>
      </c>
    </row>
    <row r="4" spans="1:7" ht="21" customHeight="1">
      <c r="A4" s="3" t="s">
        <v>327</v>
      </c>
    </row>
    <row r="5" spans="1:7" ht="21" customHeight="1">
      <c r="A5" s="3"/>
      <c r="G5" s="9" t="s">
        <v>8</v>
      </c>
    </row>
    <row r="6" spans="1:7" ht="21" customHeight="1">
      <c r="A6" s="51"/>
      <c r="B6" s="52"/>
      <c r="C6" s="211" t="s">
        <v>189</v>
      </c>
      <c r="D6" s="251"/>
      <c r="E6" s="251"/>
      <c r="F6" s="212"/>
      <c r="G6" s="209" t="s">
        <v>13</v>
      </c>
    </row>
    <row r="7" spans="1:7" ht="24.75" customHeight="1">
      <c r="A7" s="258" t="s">
        <v>202</v>
      </c>
      <c r="B7" s="259"/>
      <c r="C7" s="213" t="s">
        <v>386</v>
      </c>
      <c r="D7" s="252"/>
      <c r="E7" s="252"/>
      <c r="F7" s="214"/>
      <c r="G7" s="260"/>
    </row>
    <row r="8" spans="1:7" ht="24.75" customHeight="1">
      <c r="A8" s="56"/>
      <c r="B8" s="57"/>
      <c r="C8" s="23" t="s">
        <v>387</v>
      </c>
      <c r="D8" s="23" t="s">
        <v>338</v>
      </c>
      <c r="E8" s="28" t="s">
        <v>339</v>
      </c>
      <c r="F8" s="28" t="s">
        <v>388</v>
      </c>
      <c r="G8" s="261"/>
    </row>
    <row r="9" spans="1:7" ht="21" customHeight="1">
      <c r="A9" s="31" t="s">
        <v>389</v>
      </c>
      <c r="B9" s="58"/>
      <c r="C9" s="58"/>
      <c r="D9" s="12"/>
      <c r="E9" s="12"/>
      <c r="F9" s="12"/>
      <c r="G9" s="12"/>
    </row>
    <row r="10" spans="1:7" ht="21" customHeight="1">
      <c r="A10" s="31" t="s">
        <v>209</v>
      </c>
      <c r="B10" s="58"/>
      <c r="C10" s="58"/>
      <c r="D10" s="12"/>
      <c r="E10" s="12"/>
      <c r="F10" s="12"/>
      <c r="G10" s="12"/>
    </row>
    <row r="11" spans="1:7" ht="21" customHeight="1">
      <c r="A11" s="36" t="s">
        <v>390</v>
      </c>
      <c r="B11" s="60"/>
      <c r="C11" s="60"/>
      <c r="D11" s="12"/>
      <c r="E11" s="12"/>
      <c r="F11" s="12"/>
      <c r="G11" s="12"/>
    </row>
    <row r="12" spans="1:7" ht="21" customHeight="1">
      <c r="A12" s="36" t="s">
        <v>211</v>
      </c>
      <c r="B12" s="60"/>
      <c r="C12" s="60"/>
      <c r="D12" s="12"/>
      <c r="E12" s="12"/>
      <c r="F12" s="12"/>
      <c r="G12" s="12"/>
    </row>
    <row r="13" spans="1:7" ht="21" customHeight="1">
      <c r="A13" s="36"/>
      <c r="B13" s="60" t="s">
        <v>391</v>
      </c>
      <c r="C13" s="114">
        <v>39850000</v>
      </c>
      <c r="D13" s="115">
        <v>62450000</v>
      </c>
      <c r="E13" s="115">
        <v>56750000</v>
      </c>
      <c r="F13" s="115">
        <v>41850000</v>
      </c>
      <c r="G13" s="113">
        <f>SUM(C13:F13)</f>
        <v>200900000</v>
      </c>
    </row>
    <row r="14" spans="1:7" ht="21" customHeight="1">
      <c r="A14" s="36"/>
      <c r="B14" s="60" t="s">
        <v>213</v>
      </c>
      <c r="C14" s="60">
        <v>4714580</v>
      </c>
      <c r="D14" s="12">
        <v>7236650</v>
      </c>
      <c r="E14" s="12">
        <v>7510160</v>
      </c>
      <c r="F14" s="12">
        <v>5036850</v>
      </c>
      <c r="G14" s="113">
        <f>SUM(C14:F14)</f>
        <v>24498240</v>
      </c>
    </row>
    <row r="15" spans="1:7" ht="21" customHeight="1">
      <c r="A15" s="36"/>
      <c r="B15" s="60" t="s">
        <v>214</v>
      </c>
      <c r="C15" s="60"/>
      <c r="D15" s="12"/>
      <c r="E15" s="12"/>
      <c r="F15" s="12"/>
      <c r="G15" s="12"/>
    </row>
    <row r="16" spans="1:7" ht="21" customHeight="1">
      <c r="A16" s="36"/>
      <c r="B16" s="60" t="s">
        <v>215</v>
      </c>
      <c r="C16" s="60"/>
      <c r="D16" s="12"/>
      <c r="E16" s="12"/>
      <c r="F16" s="12"/>
      <c r="G16" s="12"/>
    </row>
    <row r="17" spans="1:7" ht="21" customHeight="1">
      <c r="A17" s="36"/>
      <c r="B17" s="60" t="s">
        <v>216</v>
      </c>
      <c r="C17" s="60"/>
      <c r="D17" s="12"/>
      <c r="E17" s="12"/>
      <c r="F17" s="12"/>
      <c r="G17" s="12"/>
    </row>
    <row r="18" spans="1:7" ht="21" customHeight="1">
      <c r="A18" s="36"/>
      <c r="B18" s="60" t="s">
        <v>392</v>
      </c>
      <c r="C18" s="60"/>
      <c r="D18" s="37"/>
      <c r="E18" s="12"/>
      <c r="F18" s="12"/>
      <c r="G18" s="12"/>
    </row>
    <row r="19" spans="1:7" ht="21" customHeight="1">
      <c r="A19" s="36"/>
      <c r="B19" s="61" t="s">
        <v>218</v>
      </c>
      <c r="C19" s="110">
        <f>SUM(C13:C18)</f>
        <v>44564580</v>
      </c>
      <c r="D19" s="110">
        <f>SUM(D13:D18)</f>
        <v>69686650</v>
      </c>
      <c r="E19" s="110">
        <f>SUM(E13:E18)</f>
        <v>64260160</v>
      </c>
      <c r="F19" s="110">
        <f>SUM(F13:F18)</f>
        <v>46886850</v>
      </c>
      <c r="G19" s="110">
        <f>SUM(G13:G18)</f>
        <v>225398240</v>
      </c>
    </row>
    <row r="20" spans="1:7" ht="21" customHeight="1">
      <c r="A20" s="31" t="s">
        <v>393</v>
      </c>
      <c r="B20" s="61"/>
      <c r="C20" s="61"/>
      <c r="D20" s="12"/>
      <c r="E20" s="12"/>
      <c r="F20" s="12"/>
      <c r="G20" s="12"/>
    </row>
    <row r="21" spans="1:7" ht="21" customHeight="1">
      <c r="A21" s="31" t="s">
        <v>394</v>
      </c>
      <c r="B21" s="61"/>
      <c r="C21" s="61"/>
      <c r="D21" s="12"/>
      <c r="E21" s="12"/>
      <c r="F21" s="12"/>
      <c r="G21" s="12"/>
    </row>
    <row r="22" spans="1:7" ht="21" customHeight="1">
      <c r="A22" s="36" t="s">
        <v>395</v>
      </c>
      <c r="B22" s="61"/>
      <c r="C22" s="61"/>
      <c r="D22" s="12"/>
      <c r="E22" s="12"/>
      <c r="F22" s="12"/>
      <c r="G22" s="12"/>
    </row>
    <row r="23" spans="1:7" ht="21" customHeight="1">
      <c r="A23" s="36" t="s">
        <v>396</v>
      </c>
      <c r="B23" s="61"/>
      <c r="C23" s="61"/>
      <c r="D23" s="12"/>
      <c r="E23" s="12"/>
      <c r="F23" s="12"/>
      <c r="G23" s="12"/>
    </row>
    <row r="24" spans="1:7" ht="21" customHeight="1">
      <c r="A24" s="36" t="s">
        <v>397</v>
      </c>
      <c r="B24" s="61"/>
      <c r="C24" s="61"/>
      <c r="D24" s="12"/>
      <c r="E24" s="12"/>
      <c r="F24" s="12"/>
      <c r="G24" s="12"/>
    </row>
    <row r="25" spans="1:7" ht="21" customHeight="1">
      <c r="A25" s="322" t="s">
        <v>13</v>
      </c>
      <c r="B25" s="323"/>
      <c r="C25" s="110">
        <f>SUM(C19)</f>
        <v>44564580</v>
      </c>
      <c r="D25" s="110">
        <f t="shared" ref="D25:G25" si="0">SUM(D19)</f>
        <v>69686650</v>
      </c>
      <c r="E25" s="110">
        <f t="shared" si="0"/>
        <v>64260160</v>
      </c>
      <c r="F25" s="110">
        <f t="shared" si="0"/>
        <v>46886850</v>
      </c>
      <c r="G25" s="110">
        <f t="shared" si="0"/>
        <v>225398240</v>
      </c>
    </row>
    <row r="26" spans="1:7" ht="21" customHeight="1">
      <c r="A26" s="36" t="s">
        <v>398</v>
      </c>
      <c r="B26" s="61"/>
      <c r="C26" s="108">
        <v>0</v>
      </c>
      <c r="D26" s="127">
        <f>D25*0.03</f>
        <v>2090599.5</v>
      </c>
      <c r="E26" s="127">
        <f t="shared" ref="E26:F26" si="1">E25*0.03</f>
        <v>1927804.7999999998</v>
      </c>
      <c r="F26" s="127">
        <f t="shared" si="1"/>
        <v>1406605.5</v>
      </c>
      <c r="G26" s="123">
        <f>SUM(C26:F26)</f>
        <v>5425009.7999999998</v>
      </c>
    </row>
    <row r="27" spans="1:7" ht="21" customHeight="1">
      <c r="A27" s="62"/>
      <c r="B27" s="59" t="s">
        <v>224</v>
      </c>
      <c r="C27" s="110">
        <f>C25+C26</f>
        <v>44564580</v>
      </c>
      <c r="D27" s="110">
        <f t="shared" ref="D27:F27" si="2">D25+D26</f>
        <v>71777249.5</v>
      </c>
      <c r="E27" s="110">
        <f t="shared" si="2"/>
        <v>66187964.799999997</v>
      </c>
      <c r="F27" s="110">
        <f>F25+F26</f>
        <v>48293455.5</v>
      </c>
      <c r="G27" s="124">
        <f>SUM(C27:F27)</f>
        <v>230823249.80000001</v>
      </c>
    </row>
    <row r="28" spans="1:7" ht="21" customHeight="1">
      <c r="A28" s="3" t="s">
        <v>399</v>
      </c>
      <c r="B28" s="4" t="s">
        <v>400</v>
      </c>
      <c r="C28" s="7"/>
      <c r="E28" s="63"/>
    </row>
    <row r="29" spans="1:7" ht="23.25" customHeight="1">
      <c r="B29" s="4" t="s">
        <v>401</v>
      </c>
      <c r="G29" s="321" t="s">
        <v>402</v>
      </c>
    </row>
    <row r="30" spans="1:7">
      <c r="G30" s="321"/>
    </row>
    <row r="31" spans="1:7">
      <c r="G31" s="321"/>
    </row>
    <row r="32" spans="1:7">
      <c r="G32" s="321"/>
    </row>
  </sheetData>
  <mergeCells count="7">
    <mergeCell ref="G29:G32"/>
    <mergeCell ref="A25:B25"/>
    <mergeCell ref="A1:G1"/>
    <mergeCell ref="G6:G8"/>
    <mergeCell ref="A7:B7"/>
    <mergeCell ref="C6:F6"/>
    <mergeCell ref="C7:F7"/>
  </mergeCells>
  <phoneticPr fontId="0" type="noConversion"/>
  <printOptions horizontalCentered="1"/>
  <pageMargins left="0.43307086614173229" right="0.39370078740157483" top="0.19685039370078741" bottom="0.19685039370078741" header="0.51181102362204722" footer="0.51181102362204722"/>
  <pageSetup paperSize="9" scale="81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21FC-DE14-4861-A745-534E13B8BFC8}">
  <sheetPr>
    <tabColor rgb="FF00B0F0"/>
    <pageSetUpPr fitToPage="1"/>
  </sheetPr>
  <dimension ref="A2:AI30"/>
  <sheetViews>
    <sheetView zoomScale="70" zoomScaleNormal="70" workbookViewId="0">
      <selection activeCell="C9" sqref="C9"/>
    </sheetView>
  </sheetViews>
  <sheetFormatPr defaultColWidth="9.140625" defaultRowHeight="21.75"/>
  <cols>
    <col min="1" max="1" width="34.42578125" style="134" customWidth="1"/>
    <col min="2" max="2" width="20" style="134" bestFit="1" customWidth="1"/>
    <col min="3" max="3" width="10.42578125" style="134" bestFit="1" customWidth="1"/>
    <col min="4" max="5" width="9.28515625" style="134" bestFit="1" customWidth="1"/>
    <col min="6" max="6" width="10.42578125" style="134" bestFit="1" customWidth="1"/>
    <col min="7" max="7" width="12.5703125" style="134" bestFit="1" customWidth="1"/>
    <col min="8" max="8" width="9.28515625" style="134" bestFit="1" customWidth="1"/>
    <col min="9" max="9" width="10.42578125" style="134" bestFit="1" customWidth="1"/>
    <col min="10" max="10" width="12.5703125" style="134" bestFit="1" customWidth="1"/>
    <col min="11" max="14" width="10.42578125" style="134" bestFit="1" customWidth="1"/>
    <col min="15" max="15" width="9.28515625" style="134" bestFit="1" customWidth="1"/>
    <col min="16" max="17" width="10.42578125" style="134" bestFit="1" customWidth="1"/>
    <col min="18" max="18" width="9.140625" style="134"/>
    <col min="19" max="19" width="11.140625" style="134" customWidth="1"/>
    <col min="20" max="22" width="9.140625" style="134"/>
    <col min="23" max="23" width="10.42578125" style="134" bestFit="1" customWidth="1"/>
    <col min="24" max="28" width="9.140625" style="134"/>
    <col min="29" max="29" width="10.42578125" style="134" bestFit="1" customWidth="1"/>
    <col min="30" max="16384" width="9.140625" style="134"/>
  </cols>
  <sheetData>
    <row r="2" spans="1:34" ht="23.25">
      <c r="A2" s="325" t="s">
        <v>403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</row>
    <row r="3" spans="1:34">
      <c r="A3" s="168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9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9" t="s">
        <v>404</v>
      </c>
    </row>
    <row r="4" spans="1:34">
      <c r="A4" s="324" t="s">
        <v>202</v>
      </c>
      <c r="B4" s="326" t="s">
        <v>405</v>
      </c>
      <c r="C4" s="326" t="s">
        <v>406</v>
      </c>
      <c r="D4" s="326" t="s">
        <v>407</v>
      </c>
      <c r="E4" s="324" t="s">
        <v>205</v>
      </c>
      <c r="F4" s="324"/>
      <c r="G4" s="324"/>
      <c r="H4" s="324"/>
      <c r="I4" s="324"/>
      <c r="J4" s="324"/>
      <c r="K4" s="324" t="s">
        <v>338</v>
      </c>
      <c r="L4" s="324"/>
      <c r="M4" s="324"/>
      <c r="N4" s="324"/>
      <c r="O4" s="324"/>
      <c r="P4" s="324"/>
      <c r="Q4" s="324" t="s">
        <v>339</v>
      </c>
      <c r="R4" s="324"/>
      <c r="S4" s="324"/>
      <c r="T4" s="324"/>
      <c r="U4" s="324"/>
      <c r="V4" s="324"/>
      <c r="W4" s="324" t="s">
        <v>340</v>
      </c>
      <c r="X4" s="324"/>
      <c r="Y4" s="324"/>
      <c r="Z4" s="324"/>
      <c r="AA4" s="324"/>
      <c r="AB4" s="324"/>
      <c r="AC4" s="324" t="s">
        <v>408</v>
      </c>
      <c r="AD4" s="324"/>
      <c r="AE4" s="324"/>
      <c r="AF4" s="324"/>
      <c r="AG4" s="324"/>
      <c r="AH4" s="324"/>
    </row>
    <row r="5" spans="1:34">
      <c r="A5" s="324"/>
      <c r="B5" s="324"/>
      <c r="C5" s="324"/>
      <c r="D5" s="324"/>
      <c r="E5" s="324" t="s">
        <v>409</v>
      </c>
      <c r="F5" s="324"/>
      <c r="G5" s="324"/>
      <c r="H5" s="324" t="s">
        <v>333</v>
      </c>
      <c r="I5" s="324"/>
      <c r="J5" s="324"/>
      <c r="K5" s="324" t="s">
        <v>409</v>
      </c>
      <c r="L5" s="324"/>
      <c r="M5" s="324"/>
      <c r="N5" s="324" t="s">
        <v>333</v>
      </c>
      <c r="O5" s="324"/>
      <c r="P5" s="324"/>
      <c r="Q5" s="324" t="s">
        <v>409</v>
      </c>
      <c r="R5" s="324"/>
      <c r="S5" s="324"/>
      <c r="T5" s="324" t="s">
        <v>333</v>
      </c>
      <c r="U5" s="324"/>
      <c r="V5" s="324"/>
      <c r="W5" s="324" t="s">
        <v>409</v>
      </c>
      <c r="X5" s="324"/>
      <c r="Y5" s="324"/>
      <c r="Z5" s="324" t="s">
        <v>333</v>
      </c>
      <c r="AA5" s="324"/>
      <c r="AB5" s="324"/>
      <c r="AC5" s="324" t="s">
        <v>409</v>
      </c>
      <c r="AD5" s="324"/>
      <c r="AE5" s="324"/>
      <c r="AF5" s="324" t="s">
        <v>333</v>
      </c>
      <c r="AG5" s="324"/>
      <c r="AH5" s="324"/>
    </row>
    <row r="6" spans="1:34">
      <c r="A6" s="324"/>
      <c r="B6" s="324"/>
      <c r="C6" s="324"/>
      <c r="D6" s="324"/>
      <c r="E6" s="170" t="s">
        <v>410</v>
      </c>
      <c r="F6" s="170" t="s">
        <v>411</v>
      </c>
      <c r="G6" s="170" t="s">
        <v>13</v>
      </c>
      <c r="H6" s="170" t="s">
        <v>410</v>
      </c>
      <c r="I6" s="170" t="s">
        <v>411</v>
      </c>
      <c r="J6" s="170" t="s">
        <v>13</v>
      </c>
      <c r="K6" s="170" t="s">
        <v>410</v>
      </c>
      <c r="L6" s="170" t="s">
        <v>411</v>
      </c>
      <c r="M6" s="170" t="s">
        <v>13</v>
      </c>
      <c r="N6" s="170" t="s">
        <v>410</v>
      </c>
      <c r="O6" s="170" t="s">
        <v>411</v>
      </c>
      <c r="P6" s="170" t="s">
        <v>13</v>
      </c>
      <c r="Q6" s="170" t="s">
        <v>410</v>
      </c>
      <c r="R6" s="170" t="s">
        <v>411</v>
      </c>
      <c r="S6" s="170" t="s">
        <v>13</v>
      </c>
      <c r="T6" s="170" t="s">
        <v>410</v>
      </c>
      <c r="U6" s="170" t="s">
        <v>411</v>
      </c>
      <c r="V6" s="170" t="s">
        <v>13</v>
      </c>
      <c r="W6" s="170" t="s">
        <v>410</v>
      </c>
      <c r="X6" s="170" t="s">
        <v>411</v>
      </c>
      <c r="Y6" s="170" t="s">
        <v>13</v>
      </c>
      <c r="Z6" s="170" t="s">
        <v>410</v>
      </c>
      <c r="AA6" s="170" t="s">
        <v>411</v>
      </c>
      <c r="AB6" s="170" t="s">
        <v>13</v>
      </c>
      <c r="AC6" s="170" t="s">
        <v>410</v>
      </c>
      <c r="AD6" s="170" t="s">
        <v>411</v>
      </c>
      <c r="AE6" s="170" t="s">
        <v>13</v>
      </c>
      <c r="AF6" s="170" t="s">
        <v>410</v>
      </c>
      <c r="AG6" s="170" t="s">
        <v>411</v>
      </c>
      <c r="AH6" s="170" t="s">
        <v>13</v>
      </c>
    </row>
    <row r="7" spans="1:34">
      <c r="A7" s="171" t="s">
        <v>389</v>
      </c>
      <c r="B7" s="172"/>
      <c r="C7" s="172"/>
      <c r="D7" s="172"/>
      <c r="E7" s="172"/>
      <c r="F7" s="172"/>
      <c r="G7" s="172"/>
      <c r="H7" s="172"/>
      <c r="I7" s="173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</row>
    <row r="8" spans="1:34">
      <c r="A8" s="130" t="s">
        <v>209</v>
      </c>
      <c r="B8" s="174"/>
      <c r="C8" s="174"/>
      <c r="D8" s="174"/>
      <c r="E8" s="174"/>
      <c r="F8" s="174"/>
      <c r="G8" s="174"/>
      <c r="H8" s="174"/>
      <c r="I8" s="175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</row>
    <row r="9" spans="1:34">
      <c r="A9" s="176" t="s">
        <v>412</v>
      </c>
      <c r="B9" s="174"/>
      <c r="C9" s="174"/>
      <c r="D9" s="174"/>
      <c r="E9" s="174"/>
      <c r="F9" s="174"/>
      <c r="G9" s="174"/>
      <c r="H9" s="174"/>
      <c r="I9" s="175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</row>
    <row r="10" spans="1:34">
      <c r="A10" s="176" t="s">
        <v>413</v>
      </c>
      <c r="B10" s="174"/>
      <c r="C10" s="174"/>
      <c r="D10" s="174"/>
      <c r="E10" s="174"/>
      <c r="F10" s="174"/>
      <c r="G10" s="174"/>
      <c r="H10" s="174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</row>
    <row r="11" spans="1:34">
      <c r="A11" s="177" t="s">
        <v>391</v>
      </c>
      <c r="B11" s="174"/>
      <c r="C11" s="174"/>
      <c r="D11" s="174"/>
      <c r="E11" s="174"/>
      <c r="F11" s="174"/>
      <c r="G11" s="174"/>
      <c r="H11" s="174"/>
      <c r="I11" s="175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</row>
    <row r="12" spans="1:34">
      <c r="A12" s="177" t="s">
        <v>213</v>
      </c>
      <c r="B12" s="174"/>
      <c r="C12" s="174"/>
      <c r="D12" s="174"/>
      <c r="E12" s="174"/>
      <c r="F12" s="174"/>
      <c r="G12" s="174"/>
      <c r="H12" s="174"/>
      <c r="I12" s="175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</row>
    <row r="13" spans="1:34">
      <c r="A13" s="177" t="s">
        <v>214</v>
      </c>
      <c r="B13" s="174"/>
      <c r="C13" s="174"/>
      <c r="D13" s="174"/>
      <c r="E13" s="174"/>
      <c r="F13" s="174"/>
      <c r="G13" s="174"/>
      <c r="H13" s="174"/>
      <c r="I13" s="175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</row>
    <row r="14" spans="1:34">
      <c r="A14" s="177" t="s">
        <v>414</v>
      </c>
      <c r="B14" s="174"/>
      <c r="C14" s="174"/>
      <c r="D14" s="174"/>
      <c r="E14" s="174"/>
      <c r="F14" s="174"/>
      <c r="G14" s="174"/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</row>
    <row r="15" spans="1:34">
      <c r="A15" s="177" t="s">
        <v>415</v>
      </c>
      <c r="B15" s="174"/>
      <c r="C15" s="174"/>
      <c r="D15" s="174"/>
      <c r="E15" s="174"/>
      <c r="F15" s="174"/>
      <c r="G15" s="174"/>
      <c r="H15" s="174"/>
      <c r="I15" s="175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</row>
    <row r="16" spans="1:34">
      <c r="A16" s="177" t="s">
        <v>416</v>
      </c>
      <c r="B16" s="174"/>
      <c r="C16" s="174"/>
      <c r="D16" s="174"/>
      <c r="E16" s="174"/>
      <c r="F16" s="174"/>
      <c r="G16" s="174"/>
      <c r="H16" s="174"/>
      <c r="I16" s="175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</row>
    <row r="17" spans="1:35">
      <c r="A17" s="174" t="s">
        <v>218</v>
      </c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</row>
    <row r="18" spans="1:35">
      <c r="A18" s="130" t="s">
        <v>417</v>
      </c>
      <c r="B18" s="131">
        <v>225.39823999999999</v>
      </c>
      <c r="C18" s="131"/>
      <c r="D18" s="132"/>
      <c r="E18" s="131">
        <v>0</v>
      </c>
      <c r="F18" s="131">
        <v>44.564</v>
      </c>
      <c r="G18" s="131">
        <f>E18+F18</f>
        <v>44.564</v>
      </c>
      <c r="H18" s="131">
        <v>0</v>
      </c>
      <c r="I18" s="133">
        <v>44.564</v>
      </c>
      <c r="J18" s="131">
        <f>H18+I18</f>
        <v>44.564</v>
      </c>
      <c r="K18" s="131">
        <f>G18-J18</f>
        <v>0</v>
      </c>
      <c r="L18" s="131">
        <v>69.686999999999998</v>
      </c>
      <c r="M18" s="131">
        <f>SUM(K18:L18)</f>
        <v>69.686999999999998</v>
      </c>
      <c r="N18" s="131">
        <f>K18</f>
        <v>0</v>
      </c>
      <c r="O18" s="131">
        <f>SUM(M18:N18)</f>
        <v>69.686999999999998</v>
      </c>
      <c r="P18" s="131">
        <f>SUM(N18:O18)</f>
        <v>69.686999999999998</v>
      </c>
      <c r="Q18" s="131">
        <f>M18-P18</f>
        <v>0</v>
      </c>
      <c r="R18" s="131">
        <v>64.260000000000005</v>
      </c>
      <c r="S18" s="131">
        <f>SUM(Q18:R18)</f>
        <v>64.260000000000005</v>
      </c>
      <c r="T18" s="131">
        <f>Q18</f>
        <v>0</v>
      </c>
      <c r="U18" s="131">
        <v>64.260000000000005</v>
      </c>
      <c r="V18" s="131">
        <f>SUM(T18:U18)</f>
        <v>64.260000000000005</v>
      </c>
      <c r="W18" s="131">
        <f>S18-V18</f>
        <v>0</v>
      </c>
      <c r="X18" s="131">
        <v>46.887</v>
      </c>
      <c r="Y18" s="131">
        <f>SUM(W18:X18)</f>
        <v>46.887</v>
      </c>
      <c r="Z18" s="131">
        <f>W18</f>
        <v>0</v>
      </c>
      <c r="AA18" s="131">
        <v>46.887</v>
      </c>
      <c r="AB18" s="131">
        <f>SUM(Z18:AA18)</f>
        <v>46.887</v>
      </c>
      <c r="AC18" s="131">
        <f>Y18-AB18</f>
        <v>0</v>
      </c>
      <c r="AD18" s="131">
        <v>0</v>
      </c>
      <c r="AE18" s="131">
        <f>SUM(AC18:AD18)</f>
        <v>0</v>
      </c>
      <c r="AF18" s="131">
        <f>AC18</f>
        <v>0</v>
      </c>
      <c r="AG18" s="131">
        <v>0</v>
      </c>
      <c r="AH18" s="131">
        <f>SUM(AF18:AG18)</f>
        <v>0</v>
      </c>
    </row>
    <row r="19" spans="1:35">
      <c r="A19" s="130" t="s">
        <v>394</v>
      </c>
      <c r="B19" s="131"/>
      <c r="C19" s="174"/>
      <c r="D19" s="174"/>
      <c r="E19" s="174"/>
      <c r="F19" s="174"/>
      <c r="G19" s="174"/>
      <c r="H19" s="174"/>
      <c r="I19" s="175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</row>
    <row r="20" spans="1:35">
      <c r="A20" s="130" t="s">
        <v>395</v>
      </c>
      <c r="B20" s="174"/>
      <c r="C20" s="174"/>
      <c r="D20" s="174"/>
      <c r="E20" s="174"/>
      <c r="F20" s="174"/>
      <c r="G20" s="174"/>
      <c r="H20" s="174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</row>
    <row r="21" spans="1:35">
      <c r="A21" s="130" t="s">
        <v>418</v>
      </c>
      <c r="B21" s="174"/>
      <c r="C21" s="174"/>
      <c r="D21" s="174"/>
      <c r="E21" s="174"/>
      <c r="F21" s="174"/>
      <c r="G21" s="174"/>
      <c r="H21" s="174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</row>
    <row r="22" spans="1:35">
      <c r="A22" s="130" t="s">
        <v>419</v>
      </c>
      <c r="B22" s="174"/>
      <c r="C22" s="174"/>
      <c r="D22" s="174"/>
      <c r="E22" s="174"/>
      <c r="F22" s="174"/>
      <c r="G22" s="174"/>
      <c r="H22" s="174"/>
      <c r="I22" s="175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</row>
    <row r="23" spans="1:35">
      <c r="A23" s="179" t="s">
        <v>13</v>
      </c>
      <c r="B23" s="180">
        <f>SUM(B18:B22)</f>
        <v>225.39823999999999</v>
      </c>
      <c r="C23" s="181"/>
      <c r="D23" s="181"/>
      <c r="E23" s="181" t="s">
        <v>54</v>
      </c>
      <c r="F23" s="181">
        <f t="shared" ref="F23:AH23" si="0">SUM(F18:F22)</f>
        <v>44.564</v>
      </c>
      <c r="G23" s="181" t="s">
        <v>54</v>
      </c>
      <c r="H23" s="181">
        <f t="shared" si="0"/>
        <v>0</v>
      </c>
      <c r="I23" s="181">
        <f t="shared" si="0"/>
        <v>44.564</v>
      </c>
      <c r="J23" s="181">
        <f t="shared" si="0"/>
        <v>44.564</v>
      </c>
      <c r="K23" s="181">
        <f>SUM(K18:K22)</f>
        <v>0</v>
      </c>
      <c r="L23" s="181">
        <f t="shared" si="0"/>
        <v>69.686999999999998</v>
      </c>
      <c r="M23" s="181">
        <f t="shared" si="0"/>
        <v>69.686999999999998</v>
      </c>
      <c r="N23" s="181">
        <f t="shared" si="0"/>
        <v>0</v>
      </c>
      <c r="O23" s="181">
        <f t="shared" si="0"/>
        <v>69.686999999999998</v>
      </c>
      <c r="P23" s="181">
        <f t="shared" si="0"/>
        <v>69.686999999999998</v>
      </c>
      <c r="Q23" s="181">
        <f t="shared" si="0"/>
        <v>0</v>
      </c>
      <c r="R23" s="181">
        <f t="shared" si="0"/>
        <v>64.260000000000005</v>
      </c>
      <c r="S23" s="181">
        <f t="shared" si="0"/>
        <v>64.260000000000005</v>
      </c>
      <c r="T23" s="181">
        <f t="shared" si="0"/>
        <v>0</v>
      </c>
      <c r="U23" s="181">
        <f t="shared" si="0"/>
        <v>64.260000000000005</v>
      </c>
      <c r="V23" s="181">
        <f t="shared" si="0"/>
        <v>64.260000000000005</v>
      </c>
      <c r="W23" s="181">
        <f t="shared" si="0"/>
        <v>0</v>
      </c>
      <c r="X23" s="181">
        <f>SUM(X18:X22)</f>
        <v>46.887</v>
      </c>
      <c r="Y23" s="181">
        <f t="shared" si="0"/>
        <v>46.887</v>
      </c>
      <c r="Z23" s="181">
        <f t="shared" si="0"/>
        <v>0</v>
      </c>
      <c r="AA23" s="181">
        <f t="shared" si="0"/>
        <v>46.887</v>
      </c>
      <c r="AB23" s="181">
        <f t="shared" si="0"/>
        <v>46.887</v>
      </c>
      <c r="AC23" s="181">
        <f t="shared" si="0"/>
        <v>0</v>
      </c>
      <c r="AD23" s="181">
        <f t="shared" si="0"/>
        <v>0</v>
      </c>
      <c r="AE23" s="181">
        <f t="shared" si="0"/>
        <v>0</v>
      </c>
      <c r="AF23" s="181">
        <f t="shared" si="0"/>
        <v>0</v>
      </c>
      <c r="AG23" s="181">
        <f t="shared" si="0"/>
        <v>0</v>
      </c>
      <c r="AH23" s="181">
        <f t="shared" si="0"/>
        <v>0</v>
      </c>
    </row>
    <row r="24" spans="1:35">
      <c r="A24" s="171" t="s">
        <v>420</v>
      </c>
      <c r="B24" s="180">
        <v>5.4250097999999998</v>
      </c>
      <c r="C24" s="181"/>
      <c r="D24" s="181"/>
      <c r="E24" s="181" t="s">
        <v>54</v>
      </c>
      <c r="F24" s="181" t="s">
        <v>54</v>
      </c>
      <c r="G24" s="181" t="s">
        <v>54</v>
      </c>
      <c r="H24" s="181" t="s">
        <v>54</v>
      </c>
      <c r="I24" s="181" t="s">
        <v>54</v>
      </c>
      <c r="J24" s="181" t="s">
        <v>54</v>
      </c>
      <c r="K24" s="181">
        <f>K23*0.03</f>
        <v>0</v>
      </c>
      <c r="L24" s="181">
        <f t="shared" ref="L24:P24" si="1">L23*0.03</f>
        <v>2.0906099999999999</v>
      </c>
      <c r="M24" s="181">
        <f t="shared" si="1"/>
        <v>2.0906099999999999</v>
      </c>
      <c r="N24" s="181">
        <f t="shared" si="1"/>
        <v>0</v>
      </c>
      <c r="O24" s="181">
        <f t="shared" si="1"/>
        <v>2.0906099999999999</v>
      </c>
      <c r="P24" s="181">
        <f t="shared" si="1"/>
        <v>2.0906099999999999</v>
      </c>
      <c r="Q24" s="181">
        <f>Q23*0.03</f>
        <v>0</v>
      </c>
      <c r="R24" s="181">
        <f t="shared" ref="R24:AH24" si="2">R23*0.03</f>
        <v>1.9278000000000002</v>
      </c>
      <c r="S24" s="181">
        <f t="shared" si="2"/>
        <v>1.9278000000000002</v>
      </c>
      <c r="T24" s="181">
        <f t="shared" si="2"/>
        <v>0</v>
      </c>
      <c r="U24" s="181">
        <f t="shared" si="2"/>
        <v>1.9278000000000002</v>
      </c>
      <c r="V24" s="181">
        <f t="shared" si="2"/>
        <v>1.9278000000000002</v>
      </c>
      <c r="W24" s="181">
        <f t="shared" si="2"/>
        <v>0</v>
      </c>
      <c r="X24" s="181">
        <f t="shared" si="2"/>
        <v>1.4066099999999999</v>
      </c>
      <c r="Y24" s="181">
        <f t="shared" si="2"/>
        <v>1.4066099999999999</v>
      </c>
      <c r="Z24" s="181">
        <f t="shared" si="2"/>
        <v>0</v>
      </c>
      <c r="AA24" s="181">
        <f t="shared" si="2"/>
        <v>1.4066099999999999</v>
      </c>
      <c r="AB24" s="181">
        <f t="shared" si="2"/>
        <v>1.4066099999999999</v>
      </c>
      <c r="AC24" s="181">
        <f t="shared" si="2"/>
        <v>0</v>
      </c>
      <c r="AD24" s="181">
        <f t="shared" si="2"/>
        <v>0</v>
      </c>
      <c r="AE24" s="181">
        <f t="shared" si="2"/>
        <v>0</v>
      </c>
      <c r="AF24" s="181">
        <f t="shared" si="2"/>
        <v>0</v>
      </c>
      <c r="AG24" s="181">
        <f t="shared" si="2"/>
        <v>0</v>
      </c>
      <c r="AH24" s="181">
        <f t="shared" si="2"/>
        <v>0</v>
      </c>
    </row>
    <row r="25" spans="1:35">
      <c r="A25" s="179" t="s">
        <v>224</v>
      </c>
      <c r="B25" s="180">
        <f>SUM(B23:B24)</f>
        <v>230.82324979999999</v>
      </c>
      <c r="C25" s="181"/>
      <c r="D25" s="181"/>
      <c r="E25" s="181" t="s">
        <v>54</v>
      </c>
      <c r="F25" s="181">
        <f>SUM(F23:F24)</f>
        <v>44.564</v>
      </c>
      <c r="G25" s="181" t="s">
        <v>54</v>
      </c>
      <c r="H25" s="181">
        <f t="shared" ref="H25:P25" si="3">SUM(H23:H24)</f>
        <v>0</v>
      </c>
      <c r="I25" s="181">
        <f t="shared" si="3"/>
        <v>44.564</v>
      </c>
      <c r="J25" s="181">
        <f t="shared" si="3"/>
        <v>44.564</v>
      </c>
      <c r="K25" s="181">
        <f t="shared" si="3"/>
        <v>0</v>
      </c>
      <c r="L25" s="181">
        <f t="shared" si="3"/>
        <v>71.777609999999996</v>
      </c>
      <c r="M25" s="181">
        <f t="shared" si="3"/>
        <v>71.777609999999996</v>
      </c>
      <c r="N25" s="181">
        <f t="shared" si="3"/>
        <v>0</v>
      </c>
      <c r="O25" s="181">
        <f t="shared" si="3"/>
        <v>71.777609999999996</v>
      </c>
      <c r="P25" s="181">
        <f t="shared" si="3"/>
        <v>71.777609999999996</v>
      </c>
      <c r="Q25" s="181">
        <f>SUM(Q23:Q24)</f>
        <v>0</v>
      </c>
      <c r="R25" s="181">
        <f t="shared" ref="R25:AH25" si="4">SUM(R23:R24)</f>
        <v>66.18780000000001</v>
      </c>
      <c r="S25" s="181">
        <f t="shared" si="4"/>
        <v>66.18780000000001</v>
      </c>
      <c r="T25" s="181">
        <f t="shared" si="4"/>
        <v>0</v>
      </c>
      <c r="U25" s="181">
        <f t="shared" si="4"/>
        <v>66.18780000000001</v>
      </c>
      <c r="V25" s="181">
        <f t="shared" si="4"/>
        <v>66.18780000000001</v>
      </c>
      <c r="W25" s="181">
        <f t="shared" si="4"/>
        <v>0</v>
      </c>
      <c r="X25" s="181">
        <f t="shared" si="4"/>
        <v>48.293610000000001</v>
      </c>
      <c r="Y25" s="181">
        <f t="shared" si="4"/>
        <v>48.293610000000001</v>
      </c>
      <c r="Z25" s="181">
        <f t="shared" si="4"/>
        <v>0</v>
      </c>
      <c r="AA25" s="181">
        <f t="shared" si="4"/>
        <v>48.293610000000001</v>
      </c>
      <c r="AB25" s="181">
        <f t="shared" si="4"/>
        <v>48.293610000000001</v>
      </c>
      <c r="AC25" s="181">
        <f t="shared" si="4"/>
        <v>0</v>
      </c>
      <c r="AD25" s="181">
        <f t="shared" si="4"/>
        <v>0</v>
      </c>
      <c r="AE25" s="181">
        <f t="shared" si="4"/>
        <v>0</v>
      </c>
      <c r="AF25" s="181">
        <f t="shared" si="4"/>
        <v>0</v>
      </c>
      <c r="AG25" s="181">
        <f t="shared" si="4"/>
        <v>0</v>
      </c>
      <c r="AH25" s="181">
        <f t="shared" si="4"/>
        <v>0</v>
      </c>
    </row>
    <row r="28" spans="1:35">
      <c r="AI28" s="327" t="s">
        <v>402</v>
      </c>
    </row>
    <row r="29" spans="1:35">
      <c r="AI29" s="327"/>
    </row>
    <row r="30" spans="1:35" ht="72" customHeight="1">
      <c r="AI30" s="327"/>
    </row>
  </sheetData>
  <mergeCells count="21">
    <mergeCell ref="AC5:AE5"/>
    <mergeCell ref="AF5:AH5"/>
    <mergeCell ref="AI28:AI30"/>
    <mergeCell ref="W4:AB4"/>
    <mergeCell ref="AC4:AH4"/>
    <mergeCell ref="T5:V5"/>
    <mergeCell ref="W5:Y5"/>
    <mergeCell ref="Z5:AB5"/>
    <mergeCell ref="A2:V2"/>
    <mergeCell ref="A4:A6"/>
    <mergeCell ref="B4:B6"/>
    <mergeCell ref="C4:C6"/>
    <mergeCell ref="D4:D6"/>
    <mergeCell ref="E4:J4"/>
    <mergeCell ref="K4:P4"/>
    <mergeCell ref="Q4:V4"/>
    <mergeCell ref="E5:G5"/>
    <mergeCell ref="H5:J5"/>
    <mergeCell ref="K5:M5"/>
    <mergeCell ref="N5:P5"/>
    <mergeCell ref="Q5:S5"/>
  </mergeCells>
  <pageMargins left="0.51181102362204722" right="0.51181102362204722" top="0.74803149606299213" bottom="0.74803149606299213" header="0.31496062992125984" footer="0.31496062992125984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budgetplaning</dc:creator>
  <cp:keywords/>
  <dc:description/>
  <cp:lastModifiedBy>Chalita Mooksombat</cp:lastModifiedBy>
  <cp:revision/>
  <dcterms:created xsi:type="dcterms:W3CDTF">2004-09-20T03:20:07Z</dcterms:created>
  <dcterms:modified xsi:type="dcterms:W3CDTF">2024-11-28T03:21:42Z</dcterms:modified>
  <cp:category/>
  <cp:contentStatus/>
</cp:coreProperties>
</file>