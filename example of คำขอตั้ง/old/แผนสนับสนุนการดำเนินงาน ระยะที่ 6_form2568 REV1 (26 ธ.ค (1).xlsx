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C:\งาน กจก\วิทยนันท์\03 - แผนสนับสนุนการดำเนินงาน ระยะที่ 6\04 - ตั้งงบประมาณ 2568 แผนฯ 6\"/>
    </mc:Choice>
  </mc:AlternateContent>
  <xr:revisionPtr revIDLastSave="48" documentId="13_ncr:1_{D02588CB-6373-4153-8C9F-169EB10F0F69}" xr6:coauthVersionLast="47" xr6:coauthVersionMax="47" xr10:uidLastSave="{52572218-4CE8-47EA-A3CD-73A3CEB72690}"/>
  <bookViews>
    <workbookView xWindow="0" yWindow="0" windowWidth="28800" windowHeight="12225" tabRatio="897" firstSheet="25" activeTab="28" xr2:uid="{00000000-000D-0000-FFFF-FFFF00000000}"/>
  </bookViews>
  <sheets>
    <sheet name="ปก" sheetId="18" r:id="rId1"/>
    <sheet name="รายชื่อฟอร์ม" sheetId="27" r:id="rId2"/>
    <sheet name="003" sheetId="1" r:id="rId3"/>
    <sheet name="004-1" sheetId="4" r:id="rId4"/>
    <sheet name="004-2" sheetId="31" r:id="rId5"/>
    <sheet name="S" sheetId="39" state="hidden" r:id="rId6"/>
    <sheet name="004-3" sheetId="43" r:id="rId7"/>
    <sheet name="004-4" sheetId="34" r:id="rId8"/>
    <sheet name="004-5" sheetId="40" r:id="rId9"/>
    <sheet name="คำอธิบายแบบ งป.004-1-5" sheetId="44" r:id="rId10"/>
    <sheet name="005 (1)" sheetId="21" r:id="rId11"/>
    <sheet name="005 (2)" sheetId="50" r:id="rId12"/>
    <sheet name="005 (3)" sheetId="51" r:id="rId13"/>
    <sheet name="006" sheetId="22" r:id="rId14"/>
    <sheet name="006 (2)" sheetId="52" r:id="rId15"/>
    <sheet name="007" sheetId="5" state="hidden" r:id="rId16"/>
    <sheet name="008" sheetId="55" r:id="rId17"/>
    <sheet name="008 (2)" sheetId="26" r:id="rId18"/>
    <sheet name="009" sheetId="8" r:id="rId19"/>
    <sheet name="010-1" sheetId="9" r:id="rId20"/>
    <sheet name="010-2" sheetId="38" r:id="rId21"/>
    <sheet name="010-3" sheetId="41" state="hidden" r:id="rId22"/>
    <sheet name="011" sheetId="10" state="hidden" r:id="rId23"/>
    <sheet name="010-2 (2)" sheetId="57" r:id="rId24"/>
    <sheet name="วงเงิน" sheetId="53" r:id="rId25"/>
    <sheet name="รายละเอียดด้านจัดหาที่ดิน" sheetId="45" r:id="rId26"/>
    <sheet name="รายละเอียดด้านสิ่งก่อสร้าง" sheetId="46" r:id="rId27"/>
    <sheet name="เครื่องมือ(ส่วนกลาง) ปี 2568" sheetId="47" r:id="rId28"/>
    <sheet name="เครื่องมือ(ส่วนภูมิภาค) ปี 2568" sheetId="48" r:id="rId29"/>
    <sheet name="หมวดยานพาหนะ" sheetId="54" r:id="rId30"/>
    <sheet name="ประมาณเบิกจ่าย หมวดยานพาหนะ" sheetId="56" r:id="rId31"/>
  </sheets>
  <externalReferences>
    <externalReference r:id="rId32"/>
    <externalReference r:id="rId33"/>
  </externalReferences>
  <definedNames>
    <definedName name="_xlnm._FilterDatabase" localSheetId="27" hidden="1">'เครื่องมือ(ส่วนกลาง) ปี 2568'!$A$132:$BH$166</definedName>
    <definedName name="_xlnm.Print_Area" localSheetId="2">'003'!$A$1:$D$33</definedName>
    <definedName name="_xlnm.Print_Area" localSheetId="3">'004-1'!$A$1:$L$32</definedName>
    <definedName name="_xlnm.Print_Area" localSheetId="4">'004-2'!$A$1:$I$42</definedName>
    <definedName name="_xlnm.Print_Area" localSheetId="6">'004-3'!$A$1:$X$27</definedName>
    <definedName name="_xlnm.Print_Area" localSheetId="7">'004-4'!$A$1:$M$31</definedName>
    <definedName name="_xlnm.Print_Area" localSheetId="8">'004-5'!$A$1:$L$56</definedName>
    <definedName name="_xlnm.Print_Area" localSheetId="13">'006'!$A$1:$F$35</definedName>
    <definedName name="_xlnm.Print_Area" localSheetId="14">'006 (2)'!$A$1:$F$33</definedName>
    <definedName name="_xlnm.Print_Area" localSheetId="22">'011'!$A$1:$U$34</definedName>
    <definedName name="_xlnm.Print_Area" localSheetId="9">'คำอธิบายแบบ งป.004-1-5'!$A$1:$L$89</definedName>
    <definedName name="_xlnm.Print_Area" localSheetId="28">'เครื่องมือ(ส่วนภูมิภาค) ปี 2568'!$A$1:$BD$262</definedName>
    <definedName name="_xlnm.Print_Area" localSheetId="30">'ประมาณเบิกจ่าย หมวดยานพาหนะ'!$A$1:$BR$29</definedName>
    <definedName name="_xlnm.Print_Area" localSheetId="1">รายชื่อฟอร์ม!$A$1:$H$29</definedName>
    <definedName name="_xlnm.Print_Area" localSheetId="25">รายละเอียดด้านจัดหาที่ดิน!$A$1:$F$76</definedName>
    <definedName name="_xlnm.Print_Area" localSheetId="26">รายละเอียดด้านสิ่งก่อสร้าง!$A$1:$D$53</definedName>
    <definedName name="_xlnm.Print_Area" localSheetId="24">วงเงิน!$A$1:$K$22</definedName>
    <definedName name="_xlnm.Print_Area" localSheetId="29">หมวดยานพาหนะ!$A$3:$AG$37</definedName>
    <definedName name="_xlnm.Print_Titles" localSheetId="9">'คำอธิบายแบบ งป.004-1-5'!$1:$3</definedName>
    <definedName name="_xlnm.Print_Titles" localSheetId="27">'เครื่องมือ(ส่วนกลาง) ปี 2568'!$1:$5</definedName>
    <definedName name="_xlnm.Print_Titles" localSheetId="28">'เครื่องมือ(ส่วนภูมิภาค) ปี 2568'!$1:$5</definedName>
    <definedName name="_xlnm.Print_Titles" localSheetId="30">'ประมาณเบิกจ่าย หมวดยานพาหนะ'!$1:$2</definedName>
    <definedName name="_xlnm.Print_Titles" localSheetId="25">รายละเอียดด้านจัดหาที่ดิน!$1:$8</definedName>
    <definedName name="_xlnm.Print_Titles" localSheetId="26">รายละเอียดด้านสิ่งก่อสร้าง!$1:$6</definedName>
    <definedName name="S1_สร้าง_กฟภ._ให้เติบโตอย่างยั่งยืน">S!$C$3:$C$12</definedName>
    <definedName name="SO1_ยกระดับการบริหาร_จัดการระดับสากล_เพื่อสร้าง_ความยั่งยืน">S!$B$3:$B$12</definedName>
    <definedName name="ยุทธศาสตร์">S!$C$2:$C$12</definedName>
    <definedName name="วัตถุประสงค์เชิงยุทธศาสตร์">S!$B$2:$B$12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3" l="1"/>
  <c r="B17" i="53"/>
  <c r="B19" i="53"/>
  <c r="B20" i="53"/>
  <c r="L5" i="53"/>
  <c r="T9" i="53"/>
  <c r="U9" i="53"/>
  <c r="V9" i="53"/>
  <c r="W9" i="53"/>
  <c r="X9" i="53"/>
  <c r="S9" i="53"/>
  <c r="BT26" i="56"/>
  <c r="X21" i="43"/>
  <c r="R14" i="34"/>
  <c r="Q14" i="34"/>
  <c r="P14" i="34"/>
  <c r="O14" i="34"/>
  <c r="N9" i="57" l="1"/>
  <c r="P9" i="57" s="1"/>
  <c r="H14" i="57"/>
  <c r="J14" i="57" s="1"/>
  <c r="H9" i="57"/>
  <c r="V20" i="57"/>
  <c r="P20" i="57"/>
  <c r="J20" i="57"/>
  <c r="G20" i="57"/>
  <c r="V19" i="57"/>
  <c r="P19" i="57"/>
  <c r="J19" i="57"/>
  <c r="V14" i="57"/>
  <c r="U23" i="57"/>
  <c r="O23" i="57"/>
  <c r="J7" i="57"/>
  <c r="S23" i="8"/>
  <c r="T23" i="8"/>
  <c r="S22" i="8"/>
  <c r="T22" i="8"/>
  <c r="S20" i="8"/>
  <c r="T20" i="8"/>
  <c r="R21" i="8"/>
  <c r="S21" i="8"/>
  <c r="P22" i="8"/>
  <c r="O21" i="8"/>
  <c r="K23" i="34"/>
  <c r="L14" i="34"/>
  <c r="M9" i="34"/>
  <c r="C9" i="57" s="1"/>
  <c r="K9" i="53"/>
  <c r="J9" i="53"/>
  <c r="I9" i="53"/>
  <c r="H9" i="53"/>
  <c r="G9" i="53"/>
  <c r="K6" i="53"/>
  <c r="K7" i="53" s="1"/>
  <c r="J6" i="53"/>
  <c r="J7" i="53" s="1"/>
  <c r="I6" i="53"/>
  <c r="I7" i="53" s="1"/>
  <c r="H6" i="53"/>
  <c r="H7" i="53" s="1"/>
  <c r="G6" i="53"/>
  <c r="G7" i="53" s="1"/>
  <c r="K5" i="53"/>
  <c r="I5" i="53"/>
  <c r="J7" i="34" s="1"/>
  <c r="H5" i="53"/>
  <c r="I7" i="34" s="1"/>
  <c r="G5" i="53"/>
  <c r="H7" i="34" s="1"/>
  <c r="Q20" i="8" l="1"/>
  <c r="R20" i="8"/>
  <c r="S14" i="34"/>
  <c r="N14" i="57"/>
  <c r="P14" i="57" s="1"/>
  <c r="T21" i="8"/>
  <c r="L23" i="34"/>
  <c r="H23" i="57"/>
  <c r="H25" i="57" s="1"/>
  <c r="J9" i="57"/>
  <c r="O20" i="8"/>
  <c r="M7" i="34"/>
  <c r="C7" i="57" s="1"/>
  <c r="D7" i="57" s="1"/>
  <c r="K20" i="57"/>
  <c r="M20" i="57" s="1"/>
  <c r="S20" i="57" s="1"/>
  <c r="G7" i="57"/>
  <c r="F23" i="57"/>
  <c r="F25" i="57" s="1"/>
  <c r="O25" i="57"/>
  <c r="U25" i="57"/>
  <c r="V25" i="57" s="1"/>
  <c r="V23" i="57"/>
  <c r="I23" i="57"/>
  <c r="P7" i="57"/>
  <c r="V9" i="57"/>
  <c r="M14" i="34"/>
  <c r="C14" i="57" l="1"/>
  <c r="I25" i="57"/>
  <c r="J23" i="57"/>
  <c r="J25" i="57" s="1"/>
  <c r="K7" i="57"/>
  <c r="M7" i="57" s="1"/>
  <c r="S7" i="57" s="1"/>
  <c r="Q22" i="8" l="1"/>
  <c r="E23" i="52"/>
  <c r="I20" i="34"/>
  <c r="H20" i="34"/>
  <c r="T14" i="38"/>
  <c r="V14" i="38" s="1"/>
  <c r="N14" i="38"/>
  <c r="P14" i="38" s="1"/>
  <c r="I14" i="38"/>
  <c r="J14" i="38" s="1"/>
  <c r="D14" i="57" s="1"/>
  <c r="L29" i="56"/>
  <c r="K29" i="56"/>
  <c r="J29" i="56"/>
  <c r="F29" i="56"/>
  <c r="E29" i="56"/>
  <c r="P28" i="56"/>
  <c r="O28" i="56"/>
  <c r="N28" i="56"/>
  <c r="BR27" i="56"/>
  <c r="BQ27" i="56"/>
  <c r="BP27" i="56"/>
  <c r="BO27" i="56"/>
  <c r="O27" i="56"/>
  <c r="N27" i="56"/>
  <c r="G27" i="56"/>
  <c r="H27" i="56" s="1"/>
  <c r="BR26" i="56"/>
  <c r="BQ26" i="56"/>
  <c r="BP26" i="56"/>
  <c r="BO26" i="56"/>
  <c r="O26" i="56"/>
  <c r="N26" i="56"/>
  <c r="G26" i="56"/>
  <c r="H26" i="56" s="1"/>
  <c r="BR25" i="56"/>
  <c r="BQ25" i="56"/>
  <c r="K21" i="55" s="1"/>
  <c r="BP25" i="56"/>
  <c r="BO25" i="56"/>
  <c r="O25" i="56"/>
  <c r="N25" i="56"/>
  <c r="G25" i="56"/>
  <c r="H25" i="56" s="1"/>
  <c r="BR24" i="56"/>
  <c r="BQ24" i="56"/>
  <c r="BP24" i="56"/>
  <c r="BO24" i="56"/>
  <c r="O24" i="56"/>
  <c r="N24" i="56"/>
  <c r="G24" i="56"/>
  <c r="H24" i="56" s="1"/>
  <c r="BR23" i="56"/>
  <c r="BQ23" i="56"/>
  <c r="BP23" i="56"/>
  <c r="BO23" i="56"/>
  <c r="P23" i="56"/>
  <c r="O23" i="56"/>
  <c r="N23" i="56"/>
  <c r="G23" i="56"/>
  <c r="H23" i="56" s="1"/>
  <c r="BR22" i="56"/>
  <c r="BQ22" i="56"/>
  <c r="BP22" i="56"/>
  <c r="BO22" i="56"/>
  <c r="P22" i="56"/>
  <c r="O22" i="56"/>
  <c r="N22" i="56"/>
  <c r="G22" i="56"/>
  <c r="H22" i="56" s="1"/>
  <c r="BR21" i="56"/>
  <c r="BQ21" i="56"/>
  <c r="BP21" i="56"/>
  <c r="BO21" i="56"/>
  <c r="P21" i="56"/>
  <c r="O21" i="56"/>
  <c r="N21" i="56"/>
  <c r="G21" i="56"/>
  <c r="H21" i="56" s="1"/>
  <c r="BR20" i="56"/>
  <c r="BQ20" i="56"/>
  <c r="BP20" i="56"/>
  <c r="BO20" i="56"/>
  <c r="P20" i="56"/>
  <c r="O20" i="56"/>
  <c r="N20" i="56"/>
  <c r="G20" i="56"/>
  <c r="H20" i="56" s="1"/>
  <c r="BR19" i="56"/>
  <c r="BQ19" i="56"/>
  <c r="BP19" i="56"/>
  <c r="BO19" i="56"/>
  <c r="P19" i="56"/>
  <c r="O19" i="56"/>
  <c r="N19" i="56"/>
  <c r="G19" i="56"/>
  <c r="H19" i="56" s="1"/>
  <c r="BR18" i="56"/>
  <c r="BQ18" i="56"/>
  <c r="BP18" i="56"/>
  <c r="BO18" i="56"/>
  <c r="P18" i="56"/>
  <c r="O18" i="56"/>
  <c r="N18" i="56"/>
  <c r="G18" i="56"/>
  <c r="H18" i="56" s="1"/>
  <c r="BR17" i="56"/>
  <c r="BQ17" i="56"/>
  <c r="K20" i="55" s="1"/>
  <c r="BP17" i="56"/>
  <c r="BO17" i="56"/>
  <c r="P17" i="56"/>
  <c r="O17" i="56"/>
  <c r="N17" i="56"/>
  <c r="G17" i="56"/>
  <c r="H17" i="56" s="1"/>
  <c r="BR16" i="56"/>
  <c r="BQ16" i="56"/>
  <c r="BP16" i="56"/>
  <c r="BO16" i="56"/>
  <c r="I19" i="55" s="1"/>
  <c r="P16" i="56"/>
  <c r="O16" i="56"/>
  <c r="N16" i="56"/>
  <c r="G16" i="56"/>
  <c r="H16" i="56" s="1"/>
  <c r="BR15" i="56"/>
  <c r="BQ15" i="56"/>
  <c r="K18" i="55" s="1"/>
  <c r="BP15" i="56"/>
  <c r="BO15" i="56"/>
  <c r="P15" i="56"/>
  <c r="O15" i="56"/>
  <c r="N15" i="56"/>
  <c r="G15" i="56"/>
  <c r="H15" i="56" s="1"/>
  <c r="BR14" i="56"/>
  <c r="BQ14" i="56"/>
  <c r="BP14" i="56"/>
  <c r="BO14" i="56"/>
  <c r="P14" i="56"/>
  <c r="O14" i="56"/>
  <c r="N14" i="56"/>
  <c r="G14" i="56"/>
  <c r="H14" i="56" s="1"/>
  <c r="BR13" i="56"/>
  <c r="BQ13" i="56"/>
  <c r="BP13" i="56"/>
  <c r="BO13" i="56"/>
  <c r="P13" i="56"/>
  <c r="O13" i="56"/>
  <c r="N13" i="56"/>
  <c r="G13" i="56"/>
  <c r="H13" i="56" s="1"/>
  <c r="BR12" i="56"/>
  <c r="BQ12" i="56"/>
  <c r="K17" i="55" s="1"/>
  <c r="BP12" i="56"/>
  <c r="BO12" i="56"/>
  <c r="P12" i="56"/>
  <c r="O12" i="56"/>
  <c r="N12" i="56"/>
  <c r="G12" i="56"/>
  <c r="H12" i="56" s="1"/>
  <c r="BR11" i="56"/>
  <c r="BQ11" i="56"/>
  <c r="BP11" i="56"/>
  <c r="J16" i="55" s="1"/>
  <c r="BO11" i="56"/>
  <c r="P11" i="56"/>
  <c r="O11" i="56"/>
  <c r="N11" i="56"/>
  <c r="G11" i="56"/>
  <c r="H11" i="56" s="1"/>
  <c r="BR10" i="56"/>
  <c r="BQ10" i="56"/>
  <c r="K15" i="55" s="1"/>
  <c r="BP10" i="56"/>
  <c r="BO10" i="56"/>
  <c r="P10" i="56"/>
  <c r="O10" i="56"/>
  <c r="N10" i="56"/>
  <c r="G10" i="56"/>
  <c r="H10" i="56" s="1"/>
  <c r="BR9" i="56"/>
  <c r="BQ9" i="56"/>
  <c r="BP9" i="56"/>
  <c r="J14" i="55" s="1"/>
  <c r="BO9" i="56"/>
  <c r="I14" i="55" s="1"/>
  <c r="I22" i="55" s="1"/>
  <c r="O23" i="8" s="1"/>
  <c r="O9" i="56"/>
  <c r="N9" i="56"/>
  <c r="G9" i="56"/>
  <c r="H9" i="56" s="1"/>
  <c r="BR8" i="56"/>
  <c r="BQ8" i="56"/>
  <c r="BP8" i="56"/>
  <c r="BO8" i="56"/>
  <c r="P8" i="56"/>
  <c r="O8" i="56"/>
  <c r="N8" i="56"/>
  <c r="G8" i="56"/>
  <c r="H8" i="56" s="1"/>
  <c r="BR7" i="56"/>
  <c r="BQ7" i="56"/>
  <c r="K13" i="55" s="1"/>
  <c r="K22" i="55" s="1"/>
  <c r="R23" i="8" s="1"/>
  <c r="BP7" i="56"/>
  <c r="BO7" i="56"/>
  <c r="P7" i="56"/>
  <c r="O7" i="56"/>
  <c r="N7" i="56"/>
  <c r="G7" i="56"/>
  <c r="H7" i="56" s="1"/>
  <c r="BR6" i="56"/>
  <c r="BQ6" i="56"/>
  <c r="BP6" i="56"/>
  <c r="BO6" i="56"/>
  <c r="P6" i="56"/>
  <c r="O6" i="56"/>
  <c r="N6" i="56"/>
  <c r="G6" i="56"/>
  <c r="H6" i="56" s="1"/>
  <c r="BR5" i="56"/>
  <c r="BR29" i="56" s="1"/>
  <c r="BQ5" i="56"/>
  <c r="BQ29" i="56" s="1"/>
  <c r="BP5" i="56"/>
  <c r="BO5" i="56"/>
  <c r="BO29" i="56" s="1"/>
  <c r="P5" i="56"/>
  <c r="P29" i="56" s="1"/>
  <c r="O5" i="56"/>
  <c r="O29" i="56" s="1"/>
  <c r="N5" i="56"/>
  <c r="N29" i="56" s="1"/>
  <c r="G5" i="56"/>
  <c r="H5" i="56" s="1"/>
  <c r="BP29" i="56" l="1"/>
  <c r="J12" i="55"/>
  <c r="J22" i="55" s="1"/>
  <c r="Q23" i="8" s="1"/>
  <c r="I20" i="38"/>
  <c r="J20" i="38" s="1"/>
  <c r="N20" i="38"/>
  <c r="P20" i="38" s="1"/>
  <c r="E17" i="9"/>
  <c r="J17" i="9" s="1"/>
  <c r="C14" i="38"/>
  <c r="F14" i="38" s="1"/>
  <c r="G14" i="38" s="1"/>
  <c r="K14" i="38" s="1"/>
  <c r="M14" i="38" s="1"/>
  <c r="Q14" i="38" s="1"/>
  <c r="S14" i="38" s="1"/>
  <c r="E14" i="57" s="1"/>
  <c r="G14" i="57" s="1"/>
  <c r="K14" i="57" s="1"/>
  <c r="M14" i="57" s="1"/>
  <c r="Q14" i="57" s="1"/>
  <c r="S14" i="57" s="1"/>
  <c r="I19" i="34"/>
  <c r="J19" i="34"/>
  <c r="P23" i="8"/>
  <c r="H19" i="34"/>
  <c r="H29" i="56"/>
  <c r="G29" i="56"/>
  <c r="M19" i="34" l="1"/>
  <c r="N19" i="38"/>
  <c r="T19" i="38"/>
  <c r="P19" i="38"/>
  <c r="I19" i="38"/>
  <c r="C19" i="57" l="1"/>
  <c r="V19" i="38"/>
  <c r="E22" i="9"/>
  <c r="C19" i="38"/>
  <c r="J19" i="38"/>
  <c r="G19" i="57" l="1"/>
  <c r="K19" i="57" s="1"/>
  <c r="M19" i="57" s="1"/>
  <c r="S19" i="57" s="1"/>
  <c r="D19" i="57"/>
  <c r="F19" i="38"/>
  <c r="J22" i="9"/>
  <c r="H13" i="55"/>
  <c r="H14" i="55"/>
  <c r="H15" i="55"/>
  <c r="H16" i="55"/>
  <c r="H17" i="55"/>
  <c r="H18" i="55"/>
  <c r="H19" i="55"/>
  <c r="H20" i="55"/>
  <c r="H21" i="55"/>
  <c r="H12" i="55"/>
  <c r="H22" i="55" s="1"/>
  <c r="F19" i="34" s="1"/>
  <c r="D13" i="55"/>
  <c r="D14" i="55"/>
  <c r="D15" i="55"/>
  <c r="D16" i="55"/>
  <c r="D17" i="55"/>
  <c r="D18" i="55"/>
  <c r="D19" i="55"/>
  <c r="D20" i="55"/>
  <c r="D21" i="55"/>
  <c r="D12" i="55"/>
  <c r="C13" i="55"/>
  <c r="C14" i="55"/>
  <c r="C15" i="55"/>
  <c r="C16" i="55"/>
  <c r="C17" i="55"/>
  <c r="C18" i="55"/>
  <c r="C19" i="55"/>
  <c r="C20" i="55"/>
  <c r="C21" i="55"/>
  <c r="C12" i="55"/>
  <c r="B13" i="55"/>
  <c r="B14" i="55"/>
  <c r="B15" i="55"/>
  <c r="B16" i="55"/>
  <c r="B17" i="55"/>
  <c r="B18" i="55"/>
  <c r="B19" i="55"/>
  <c r="B20" i="55"/>
  <c r="B21" i="55"/>
  <c r="B12" i="55"/>
  <c r="S19" i="34" l="1"/>
  <c r="AF23" i="43" s="1"/>
  <c r="U23" i="43" s="1"/>
  <c r="R19" i="34"/>
  <c r="AE23" i="43" s="1"/>
  <c r="R23" i="43" s="1"/>
  <c r="X23" i="43" s="1"/>
  <c r="O19" i="34"/>
  <c r="AB23" i="43" s="1"/>
  <c r="Q19" i="34"/>
  <c r="AD23" i="43" s="1"/>
  <c r="P19" i="34"/>
  <c r="AC23" i="43" s="1"/>
  <c r="G19" i="38"/>
  <c r="D26" i="51"/>
  <c r="K19" i="38" l="1"/>
  <c r="M19" i="38" s="1"/>
  <c r="Q19" i="38" s="1"/>
  <c r="S19" i="38" s="1"/>
  <c r="F7" i="34"/>
  <c r="R7" i="34" l="1"/>
  <c r="AE20" i="43" s="1"/>
  <c r="R20" i="43" s="1"/>
  <c r="S7" i="34"/>
  <c r="AF20" i="43" s="1"/>
  <c r="U20" i="43" s="1"/>
  <c r="O7" i="34"/>
  <c r="AB20" i="43" s="1"/>
  <c r="P7" i="34"/>
  <c r="AC20" i="43" s="1"/>
  <c r="Q7" i="34"/>
  <c r="AD20" i="43" s="1"/>
  <c r="B11" i="53"/>
  <c r="E9" i="53"/>
  <c r="D9" i="53"/>
  <c r="C9" i="53"/>
  <c r="F8" i="53"/>
  <c r="E8" i="53"/>
  <c r="D8" i="53"/>
  <c r="C8" i="53"/>
  <c r="F7" i="53"/>
  <c r="E7" i="53"/>
  <c r="D7" i="53"/>
  <c r="F6" i="53"/>
  <c r="E6" i="53"/>
  <c r="D6" i="53"/>
  <c r="C6" i="53"/>
  <c r="F5" i="53"/>
  <c r="E5" i="53"/>
  <c r="C5" i="53"/>
  <c r="J11" i="53" l="1"/>
  <c r="B24" i="38"/>
  <c r="B24" i="57"/>
  <c r="X20" i="43"/>
  <c r="B9" i="53"/>
  <c r="Q8" i="53"/>
  <c r="C12" i="53"/>
  <c r="B8" i="53"/>
  <c r="Q9" i="53"/>
  <c r="K10" i="53"/>
  <c r="P9" i="53"/>
  <c r="L9" i="53"/>
  <c r="N9" i="53"/>
  <c r="O9" i="53"/>
  <c r="O8" i="53"/>
  <c r="E10" i="53"/>
  <c r="E12" i="53" s="1"/>
  <c r="K11" i="53"/>
  <c r="B6" i="53"/>
  <c r="B9" i="57" s="1"/>
  <c r="B7" i="53"/>
  <c r="M9" i="53"/>
  <c r="F10" i="53"/>
  <c r="F12" i="53" s="1"/>
  <c r="H11" i="53"/>
  <c r="M7" i="53"/>
  <c r="I11" i="53"/>
  <c r="L7" i="53" l="1"/>
  <c r="B14" i="57"/>
  <c r="B20" i="38"/>
  <c r="B20" i="57"/>
  <c r="B19" i="38"/>
  <c r="B19" i="57"/>
  <c r="J10" i="53"/>
  <c r="J12" i="53" s="1"/>
  <c r="K12" i="53"/>
  <c r="L8" i="53"/>
  <c r="P8" i="53"/>
  <c r="Q6" i="53"/>
  <c r="N8" i="53"/>
  <c r="L6" i="53"/>
  <c r="B9" i="38"/>
  <c r="O6" i="53"/>
  <c r="P7" i="53"/>
  <c r="B14" i="38"/>
  <c r="M8" i="53"/>
  <c r="P6" i="53"/>
  <c r="O7" i="53"/>
  <c r="Q11" i="53"/>
  <c r="N6" i="53"/>
  <c r="I10" i="53"/>
  <c r="I12" i="53" s="1"/>
  <c r="N7" i="53"/>
  <c r="Q7" i="53"/>
  <c r="M6" i="53"/>
  <c r="D5" i="53"/>
  <c r="D10" i="53" l="1"/>
  <c r="D12" i="53" s="1"/>
  <c r="B5" i="53"/>
  <c r="B7" i="38" l="1"/>
  <c r="B7" i="57"/>
  <c r="B23" i="57" s="1"/>
  <c r="B25" i="57" s="1"/>
  <c r="N7" i="38"/>
  <c r="I7" i="38"/>
  <c r="P5" i="53"/>
  <c r="N5" i="53"/>
  <c r="B10" i="53"/>
  <c r="B12" i="53" s="1"/>
  <c r="M14" i="53"/>
  <c r="M16" i="53" s="1"/>
  <c r="O5" i="53"/>
  <c r="G10" i="53"/>
  <c r="G12" i="53" s="1"/>
  <c r="Q5" i="53"/>
  <c r="M5" i="53"/>
  <c r="H10" i="53"/>
  <c r="B23" i="38" l="1"/>
  <c r="B25" i="38" s="1"/>
  <c r="P20" i="8"/>
  <c r="J7" i="38"/>
  <c r="P7" i="38"/>
  <c r="C7" i="38"/>
  <c r="E10" i="9"/>
  <c r="G24" i="53"/>
  <c r="H12" i="53"/>
  <c r="Q10" i="53"/>
  <c r="J10" i="9" l="1"/>
  <c r="F7" i="38"/>
  <c r="Q12" i="53"/>
  <c r="G7" i="38" l="1"/>
  <c r="E22" i="52"/>
  <c r="F9" i="34" s="1"/>
  <c r="H12" i="26"/>
  <c r="C12" i="26"/>
  <c r="A13" i="22"/>
  <c r="A14" i="22" s="1"/>
  <c r="A16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F20" i="34" l="1"/>
  <c r="K12" i="26"/>
  <c r="S9" i="34"/>
  <c r="AF21" i="43" s="1"/>
  <c r="R9" i="34"/>
  <c r="AE21" i="43" s="1"/>
  <c r="Q9" i="34"/>
  <c r="AD21" i="43" s="1"/>
  <c r="P9" i="34"/>
  <c r="AC21" i="43" s="1"/>
  <c r="O9" i="34"/>
  <c r="AB21" i="43" s="1"/>
  <c r="F23" i="34"/>
  <c r="K7" i="38"/>
  <c r="M7" i="38" s="1"/>
  <c r="Q7" i="38" s="1"/>
  <c r="S7" i="38" s="1"/>
  <c r="T7" i="38" s="1"/>
  <c r="V7" i="38" s="1"/>
  <c r="A12" i="52"/>
  <c r="A13" i="52" s="1"/>
  <c r="A14" i="52" s="1"/>
  <c r="A15" i="52" s="1"/>
  <c r="A16" i="52" s="1"/>
  <c r="A17" i="52" s="1"/>
  <c r="A18" i="52" s="1"/>
  <c r="A19" i="52" s="1"/>
  <c r="A20" i="52" s="1"/>
  <c r="A21" i="52" s="1"/>
  <c r="K33" i="34" l="1"/>
  <c r="L33" i="34"/>
  <c r="R22" i="8"/>
  <c r="J20" i="34"/>
  <c r="S20" i="34"/>
  <c r="AF22" i="43" s="1"/>
  <c r="U22" i="43" s="1"/>
  <c r="R20" i="34"/>
  <c r="AE22" i="43" s="1"/>
  <c r="R22" i="43" s="1"/>
  <c r="X22" i="43" s="1"/>
  <c r="O20" i="34"/>
  <c r="AB22" i="43" s="1"/>
  <c r="P20" i="34"/>
  <c r="AC22" i="43" s="1"/>
  <c r="D53" i="46"/>
  <c r="A9" i="46"/>
  <c r="A13" i="46" s="1"/>
  <c r="A17" i="46" s="1"/>
  <c r="A20" i="46" s="1"/>
  <c r="A23" i="46" s="1"/>
  <c r="T20" i="38" l="1"/>
  <c r="V20" i="38" s="1"/>
  <c r="Q20" i="34"/>
  <c r="AD22" i="43" s="1"/>
  <c r="M20" i="34"/>
  <c r="A26" i="46"/>
  <c r="A29" i="46" s="1"/>
  <c r="A30" i="46" s="1"/>
  <c r="A31" i="46" s="1"/>
  <c r="A36" i="46" s="1"/>
  <c r="A39" i="46" s="1"/>
  <c r="A40" i="46" s="1"/>
  <c r="A43" i="46" s="1"/>
  <c r="A46" i="46" s="1"/>
  <c r="A49" i="46" s="1"/>
  <c r="A50" i="46" s="1"/>
  <c r="A51" i="46" s="1"/>
  <c r="A52" i="46" s="1"/>
  <c r="N21" i="8"/>
  <c r="M21" i="8"/>
  <c r="P21" i="8" s="1"/>
  <c r="Q21" i="8"/>
  <c r="I9" i="38"/>
  <c r="J9" i="38" s="1"/>
  <c r="I23" i="38"/>
  <c r="I25" i="38" s="1"/>
  <c r="T9" i="38"/>
  <c r="T23" i="38" s="1"/>
  <c r="V23" i="38" s="1"/>
  <c r="J23" i="34"/>
  <c r="J33" i="34" s="1"/>
  <c r="N9" i="38"/>
  <c r="P9" i="38" s="1"/>
  <c r="N23" i="38"/>
  <c r="P23" i="38" s="1"/>
  <c r="I23" i="34"/>
  <c r="I33" i="34" s="1"/>
  <c r="H23" i="34"/>
  <c r="H33" i="34" s="1"/>
  <c r="C9" i="38"/>
  <c r="C20" i="57" l="1"/>
  <c r="E23" i="9"/>
  <c r="J23" i="9" s="1"/>
  <c r="C20" i="38"/>
  <c r="F20" i="38" s="1"/>
  <c r="G20" i="38" s="1"/>
  <c r="K20" i="38" s="1"/>
  <c r="M20" i="38" s="1"/>
  <c r="Q20" i="38" s="1"/>
  <c r="S20" i="38" s="1"/>
  <c r="M23" i="34"/>
  <c r="N25" i="38"/>
  <c r="P25" i="38" s="1"/>
  <c r="V9" i="38"/>
  <c r="D9" i="57" s="1"/>
  <c r="J23" i="38"/>
  <c r="J25" i="38" s="1"/>
  <c r="C23" i="38"/>
  <c r="C25" i="38" s="1"/>
  <c r="F9" i="38"/>
  <c r="E12" i="9"/>
  <c r="D9" i="1"/>
  <c r="D32" i="1" s="1"/>
  <c r="T25" i="38"/>
  <c r="V25" i="38" s="1"/>
  <c r="D20" i="57" l="1"/>
  <c r="D23" i="57" s="1"/>
  <c r="D25" i="57" s="1"/>
  <c r="C23" i="57"/>
  <c r="C25" i="57" s="1"/>
  <c r="F23" i="38"/>
  <c r="F25" i="38" s="1"/>
  <c r="G9" i="38"/>
  <c r="E26" i="9"/>
  <c r="J12" i="9"/>
  <c r="E28" i="9" l="1"/>
  <c r="J28" i="9" s="1"/>
  <c r="J26" i="9"/>
  <c r="K9" i="38"/>
  <c r="M9" i="38" s="1"/>
  <c r="Q9" i="38" s="1"/>
  <c r="S9" i="38" s="1"/>
  <c r="E9" i="57" s="1"/>
  <c r="G23" i="38"/>
  <c r="E23" i="57" l="1"/>
  <c r="E25" i="57" s="1"/>
  <c r="G9" i="57"/>
  <c r="G25" i="38"/>
  <c r="K23" i="38"/>
  <c r="K9" i="57" l="1"/>
  <c r="M9" i="57" s="1"/>
  <c r="Q9" i="57" s="1"/>
  <c r="S9" i="57" s="1"/>
  <c r="G23" i="57"/>
  <c r="K25" i="38"/>
  <c r="M23" i="38"/>
  <c r="G25" i="57" l="1"/>
  <c r="K23" i="57"/>
  <c r="M25" i="38"/>
  <c r="Q23" i="38"/>
  <c r="M23" i="57" l="1"/>
  <c r="K25" i="57"/>
  <c r="S23" i="38"/>
  <c r="Q25" i="38"/>
  <c r="S25" i="38" s="1"/>
  <c r="N23" i="57" l="1"/>
  <c r="M25" i="57"/>
  <c r="P23" i="57" l="1"/>
  <c r="N25" i="57"/>
  <c r="P25" i="57" l="1"/>
  <c r="Q23" i="57"/>
  <c r="S23" i="57" l="1"/>
  <c r="Q25" i="57"/>
  <c r="S25" i="57" s="1"/>
</calcChain>
</file>

<file path=xl/sharedStrings.xml><?xml version="1.0" encoding="utf-8"?>
<sst xmlns="http://schemas.openxmlformats.org/spreadsheetml/2006/main" count="2714" uniqueCount="1184">
  <si>
    <t>แบบฟอร์มเสนอขอตั้งงบประมาณลงทุน</t>
  </si>
  <si>
    <t>เพื่อการดำเนินงานปกติ ประจำปี 2568</t>
  </si>
  <si>
    <t>1.</t>
  </si>
  <si>
    <t>แบบ งป.003</t>
  </si>
  <si>
    <t>สรุปวงเงินงบประมาณลงทุนเพื่อการดำเนินงานปกติ ที่ขอตั้งประจำปี 2568</t>
  </si>
  <si>
    <t xml:space="preserve">2. </t>
  </si>
  <si>
    <t>แบบ งป.004/1 - งป.004/5</t>
  </si>
  <si>
    <t>แบบข้อมูลพื้นฐานของงาน</t>
  </si>
  <si>
    <t xml:space="preserve">3. </t>
  </si>
  <si>
    <t>แบบ งป.005</t>
  </si>
  <si>
    <t>รายละเอียดงานในหมวดที่ดิน</t>
  </si>
  <si>
    <t xml:space="preserve">4. </t>
  </si>
  <si>
    <t>แบบ งป.006</t>
  </si>
  <si>
    <t>รายละเอียดงานในหมวดสิ่งก่อสร้าง งานโยธา</t>
  </si>
  <si>
    <t xml:space="preserve">5. </t>
  </si>
  <si>
    <t>แบบ งป.007</t>
  </si>
  <si>
    <t>รายละเอียดงานในหมวดสิ่งก่อสร้าง ค่าวัสดุอุปกรณ์ของงานระบบไฟฟ้า</t>
  </si>
  <si>
    <t xml:space="preserve">6. </t>
  </si>
  <si>
    <t>แบบ งป.008</t>
  </si>
  <si>
    <t>รายละเอียดงานในหมวดเครื่องจักรอุปกรณ์/หมวดยานพาหนะ/</t>
  </si>
  <si>
    <t>หมวดเครื่องมือเครื่องใช้ขนาดเล็ก/หมวดวิจัยและพัฒนา/หมวดอื่นๆ</t>
  </si>
  <si>
    <t xml:space="preserve">7. </t>
  </si>
  <si>
    <t>แบบ งป.009</t>
  </si>
  <si>
    <t>รายงานความก้าวหน้าของแผนจัดซื้อ/จัดจ้างตามงบลงทุนเพื่อการดำเนินงานปกติ</t>
  </si>
  <si>
    <t xml:space="preserve">8. </t>
  </si>
  <si>
    <t>แบบ งป.010/1</t>
  </si>
  <si>
    <t>แผนการลงทุนรายปี</t>
  </si>
  <si>
    <t xml:space="preserve">9. </t>
  </si>
  <si>
    <t>แบบ งป.010/2</t>
  </si>
  <si>
    <t>แผนการจ่ายเงินตามงบผูกพันปี 2568 (กรณีแผนระยะยาว/งานต่อเนื่อง)</t>
  </si>
  <si>
    <t xml:space="preserve">10. </t>
  </si>
  <si>
    <t>แบบ งป.010/3</t>
  </si>
  <si>
    <t>เป้าหมายการเบิกจ่ายรายเดือน ปี 2568 แยกรายภาคและสำนักงานใหญ่</t>
  </si>
  <si>
    <t>11.</t>
  </si>
  <si>
    <t>แบบ งป.011</t>
  </si>
  <si>
    <t>ประมาณการวัสดุอุปกรณ์นำเข้าจากต่างประเทศ (Import Content) ปี 2568</t>
  </si>
  <si>
    <t>12.</t>
  </si>
  <si>
    <t>แบบ งป.012/1</t>
  </si>
  <si>
    <t>การจัดทำงบประมาณสัญญาเช่าที่ไม่ก่อให้เกิดรายได้จากกิจกรรมหลัก ปี 2567</t>
  </si>
  <si>
    <t>13.</t>
  </si>
  <si>
    <t>แบบ งป.012/2</t>
  </si>
  <si>
    <t>การจัดทำงบประมาณสัญญาเช่าที่ไม่ก่อให้เกิดรายได้จากกิจกรรมหลัก ปี 2568</t>
  </si>
  <si>
    <t>14.</t>
  </si>
  <si>
    <t>แบบ งป.012/3</t>
  </si>
  <si>
    <t>การจัดทำงบประมาณสัญญาเช่าที่ไม่ก่อให้เกิดรายได้จากกิจกรรมหลัก ปี 2569</t>
  </si>
  <si>
    <t>15.</t>
  </si>
  <si>
    <t>แบบ งป.012/4</t>
  </si>
  <si>
    <t>การจัดทำงบประมาณสัญญาเช่าที่ไม่ก่อให้เกิดรายได้จากกิจกรรมหลัก ปี 2570</t>
  </si>
  <si>
    <t>16.</t>
  </si>
  <si>
    <t>แบบ งป.012/5</t>
  </si>
  <si>
    <t>การจัดทำงบประมาณสัญญาเช่าที่ไม่ก่อให้เกิดรายได้จากกิจกรรมหลัก ปี 2571</t>
  </si>
  <si>
    <t>สรุปวงเงินงบประมาณลงทุนเพื่อการดำเนินงานปกติ</t>
  </si>
  <si>
    <t>ที่ขอตั้งประจำปี 2568</t>
  </si>
  <si>
    <t>หน่วยงาน สายงานวางแผนและวิศวกรรม</t>
  </si>
  <si>
    <t>กลุ่มโครงสร้าง………………………………………</t>
  </si>
  <si>
    <t>หน่วย : บาท</t>
  </si>
  <si>
    <t>ที่</t>
  </si>
  <si>
    <t>ชื่องาน</t>
  </si>
  <si>
    <t>วงเงินเสนอ</t>
  </si>
  <si>
    <t>ขอตั้งปี 2568 *</t>
  </si>
  <si>
    <t>แผนงานสนับสนุนการดำเนินงาน ระยะที่ 6</t>
  </si>
  <si>
    <t>รวม</t>
  </si>
  <si>
    <t>*หมายเหตุ</t>
  </si>
  <si>
    <t>แผนงานระยะยาว กรอกจำนวนเงินที่ขอตั้งดำเนินการในปีงบประมาณ 2568</t>
  </si>
  <si>
    <t>แบบ งป.004/1</t>
  </si>
  <si>
    <t>(งบลงทุนเพื่อการดำเนินงานปกติ)</t>
  </si>
  <si>
    <t>ชื่องาน/แผนงาน</t>
  </si>
  <si>
    <t>2. รายละเอียดของงาน/แผนงาน</t>
  </si>
  <si>
    <t>2.1 ผู้รับผิดชอบ</t>
  </si>
  <si>
    <r>
      <rPr>
        <b/>
        <sz val="16"/>
        <rFont val="TH SarabunPSK"/>
        <family val="2"/>
      </rPr>
      <t>แผนก :</t>
    </r>
    <r>
      <rPr>
        <sz val="16"/>
        <rFont val="TH SarabunPSK"/>
        <family val="2"/>
      </rPr>
      <t xml:space="preserve"> …..…...................……………………………………………............……………………............................</t>
    </r>
  </si>
  <si>
    <r>
      <rPr>
        <b/>
        <sz val="16"/>
        <rFont val="TH SarabunPSK"/>
        <family val="2"/>
      </rPr>
      <t>กอง :</t>
    </r>
    <r>
      <rPr>
        <sz val="16"/>
        <rFont val="TH SarabunPSK"/>
        <family val="2"/>
      </rPr>
      <t xml:space="preserve">  ….......……......……………………………</t>
    </r>
  </si>
  <si>
    <r>
      <rPr>
        <b/>
        <sz val="16"/>
        <rFont val="TH SarabunPSK"/>
        <family val="2"/>
      </rPr>
      <t>ฝ่าย :</t>
    </r>
    <r>
      <rPr>
        <sz val="16"/>
        <rFont val="TH SarabunPSK"/>
        <family val="2"/>
      </rPr>
      <t xml:space="preserve">  .....…..................…………………………………………</t>
    </r>
  </si>
  <si>
    <r>
      <rPr>
        <b/>
        <sz val="16"/>
        <rFont val="TH SarabunPSK"/>
        <family val="2"/>
      </rPr>
      <t xml:space="preserve">สายงาน : </t>
    </r>
    <r>
      <rPr>
        <sz val="16"/>
        <rFont val="TH SarabunPSK"/>
        <family val="2"/>
      </rPr>
      <t>วางแผนและวิศวกรรม</t>
    </r>
  </si>
  <si>
    <r>
      <t xml:space="preserve">2.2 ความจำเป็นในการดำเนินงาน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</si>
  <si>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(    ) </t>
  </si>
  <si>
    <t>มีสัญญา ข้อผูกพัน หรือมีเงื่อนไขที่ต้องดำเนินการ</t>
  </si>
  <si>
    <t>นโยบายสำคัญของรัฐบาล</t>
  </si>
  <si>
    <r>
      <t xml:space="preserve"> 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) </t>
    </r>
  </si>
  <si>
    <t>นโยบายสำคัญของ กฟภ.</t>
  </si>
  <si>
    <t>อื่นๆ ..........................…………………</t>
  </si>
  <si>
    <r>
      <t xml:space="preserve">2.3 ประเภทการลงทุน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</si>
  <si>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(    ) งานก่อสร้าง ขยายเขตและปรับปรุงระบบจำหน่าย</t>
  </si>
  <si>
    <t>(    )</t>
  </si>
  <si>
    <t>งานบำรุงรักษาด้านระบบไฟฟ้า</t>
  </si>
  <si>
    <t>(    ) งานติดตั้งระบบศูนย์สั่งการจ่ายไฟ</t>
  </si>
  <si>
    <t>งาน IT</t>
  </si>
  <si>
    <r>
      <t xml:space="preserve"> 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) งานจัดหาที่ดิน อาคาร ยานพาหนะ และ</t>
    </r>
  </si>
  <si>
    <t>งานพัฒนาระบบสื่อสาร</t>
  </si>
  <si>
    <t xml:space="preserve">เครื่องมือเครื่องใช้ต่างๆ </t>
  </si>
  <si>
    <t>2.4 สถานะของงาน</t>
  </si>
  <si>
    <t>(       )</t>
  </si>
  <si>
    <t>งาน/แผนงาน ต่อเนื่อง</t>
  </si>
  <si>
    <r>
      <t xml:space="preserve">  ( 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 </t>
    </r>
  </si>
  <si>
    <t xml:space="preserve"> งาน/แผนงาน ใหม่</t>
  </si>
  <si>
    <t>2.5 ได้รับอนุมัติจาก</t>
  </si>
  <si>
    <r>
      <t xml:space="preserve">( 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 </t>
    </r>
  </si>
  <si>
    <t>ผวก. ลงนาม ให้นำเสนอ คณะกรรมการ กฝภ. วันที่ 4 ตุลาคม 2566</t>
  </si>
  <si>
    <t>คณะกรรมการ กฟภ. วันที่ .......................................................................</t>
  </si>
  <si>
    <t>คณะรัฐมนตรี วันที่ ....................................................................................</t>
  </si>
  <si>
    <r>
      <t xml:space="preserve">2.6 พื้นที่ดำเนินการ </t>
    </r>
    <r>
      <rPr>
        <sz val="16"/>
        <rFont val="TH SarabunPSK"/>
        <family val="2"/>
      </rPr>
      <t>..........ทั่วประเทศ.............</t>
    </r>
  </si>
  <si>
    <r>
      <t xml:space="preserve">2.7 ระยะเวลาดำเนินการ </t>
    </r>
    <r>
      <rPr>
        <sz val="16"/>
        <rFont val="TH SarabunPSK"/>
        <family val="2"/>
      </rPr>
      <t xml:space="preserve">.................5............... </t>
    </r>
    <r>
      <rPr>
        <b/>
        <sz val="16"/>
        <rFont val="TH SarabunPSK"/>
        <family val="2"/>
      </rPr>
      <t>ปี (ปี 2568 - 2572)</t>
    </r>
  </si>
  <si>
    <r>
      <t>2.8 วงเงินลงทุนทั้งสิ้น ของงาน/แผนงาน</t>
    </r>
    <r>
      <rPr>
        <sz val="16"/>
        <rFont val="TH SarabunPSK"/>
        <family val="2"/>
      </rPr>
      <t xml:space="preserve"> </t>
    </r>
  </si>
  <si>
    <t>.....................6,150,000,000....................................................</t>
  </si>
  <si>
    <t>บาท</t>
  </si>
  <si>
    <t>2.9 วงเงินลงทุนปี 2568 ของงาน/แผนงาน</t>
  </si>
  <si>
    <t>.....................2,868,110,000....................................................</t>
  </si>
  <si>
    <t>2.10 เป้าหมายการเบิกจ่ายงบลงทุนปี 2568</t>
  </si>
  <si>
    <t>........................348,545,000....................................................</t>
  </si>
  <si>
    <r>
      <t xml:space="preserve">2.11 วงเงิน </t>
    </r>
    <r>
      <rPr>
        <b/>
        <u/>
        <sz val="16"/>
        <rFont val="TH SarabunPSK"/>
        <family val="2"/>
      </rPr>
      <t>งบทำการ</t>
    </r>
    <r>
      <rPr>
        <b/>
        <sz val="16"/>
        <rFont val="TH SarabunPSK"/>
        <family val="2"/>
      </rPr>
      <t xml:space="preserve"> ที่ขอตั้งในปี 2568 (ถ้ามี) </t>
    </r>
  </si>
  <si>
    <t>.........................................................................</t>
  </si>
  <si>
    <t>3.  วัตถุประสงค์ของงาน/แผนงาน</t>
  </si>
  <si>
    <t xml:space="preserve">จัดหาสิ่งสนับสนุนในการดำเนินงานให้เพียงพอกับความต้องการ เพื่อให้ปฏิบัติงานได้อย่างมีประสิทธิภาพสูงสุด </t>
  </si>
  <si>
    <t>สามารถให้บริการลูกค้าได้ทันต่อความต้องการมากขึ้น ได้รับความสะดวกรวดเร็วในการติดต่องาน สร้างความพึงพอใจ และ</t>
  </si>
  <si>
    <t>เกิดภาพลักษณ์ที่ดีต่อการไฟฟ้าส่วนภูมิภาค</t>
  </si>
  <si>
    <t>แบบ งป.004/2</t>
  </si>
  <si>
    <t>4. ผลประโยชน์ที่คาดว่าจะได้รับ</t>
  </si>
  <si>
    <t>4.1 ผลประโยชน์ที่คาดว่าจะได้รับหลังเสร็จสิ้นงาน/แผนงาน</t>
  </si>
  <si>
    <t xml:space="preserve"> - ผลผลิต(Output)</t>
  </si>
  <si>
    <t>ที่ดิน</t>
  </si>
  <si>
    <t>จำนวน</t>
  </si>
  <si>
    <t>รายการ</t>
  </si>
  <si>
    <t>อาคารสำนักงาน และสิ่งประกอบ</t>
  </si>
  <si>
    <t>เครื่องมือเครื่องใช้</t>
  </si>
  <si>
    <t>ยานพาหนะ</t>
  </si>
  <si>
    <r>
      <rPr>
        <b/>
        <sz val="16"/>
        <color rgb="FF000000"/>
        <rFont val="TH SarabunPSK"/>
      </rPr>
      <t xml:space="preserve"> - ผลลัพธ์(Outcome)</t>
    </r>
    <r>
      <rPr>
        <sz val="16"/>
        <color rgb="FF000000"/>
        <rFont val="TH SarabunPSK"/>
      </rPr>
      <t xml:space="preserve"> กฟภ. ได้รับสิ่งสนับสนุนในการดำเนินงานเพียงพอกับความต้องการ สามารถ</t>
    </r>
  </si>
  <si>
    <t>ปฏิบัติงานได้มีประสิทธิภาพสูงสุด สามารถให้บริการลูกค้าได้ทันต่อความต้องการ ได้รับความสะดวก</t>
  </si>
  <si>
    <t xml:space="preserve">รวดเร็วในการติดต่องาน  </t>
  </si>
  <si>
    <t>4.2 ผลประโยชน์ที่คาดว่าจะได้รับในปี 2568 (กรณีเป็นแผนงานระยะยาว)</t>
  </si>
  <si>
    <r>
      <t xml:space="preserve"> - ผลผลิต(Output) </t>
    </r>
    <r>
      <rPr>
        <sz val="16"/>
        <rFont val="TH SarabunPSK"/>
        <family val="2"/>
      </rPr>
      <t>................................................................................................................................</t>
    </r>
  </si>
  <si>
    <t>.......................................................................................................................................................................</t>
  </si>
  <si>
    <r>
      <t xml:space="preserve"> - ผลลัพธ์(Outcome) </t>
    </r>
    <r>
      <rPr>
        <sz val="16"/>
        <rFont val="TH SarabunPSK"/>
        <family val="2"/>
      </rPr>
      <t>...........................................................................................................................</t>
    </r>
  </si>
  <si>
    <t>5. การวิเคราะห์ผลกระทบทางธุรกิจ</t>
  </si>
  <si>
    <t>5.1 ผลกระทบต่อองค์กร</t>
  </si>
  <si>
    <t>.............................................................................................................................................................</t>
  </si>
  <si>
    <t>5.2 ผลกระทบต่อชุมชน สังคม และสิ่งแวดล้อม</t>
  </si>
  <si>
    <t>............................................................................................................................................................</t>
  </si>
  <si>
    <t>6. ผลกระทบจากการไม่ได้รับพิจารณาให้ตั้งงบประมาณ</t>
  </si>
  <si>
    <t>ทำให้ กฟภ. ไม่ได้รับสิ่งสนับสนุนการดำเนินงานที่เพียงพอทำให้ไม่สามารถปฏิบัติงานได้อย่างเต็ม</t>
  </si>
  <si>
    <t>ประสิทธิภาพ ล่าช้า และไม่สามารถให้บริการลูกค้าได้ทันต่อความต้องการ ไม่ก่อให้เกิดภาพลักษณ์ที่ดีต่อ กฟภ.</t>
  </si>
  <si>
    <t>7. ปัญหา อุปสรรค และแนวทางในการแก้ไขปัญหา อุปสรรค</t>
  </si>
  <si>
    <t>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</si>
  <si>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</t>
  </si>
  <si>
    <t>8. รายงานความก้าวหน้าของแผนจัดซื้อ/จัดจ้างตามแผนงานปกติ แบบ งป.009</t>
  </si>
  <si>
    <t>9. แผนการลงทุนรายปี ในกรณีที่ทำมากกว่า 1 ปี ตาม งป.010/1</t>
  </si>
  <si>
    <t>และแผนการจ่ายเงินตามงบผูกพัน(กรณีแผนระยะยาว/งานต่อเนื่อง) ตาม งป.010/2</t>
  </si>
  <si>
    <t>10. เป้าหมายการเบิกจ่ายรายเดือน แยกรายภาคและสำนักงานใหญ่ ตาม งป.010/3</t>
  </si>
  <si>
    <t>11. ประมาณการวัสดุอุปกรณ์นำเข้าจากต่างประเทศ ตามแบบ งป.011</t>
  </si>
  <si>
    <t>การวิเคราะห์ประโยชน์และความคุ้มค่างาน/แผนงาน</t>
  </si>
  <si>
    <t xml:space="preserve"> -</t>
  </si>
  <si>
    <t>ประมาณการผลตอบแทนงาน/แผนงาน</t>
  </si>
  <si>
    <t xml:space="preserve">    ระยะเวลาคืนทุน (Payback Period)</t>
  </si>
  <si>
    <t>...................................</t>
  </si>
  <si>
    <t xml:space="preserve">   ปี</t>
  </si>
  <si>
    <t xml:space="preserve">    อัตราผลตอบแทนเฉลี่ยรายปี (IRR) </t>
  </si>
  <si>
    <t xml:space="preserve">   %</t>
  </si>
  <si>
    <t xml:space="preserve">    มูลค่าปัจจุบันสุทธิ (NPV) </t>
  </si>
  <si>
    <t xml:space="preserve">   ล้านบาท</t>
  </si>
  <si>
    <t xml:space="preserve">    อัตราผลตอบแทนเฉลี่ยด้านการเงิน (FIRR) </t>
  </si>
  <si>
    <t xml:space="preserve">    อัตราผลตอบแทนเฉลี่ยด้านเศรษฐศาสตร์ (EIRR) </t>
  </si>
  <si>
    <t>วัตถุประสงค์เชิงยุทธศาสตร์</t>
  </si>
  <si>
    <t>ยุทธศาสตร์</t>
  </si>
  <si>
    <t>กลยุทธ์</t>
  </si>
  <si>
    <t>BSC</t>
  </si>
  <si>
    <t>SO1 ยกระดับการบริหารจัดการระดับสากลเพื่อสร้างความยั่งยืน</t>
  </si>
  <si>
    <t>S1 สร้าง กฟภ. ให้เติบโตอย่างยั่งยืน</t>
  </si>
  <si>
    <t>เป้าหมายองค์กร (Financial Goal)</t>
  </si>
  <si>
    <t>SO2 ระบบจําหน่ายที่มีประสิทธิภาพและสร้างความน่าเชื่อถือ
ต่อลูกค้า และทุกกลุ่มผู้มีส่วนได้ส่วนเสีย</t>
  </si>
  <si>
    <t>S2 ยกระดับการบริหารทุนมนุษย์</t>
  </si>
  <si>
    <t>ลูกค้า (Customer Goal)</t>
  </si>
  <si>
    <t>SO3 เสริมสร้างศักยภาพด้าน Digital Utility และ มุ่งสู่การเป็นผู้นํา
ระบบไฟฟ้าในอนาคตระดับภูมิภาค</t>
  </si>
  <si>
    <t>S3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 อย่างมีประสิทธิภาพ (Digital Transformation)</t>
  </si>
  <si>
    <t>กระบวนการภายใน (Internal Process Goal)</t>
  </si>
  <si>
    <t>SO4 ยกระดับผลประกอบการและทิศทางของ PEA Portfolio</t>
  </si>
  <si>
    <t>S4 การพัฒนาระบบจัดการนวัตกรรมองค์กร (Corporate Innovation System :CIS)</t>
  </si>
  <si>
    <t>การเรียนรู้และพัฒนา (Learning &amp; Growth)</t>
  </si>
  <si>
    <t>S5 พัฒนาระบบจําหน่ายที่ได้คุณภาพในระดับชั้นนําของภูมิภาค</t>
  </si>
  <si>
    <t>S6 ยกระดับความพึงพอใจและความผูกพันของลูกค้าและกลุ่มผู้มี ส่วนได้ส่วนเสีย</t>
  </si>
  <si>
    <t>S7 ยกระดับ Grid Modernization Roadmap &amp; Implementation</t>
  </si>
  <si>
    <t>S8 ส่งเสริมบทบาท กฟภ. ในการผลักดันบทบาทเพื่อรองรับนโยบาย การเปิดไฟฟ้าเสรี</t>
  </si>
  <si>
    <t>S9 การกําหนดทิศทางเชิงยุทธศาสตร์ระหว่าง กฟภ. และบริษัทในเครือ</t>
  </si>
  <si>
    <t>S10 การดําเนินงานตามแผนสําหรับธุรกิจเกี่ยวเนื่อง และการบริหาร Product Portfolio</t>
  </si>
  <si>
    <t>S11 การปรับปรุงกฎระเบียบที่เกี่ยวข้องให้มีความคล่องตัว และ สามารถแข่งขันได้</t>
  </si>
  <si>
    <t>OC1 วิเคราะห GAP และแนวทางการผลักดันองคกรสูความยั่งยืน</t>
  </si>
  <si>
    <t>OC2 สนับสนุนการใชพลังงานอยางมีประสิทธิภาพ</t>
  </si>
  <si>
    <t>HCM1 สงเสริมการบริหารทุนมนุษยโดยใชเทคโนโลยีดิจิทัลในการพัฒนาระบบงานดาน HCM</t>
  </si>
  <si>
    <t>HCM2 พัฒนาระบบการเรียนรูและพัฒนาในการเสริมสรางและยกระดับสมรรถนะของบุคลากร</t>
  </si>
  <si>
    <t>DT1 พัฒนาขีดความสามารถดานเทคโนโลยีดิจิทัล เพื่อสะทอนถึงประสิทธิภาพของการบริหารคาใชจายและประสิทธิภาพของกระบวนการดําเนินงาน</t>
  </si>
  <si>
    <t>DT2 พัฒนาขีดความสามารถดาน Cyber Security และการบริหารจัดการเทคโนโลยีดิจิทัลสูมาตรฐานสากล</t>
  </si>
  <si>
    <t>CIS1 พัฒนาโครงสรางและกระบวนการดานนวัตกรรม</t>
  </si>
  <si>
    <t>OM1 การเพิ่มประสิทธิภาพและความนาเชื่อถือของระบบจําหนายอยางตอเนื่อง</t>
  </si>
  <si>
    <t>OM2 ยกระดับคุณภาพระบบจําหนายไฟฟาแรงต่ำรองรับการเปลี่ยนแปลงของอุตสาหกรรมไฟฟา</t>
  </si>
  <si>
    <t>SCM1 มุงตอบสนองความตองการความคาดหวังและความกังวลผูมีสวนไดสวนเสีย</t>
  </si>
  <si>
    <t>SCM2 การสรางประสบการณที่ดีของการ ใหบริการแบบ New Normal (Digital Customer Experience)</t>
  </si>
  <si>
    <t>SCM3 การรักษาฐานลูกคารายสําคัญ (Key Account)</t>
  </si>
  <si>
    <t>GM1 การเสริมสรางศักยภาพของระบบจําหนายโดย Smart Grid และระบบที่รองรับธุรกิจในอนาคต</t>
  </si>
  <si>
    <t>GM2 การผลักดันความสําเร็จของการรองรับการเปดไฟฟาเสรี</t>
  </si>
  <si>
    <t>NM1 การกําหนดนโยบายและกําหนดทิศทางการดําเนินงานของบริษัทในเครือรวมถึงการวิเคราะหถึง Business Alignment</t>
  </si>
  <si>
    <t>NM2 การดําเนินงานตามแผน PEA Portfolio Management</t>
  </si>
  <si>
    <t>NM3 ยกระดับผลประกอบการขององคกร และการจัดทําบัญชีตนทุนระหวาง Regulated Business และ Nonregulated Business รวมถึงการทำบัญชีต้นทุนรายกิจกรรม (ABC Costing)</t>
  </si>
  <si>
    <t>NM4 มุงเนนการสรางมูลคาเพิ่มจากฐานขอมูลผูใช้ไฟ</t>
  </si>
  <si>
    <t>RS1 ทบทวนกฎหมายระเบียบ ขอบังคับ เพื่อรองรับการดําเนินงานในธุรกิจเกี่ยวเนื่อง รวมถึงกํากับการดําเนินงานของบริษัทในเครือ เพื่อใหเกิด Synergy</t>
  </si>
  <si>
    <t>S1 ยกระดับการบริหารองค์กรและทุนมนุษย์</t>
  </si>
  <si>
    <t>S2 ส่งเสริมและพัฒนาขีดความสามารถด้วย
เทคโนโลยีดิจิทัล (Digital Technology)
ที่มีความมั่นคงปลอดภัย เพื่อการขับเคลื่อน
องค์กรอย่างมีประสิทธิภาพ
(Digital Transformation)</t>
  </si>
  <si>
    <t>S3 พัฒนาระบบจัดการนวัตกรรมองค์กร
(Corporate Innovation System :CIS)</t>
  </si>
  <si>
    <t>S4 พัฒนาระบบจำหน่ายที่ได้คุณภาพใน
ระดับชั้นนำของภูมิภาค ตาม Grid
Modernization Roadmap</t>
  </si>
  <si>
    <t>S5 ยกระดับความพึงพอใจและความผูกพัน
ของลูกค้าและกลุ่มผู้มีส่วนได้ส่วนเสีย</t>
  </si>
  <si>
    <t>S6 กำหนดทิศทางเชิงยุทธศาสตร์ ระหว่าง กฟภ.
และบริษัทในเครือ</t>
  </si>
  <si>
    <t>S7 ดำเนินงานตามแผนสำหรับธุรกิจเกี่ยวเนื่อง และ
การบริหารกลุ่มผลิตภัณฑ์(Product Portfolio)</t>
  </si>
  <si>
    <t>S8 ปรับปรุงกฎระเบียบที่เกี่ยวข้องให้มี
ความคล่องตัว และสามารถแข่งขันได้</t>
  </si>
  <si>
    <t>S9 ส่งเสริมบทบาท กฟภ. ในการขับเคลื่อนนโยบาย
การเปิดเสรีกิจการไฟฟ้า</t>
  </si>
  <si>
    <t>S10 เติบโตอย่างยั่งยืน เพิ่ม Eco-efficiency</t>
  </si>
  <si>
    <t xml:space="preserve">S11 เพิ่มสัดส่วนไฟฟ้าจาก Renewable
Energy </t>
  </si>
  <si>
    <t>แบบ งป.004/3</t>
  </si>
  <si>
    <t>13.  เหตุผลและความจำเป็นของงาน/แผนงาน</t>
  </si>
  <si>
    <r>
      <t xml:space="preserve">13.1 การสนับสนุนต่อยุทธศาสตร์  และวัตถุประสงค์เชิงยุทธศาสตร์ (เลือกได้มากกว่า 1 ยุทธศาสตร์)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</si>
  <si>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SO1</t>
  </si>
  <si>
    <t>SO2</t>
  </si>
  <si>
    <t>SO3</t>
  </si>
  <si>
    <t>SO4</t>
  </si>
  <si>
    <t>ยกระดับการบริหารจัดการระดับสากลด้วย
ดิจิทัลและนวัตกรรมโดยมีทุนมนุษย์เป็น
แกนขับเคลื่อนสำคัญ</t>
  </si>
  <si>
    <t>พัฒนาระบบจำหน่ายที่มีประสิทธิภาพเชื่อถือได้และยกระดับสู่โครงข่ายอัจฉริยะ (Smart Grid) เพื่อเป็นผู้นำระบบไฟฟ้า ตอบสนองความพึงพอใจแก่ลูกค้าและผู้มีส่วนได้ส่วนเสีย</t>
  </si>
  <si>
    <t>ยกระดับผลประกอบการต่อยอดสู่ธุรกิจใหม่ 
มุ่งสู่การเปิดเสรีกิจการไฟฟ้า</t>
  </si>
  <si>
    <t>เป็นองค์กรไฟฟ้าชั้นนำตอบโจทย์
ความท้าทายของประเทศเพื่อความยั่งยืน
ของสังคมและสิ่งแวดล้อม</t>
  </si>
  <si>
    <t>(   )</t>
  </si>
  <si>
    <r>
      <rPr>
        <b/>
        <sz val="16"/>
        <rFont val="TH SarabunPSK"/>
        <family val="2"/>
      </rPr>
      <t>S1</t>
    </r>
    <r>
      <rPr>
        <sz val="16"/>
        <rFont val="TH SarabunPSK"/>
        <family val="2"/>
      </rPr>
      <t xml:space="preserve"> ยกระดับการบริหารองค์กรและทุนมนุษย์</t>
    </r>
  </si>
  <si>
    <t>.......%</t>
  </si>
  <si>
    <r>
      <rPr>
        <b/>
        <sz val="16"/>
        <rFont val="TH SarabunPSK"/>
        <family val="2"/>
      </rPr>
      <t xml:space="preserve">S4 </t>
    </r>
    <r>
      <rPr>
        <sz val="16"/>
        <rFont val="TH SarabunPSK"/>
        <family val="2"/>
      </rPr>
      <t>พัฒนาระบบจำหน่ายที่ได้คุณภาพในระดับชั้นนำของภูมิภาค ตาม Grid Modernization Roadmap</t>
    </r>
  </si>
  <si>
    <r>
      <rPr>
        <b/>
        <sz val="16"/>
        <rFont val="TH SarabunPSK"/>
        <family val="2"/>
      </rPr>
      <t>S6</t>
    </r>
    <r>
      <rPr>
        <sz val="16"/>
        <rFont val="TH SarabunPSK"/>
        <family val="2"/>
      </rPr>
      <t xml:space="preserve"> กำหนดทิศทางเชิงยุทธศาสตร์ ระหว่าง กฟภ.และบริษัทในเครือ</t>
    </r>
  </si>
  <si>
    <r>
      <rPr>
        <b/>
        <sz val="16"/>
        <rFont val="TH SarabunPSK"/>
        <family val="2"/>
      </rPr>
      <t>S10</t>
    </r>
    <r>
      <rPr>
        <sz val="16"/>
        <rFont val="TH SarabunPSK"/>
        <family val="2"/>
      </rPr>
      <t xml:space="preserve"> เติบโตอย่างยั่งยืน เพิ่ม Eco-efficiency</t>
    </r>
  </si>
  <si>
    <r>
      <rPr>
        <b/>
        <sz val="16"/>
        <rFont val="TH SarabunPSK"/>
        <family val="2"/>
      </rPr>
      <t>S2</t>
    </r>
    <r>
      <rPr>
        <sz val="16"/>
        <rFont val="TH SarabunPSK"/>
        <family val="2"/>
      </rPr>
      <t xml:space="preserve">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เพื่อการขับเคลื่อนองค์กรอย่างมีประสิทธิภาพ (Digital Transformation)</t>
    </r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</si>
  <si>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)</t>
    </r>
  </si>
  <si>
    <r>
      <rPr>
        <b/>
        <sz val="16"/>
        <rFont val="TH SarabunPSK"/>
        <family val="2"/>
      </rPr>
      <t>S5</t>
    </r>
    <r>
      <rPr>
        <sz val="16"/>
        <rFont val="TH SarabunPSK"/>
        <family val="2"/>
      </rPr>
      <t xml:space="preserve"> ยกระดับความพึงพอใจและความผูกพันของลูกค้าและกลุ่มผู้มีส่วนได้ส่วนเสีย</t>
    </r>
  </si>
  <si>
    <r>
      <rPr>
        <b/>
        <sz val="16"/>
        <rFont val="TH SarabunPSK"/>
        <family val="2"/>
      </rPr>
      <t>S7</t>
    </r>
    <r>
      <rPr>
        <sz val="16"/>
        <rFont val="TH SarabunPSK"/>
        <family val="2"/>
      </rPr>
      <t xml:space="preserve"> ดำเนินงานตามแผนสำหรับธุรกิจเกี่ยวเนื่อง และการบริหารกลุ่มผลิตภัณฑ์ (Product Portfolio)</t>
    </r>
  </si>
  <si>
    <r>
      <rPr>
        <b/>
        <sz val="16"/>
        <rFont val="TH SarabunPSK"/>
        <family val="2"/>
      </rPr>
      <t>S11</t>
    </r>
    <r>
      <rPr>
        <sz val="16"/>
        <rFont val="TH SarabunPSK"/>
        <family val="2"/>
      </rPr>
      <t xml:space="preserve"> เพิ่มสัดส่วนไฟฟ้าจาก Renewable Energy </t>
    </r>
  </si>
  <si>
    <r>
      <rPr>
        <b/>
        <sz val="16"/>
        <rFont val="TH SarabunPSK"/>
        <family val="2"/>
      </rPr>
      <t>S3</t>
    </r>
    <r>
      <rPr>
        <sz val="16"/>
        <rFont val="TH SarabunPSK"/>
        <family val="2"/>
      </rPr>
      <t xml:space="preserve"> พัฒนาระบบจัดการนวัตกรรมองค์กร (Corporate Innovation System :CIS)</t>
    </r>
  </si>
  <si>
    <r>
      <rPr>
        <b/>
        <sz val="16"/>
        <rFont val="TH SarabunPSK"/>
        <family val="2"/>
      </rPr>
      <t>S8</t>
    </r>
    <r>
      <rPr>
        <sz val="16"/>
        <rFont val="TH SarabunPSK"/>
        <family val="2"/>
      </rPr>
      <t xml:space="preserve"> ปรับปรุงกฎระเบียบที่เกี่ยวข้องให้มีความคล่องตัว และสามารถแข่งขันได้</t>
    </r>
  </si>
  <si>
    <r>
      <rPr>
        <b/>
        <sz val="16"/>
        <rFont val="TH SarabunPSK"/>
        <family val="2"/>
      </rPr>
      <t>S9</t>
    </r>
    <r>
      <rPr>
        <sz val="16"/>
        <rFont val="TH SarabunPSK"/>
        <family val="2"/>
      </rPr>
      <t xml:space="preserve"> ส่งเสริมบทบาท กฟภ. ในการขับเคลื่อนนโยบาย
การเปิดเสรีกิจการไฟฟ้า</t>
    </r>
  </si>
  <si>
    <r>
      <rPr>
        <b/>
        <sz val="16"/>
        <rFont val="TH SarabunPSK"/>
        <family val="2"/>
      </rPr>
      <t>หมายเหตุ</t>
    </r>
    <r>
      <rPr>
        <sz val="16"/>
        <rFont val="TH SarabunPSK"/>
        <family val="2"/>
      </rPr>
      <t xml:space="preserve"> : ทุกยุทธศาสตร์รวมกัน = 100%</t>
    </r>
  </si>
  <si>
    <t xml:space="preserve">13.2 การสนับสนุนต่อมุมมองตาม Balanced Scorecard </t>
  </si>
  <si>
    <t>มุมมอง :</t>
  </si>
  <si>
    <t>ตัวชี้วัดและเป้าหมาย :</t>
  </si>
  <si>
    <t>ความสำเร็จในการเบิกจ่ายเงิน</t>
  </si>
  <si>
    <t>14. แนวทางในการดำเนินงานของงาน/แผนงาน</t>
  </si>
  <si>
    <t>14.1 แผนการดำเนินงาน</t>
  </si>
  <si>
    <t>กิจกรรมหลัก</t>
  </si>
  <si>
    <t>หน่วยนับ</t>
  </si>
  <si>
    <t>ระยะเวลาดำเนินการ</t>
  </si>
  <si>
    <t>ปีงบประมาณ</t>
  </si>
  <si>
    <t>ปี 68</t>
  </si>
  <si>
    <t>ปี 69</t>
  </si>
  <si>
    <t>ปี 70</t>
  </si>
  <si>
    <t>ปี 71</t>
  </si>
  <si>
    <t>ปี 72</t>
  </si>
  <si>
    <t>เริ่มต้น - ปี 65</t>
  </si>
  <si>
    <t>หมวดที่ดิน</t>
  </si>
  <si>
    <t>ร้อยละ</t>
  </si>
  <si>
    <t>2.</t>
  </si>
  <si>
    <t>หมวดสิ่งก่อสร้าง</t>
  </si>
  <si>
    <t>3.</t>
  </si>
  <si>
    <t>หมวดเครื่องมือเครื่องใช้</t>
  </si>
  <si>
    <t>4.</t>
  </si>
  <si>
    <t>หมวดยานพาหนะ</t>
  </si>
  <si>
    <t>ร้อยละของงาน</t>
  </si>
  <si>
    <r>
      <t xml:space="preserve">(  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) ดำเนินการเอง ……100……… %</t>
    </r>
  </si>
  <si>
    <t>(        ) จ้างเหมา ….……….……… %</t>
  </si>
  <si>
    <t>(        ) จ้างเหมาแบบ Turnkey</t>
  </si>
  <si>
    <t>แบบ งป.004/4</t>
  </si>
  <si>
    <t>14.2 งบประมาณลงทุนเพื่อการดำเนินงานปกติ ที่ขอตั้งประจำปี 2568</t>
  </si>
  <si>
    <t xml:space="preserve"> </t>
  </si>
  <si>
    <t>วงเงินดำเนินการ</t>
  </si>
  <si>
    <t>เป้าหมายการเบิกจ่าย(รายปี)</t>
  </si>
  <si>
    <t>ปี 2568</t>
  </si>
  <si>
    <t>เป้าหมายการเบิกจ่าย</t>
  </si>
  <si>
    <t>1. หมวดที่ดิน (งป.005)</t>
  </si>
  <si>
    <t>2. หมวดสิ่งก่อสร้าง</t>
  </si>
  <si>
    <t xml:space="preserve">   งานโยธา (งป.006)</t>
  </si>
  <si>
    <t xml:space="preserve">   งานระบบไฟฟ้า</t>
  </si>
  <si>
    <t xml:space="preserve"> - ค่าวัสดุอุปกรณ์ (งป.007)</t>
  </si>
  <si>
    <t xml:space="preserve"> - ค่าแรงงาน</t>
  </si>
  <si>
    <t xml:space="preserve"> - ค่าขนส่ง</t>
  </si>
  <si>
    <t xml:space="preserve"> - ค่าสำรวจออกแบบและควบคุมงาน</t>
  </si>
  <si>
    <t xml:space="preserve"> - ค่าเบ็ดเตล็ด</t>
  </si>
  <si>
    <t xml:space="preserve"> - อื่น ๆ </t>
  </si>
  <si>
    <t>รวมงานระบบไฟฟ้า</t>
  </si>
  <si>
    <t>3. หมวดเครื่องจักรอุปกรณ์ (งป.008)</t>
  </si>
  <si>
    <t>4. หมวดยานพาหนะ (งป.008)</t>
  </si>
  <si>
    <t>5. หมวดเครื่องมือ เครื่องใช้ขนาดเล็ก (งป.008)</t>
  </si>
  <si>
    <t>6. หมวดวิจัยและพัฒนา (งป.008)</t>
  </si>
  <si>
    <t>7. หมวดอื่น ๆ (งป.008)</t>
  </si>
  <si>
    <t>รวมทั้งสิ้น</t>
  </si>
  <si>
    <t>15. การประเมินระดับความเสี่ยงโดยระบุประเด็นความเสี่ยงและมิติความเสี่ยง(ที่มีความสอดคล้อง) และประเมินระดับความเสี่ยงของงาน/แผนงาน</t>
  </si>
  <si>
    <t xml:space="preserve">     15.1 การประเมินประสิทธิผลการควบคุมที่มีอยู่ของงาน/แผนงาน</t>
  </si>
  <si>
    <t>งาน/แผนงาน
(ปัจจัยเสี่ยง)</t>
  </si>
  <si>
    <t>ประเภทของปัจจัยเสี่ยง
S / O / F / C</t>
  </si>
  <si>
    <t>ประสิทธิผลการควบคุมที่มีอยู่</t>
  </si>
  <si>
    <t>ผลสรุป 
(เพียงพอ/ไม่เพียงพอ)</t>
  </si>
  <si>
    <t xml:space="preserve">ผลการดำเนินงานเมื่อเทียบกับเป้าหมาย </t>
  </si>
  <si>
    <t xml:space="preserve">กระบวนการควบคุม </t>
  </si>
  <si>
    <t xml:space="preserve">การติดตาม </t>
  </si>
  <si>
    <t>1. ไม่สามารถเบิกจ่ายได้ตามเป้าหมาย</t>
  </si>
  <si>
    <t>เพียงพอ</t>
  </si>
  <si>
    <t>หมายเหตุ : 1) หากปัจจัยเสี่ยงที่ระบุได้เป็นเรื่องใหม่และยังไม่เคยดำเนินการมาก่อน ให้ประเมินคะแนนประสิทธิผลการควบคุมที่มีอยู่ เท่ากับ 1 คะแนน</t>
  </si>
  <si>
    <r>
      <t xml:space="preserve"> 2) ผลการประเมินประสิทธิผลการควบคุมที่มีอยู่ ด้านใดด้านหนึ่ง มีคะแนน 1 คะแนน ให้ถือว่าประสิทธิผลการควบคุมที่มีอยู่</t>
    </r>
    <r>
      <rPr>
        <b/>
        <u/>
        <sz val="16"/>
        <rFont val="TH SarabunPSK"/>
        <family val="2"/>
      </rPr>
      <t>ไม่เพียงพอ</t>
    </r>
    <r>
      <rPr>
        <sz val="16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</si>
  <si>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r>
      <t xml:space="preserve"> 3) ผลการประเมินประสิทธิผลการควบคุมที่มีอยู่ ในทุกด้านมีคะแนนตั้งแต่ 2 คะแนนขึ้นไป แต่</t>
    </r>
    <r>
      <rPr>
        <b/>
        <u/>
        <sz val="16"/>
        <rFont val="TH SarabunPSK"/>
        <family val="2"/>
      </rPr>
      <t>ผู้บริหารให้ความสำคัญ</t>
    </r>
    <r>
      <rPr>
        <sz val="16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</si>
  <si>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t>คะแนน</t>
  </si>
  <si>
    <t>ผลการดำเนินงานเมื่อเทียบกับเป้าหมาย</t>
  </si>
  <si>
    <t>กระบวนการควบคุม</t>
  </si>
  <si>
    <t>การติดตาม</t>
  </si>
  <si>
    <t>ผลการดำเนินงานไม่เป็นไปตามเป้าหมาย</t>
  </si>
  <si>
    <t>ไม่มีกระบวนการหรือกิจกรรมควบคุม</t>
  </si>
  <si>
    <t>ไม่มีการติดตาม/รายงานผลการดำเนินงาน</t>
  </si>
  <si>
    <t>ผลการดำเนินงานเป็นไปตามเป้าหมาย</t>
  </si>
  <si>
    <t>มีกระบวนการหรือกิจกรรมควบคุม</t>
  </si>
  <si>
    <t>มีการติดตาม/รายงานผลการดำเนินงานอย่างน้อยไตรมาสละ 1 ครั้ง</t>
  </si>
  <si>
    <t>ผลการดำเนินงานดีกว่าเป้าหมาย</t>
  </si>
  <si>
    <t>มีกระบวนการหรือกิจกรรมควบคุมและได้จัดทำเป็นคู่มือการปฏิบัติงานที่ชัดเจน</t>
  </si>
  <si>
    <t>มีการติดตาม/รายงานผลการดำเนินงานเป็นประจำทุกเดือน</t>
  </si>
  <si>
    <t xml:space="preserve">     15.2 การประเมินระดับความรุนแรงของโครงการ (ปัจจัยเสี่ยง)</t>
  </si>
  <si>
    <t>ประเด็นความเสี่ยงของงาน/แผนงาน
(สาเหตุ)</t>
  </si>
  <si>
    <t>ระดับความรุนแรง</t>
  </si>
  <si>
    <t>แนวทางในการจัดการความเสี่ยง</t>
  </si>
  <si>
    <t>คาดการณ์ระดับความรุนแรง</t>
  </si>
  <si>
    <t>เป้าหมาย</t>
  </si>
  <si>
    <t>คาดการณ์
ผลการดำเนินงาน
ค่า KRI 
(ณ สิ้นปี 2566)</t>
  </si>
  <si>
    <r>
      <t>ก่อน</t>
    </r>
    <r>
      <rPr>
        <b/>
        <sz val="16"/>
        <rFont val="TH SarabunPSK"/>
        <family val="2"/>
      </rPr>
      <t>การบริหารความเสี่ยง (ต้นปี 2566)</t>
    </r>
  </si>
  <si>
    <r>
      <t>หลัง</t>
    </r>
    <r>
      <rPr>
        <b/>
        <sz val="16"/>
        <rFont val="TH SarabunPSK"/>
        <family val="2"/>
      </rPr>
      <t>การบริหารความเสี่ยง (ณ สิ้นปี 2566)</t>
    </r>
  </si>
  <si>
    <t>(งาน/แผนงาน)</t>
  </si>
  <si>
    <t>โอกาส</t>
  </si>
  <si>
    <t>ผลกระทบ</t>
  </si>
  <si>
    <t>ระดับความเสี่ยง</t>
  </si>
  <si>
    <t xml:space="preserve">ระดับความเสี่ยง </t>
  </si>
  <si>
    <t>ดัชนีชี้วัดความเสี่ยง</t>
  </si>
  <si>
    <t>ค่าเป้าหมาย</t>
  </si>
  <si>
    <t>ค่าเบี่ยงเบนที่ยอมรับได้</t>
  </si>
  <si>
    <t>Likelihood (L)</t>
  </si>
  <si>
    <t>Impact (I)</t>
  </si>
  <si>
    <t>(LxI)</t>
  </si>
  <si>
    <t>(KRI)</t>
  </si>
  <si>
    <t>(RA)</t>
  </si>
  <si>
    <t>(RT)</t>
  </si>
  <si>
    <t>1) ผู้รับจ้างทิ้งงานระหว่างานก่อสร้าง</t>
  </si>
  <si>
    <t>จัดทำประชาสัมพันธ์และแผนงานให้ผู้ประกอบการทราบล่วงหน้า</t>
  </si>
  <si>
    <t>หมายเหตุ : *1) ให้อธิบายผลการดำเนินงาน</t>
  </si>
  <si>
    <t xml:space="preserve">                2) หากผลการดำเนินงานไม่เป็นไปตามเป้าหมาย ให้ระบุปัญหา/อุปสรรค และแนวทางแก้ไขด้วย</t>
  </si>
  <si>
    <t>แบบ งป.004/5</t>
  </si>
  <si>
    <t>ตารางโอกาสเกิด/ผลกระทบ</t>
  </si>
  <si>
    <t>โอกาสเกิด (Likelihood : L)</t>
  </si>
  <si>
    <t>ผลกระทบ (Impact : I)</t>
  </si>
  <si>
    <t>ระดับ</t>
  </si>
  <si>
    <t>ความหมาย</t>
  </si>
  <si>
    <t>โอกาส/ความน่าจะเกิดทางสถิติ</t>
  </si>
  <si>
    <t>มีโอกาสเกิดขึ้นต่ำมาก</t>
  </si>
  <si>
    <t>1 - 20%</t>
  </si>
  <si>
    <t>มีผลกระทบต่ำมาก</t>
  </si>
  <si>
    <t>มีโอกาสเกิดขึ้นต่ำ</t>
  </si>
  <si>
    <t>21 - 40%</t>
  </si>
  <si>
    <t>มีผลกระทบต่ำ</t>
  </si>
  <si>
    <t>มีโอกาสเกิดขึ้นปานกลาง</t>
  </si>
  <si>
    <t>41 - 60%</t>
  </si>
  <si>
    <t>มีผลกระทบปานกลาง</t>
  </si>
  <si>
    <t>มีโอกาสเกิดขึ้นสูง</t>
  </si>
  <si>
    <t>61 - 80%</t>
  </si>
  <si>
    <t>มีผลกระทบสูง</t>
  </si>
  <si>
    <t>มีโอกาสเกิดขึ้นสูงมาก</t>
  </si>
  <si>
    <t>81 - 100%</t>
  </si>
  <si>
    <t>มีผลกระทบสูงมาก</t>
  </si>
  <si>
    <t>ตารางระดับความเสี่ยง</t>
  </si>
  <si>
    <t>ลำดับ</t>
  </si>
  <si>
    <t>(Risk Severity) (ผลคูณ LxI)</t>
  </si>
  <si>
    <t>ระดับคะแนน 1-4</t>
  </si>
  <si>
    <t>ผลกระทบต่ำ</t>
  </si>
  <si>
    <t>ระดับคะแนน &gt;4 และ ≤12</t>
  </si>
  <si>
    <t>ผลกระทบปานกลาง</t>
  </si>
  <si>
    <t>ระดับคะแนนมากกว่า 12</t>
  </si>
  <si>
    <t>ผลกระทบสูง</t>
  </si>
  <si>
    <t xml:space="preserve">จัดทำโดย </t>
  </si>
  <si>
    <t>ตรวจสอบโดย</t>
  </si>
  <si>
    <t>.......................................................................</t>
  </si>
  <si>
    <t>........................................................................</t>
  </si>
  <si>
    <t xml:space="preserve">           (นาวสาวพรทิพย์ อรุณสกุล)</t>
  </si>
  <si>
    <t xml:space="preserve">                (นายสมพร แซ่ลิ่ม)</t>
  </si>
  <si>
    <t>ตำแหน่ง             รก.จก.</t>
  </si>
  <si>
    <t>ตำแหน่ง            อก.จก.</t>
  </si>
  <si>
    <t>เบอร์โทรศัพท์</t>
  </si>
  <si>
    <t>วันที่</t>
  </si>
  <si>
    <t>ห</t>
  </si>
  <si>
    <t>คำอธิบายแบบ งป.004/1 - งป.004/5</t>
  </si>
  <si>
    <t>(แบบข้อมูลพื้นฐานของงาน)</t>
  </si>
  <si>
    <r>
      <t xml:space="preserve">ชื่องาน/แผนงาน หมายถึง </t>
    </r>
    <r>
      <rPr>
        <sz val="16"/>
        <rFont val="TH SarabunPSK"/>
        <family val="2"/>
      </rPr>
      <t>ชื่อของงานที่หน่วยงานจะดำเนินการ เพื่อให้บรรลุตามวัตถุประสงค์ที่ตั้งไว้</t>
    </r>
  </si>
  <si>
    <t>รายละเอียดของงาน/แผนงาน</t>
  </si>
  <si>
    <t>ผู้รับผิดชอบ</t>
  </si>
  <si>
    <t>ให้ระบุหน่วยงานเป็นระดับแผนก, กอง, ฝ่าย, สายงาน</t>
  </si>
  <si>
    <t>ความจำเป็นในการดำเนินงาน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</si>
  <si>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ในหัวข้อที่เลือกว่าเป็นงาน/แผนงาน </t>
    </r>
  </si>
  <si>
    <t xml:space="preserve">ที่มีความจำเป็นจะต้องดำเนินการ เช่น มีสัญญา ข้อผูกพัน </t>
  </si>
  <si>
    <t xml:space="preserve">หรือมีเงื่อนไขที่ต้องดำเนินการ หรือเป็นนโยบายที่สำคัญของ กฟภ. </t>
  </si>
  <si>
    <t>ถ้าไม่ดำเนินการจะก่อให้เกิดความเสียหาย หรือสอดคล้องกับ</t>
  </si>
  <si>
    <t>นโยบายของรัฐบาล เช่น งานขยายเขตต่างๆ ให้บ้านเรือนราษฎร</t>
  </si>
  <si>
    <t>ที่ไม่มีไฟฟ้าใช้  เป็นต้น</t>
  </si>
  <si>
    <t>ประเภทการลงทุน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</si>
  <si>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ในหัวข้อที่เลือกว่างาน/แผนงาน เป็นประเภทการลงทุนใด</t>
    </r>
  </si>
  <si>
    <t>สถานะของงาน</t>
  </si>
  <si>
    <r>
      <rPr>
        <b/>
        <sz val="16"/>
        <rFont val="TH SarabunPSK"/>
        <family val="2"/>
      </rPr>
      <t xml:space="preserve">หมายถึง </t>
    </r>
    <r>
      <rPr>
        <sz val="16"/>
        <rFont val="TH SarabunPSK"/>
        <family val="2"/>
      </rPr>
      <t>สถานภาพของงานในปีที่ขอตั้งงบประมาณว่าเป็น</t>
    </r>
  </si>
  <si>
    <t xml:space="preserve">งาน/แผนงานต่อเนื่องหรืองาน/แผนงานใหม่ </t>
  </si>
  <si>
    <t>ได้รับอนุมัติจาก</t>
  </si>
  <si>
    <r>
      <t xml:space="preserve">ให้ทำเครื่องหมาย </t>
    </r>
    <r>
      <rPr>
        <sz val="16"/>
        <rFont val="Wingdings"/>
        <charset val="2"/>
      </rPr>
      <t xml:space="preserve">ü </t>
    </r>
    <r>
      <rPr>
        <sz val="16"/>
        <rFont val="TH SarabunIT๙"/>
        <family val="2"/>
      </rPr>
      <t>ในหัวข้อที่ได้รับการอนุมัติ และระบุวันที่ที่ได้รับอนุมัติ</t>
    </r>
  </si>
  <si>
    <t>พื้นที่ดำเนินการ</t>
  </si>
  <si>
    <t>ให้ระบุสถานที่และจังหวัดที่ดำเนินการของงาน/แผนงาน</t>
  </si>
  <si>
    <t>ให้ระบุระยะเวลาเริ่มต้นที่ได้รับอนุมัติงาน/แผนงาน และระยะ</t>
  </si>
  <si>
    <t>เวลาสิ้นสุด คือระยะเวลาที่คาดว่าจะได้รับมอบงานงวดสุดท้าย</t>
  </si>
  <si>
    <t xml:space="preserve">วงเงินลงทุนทั้งสิ้นของงาน/แผนงาน 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</si>
  <si>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วงเงินงบประมาณรวมทั้งสิ้นที่จะใช้ในการดำเนินการ</t>
    </r>
  </si>
  <si>
    <t>วงเงินลงทุนปี 2568 ของงาน/แผนงาน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</si>
  <si>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วงเงินที่ขอตั้งงบประมาณปี 2568</t>
    </r>
  </si>
  <si>
    <t>2.10</t>
  </si>
  <si>
    <t>เป้าหมายการเบิกจ่ายงบลงทุนปี 2568</t>
  </si>
  <si>
    <t>ให้ประมาณการค่าใช้จ่ายที่จะใช้ในปีที่ขอตั้งงบประมาณ</t>
  </si>
  <si>
    <t>โดยวงเงินรวมเป้าหมายการเบิกจ่ายต้องเท่ากับวงเงินดำเนินการปี 2568</t>
  </si>
  <si>
    <t>วงเงินงบทำการที่ขอตั้งในปี 2568</t>
  </si>
  <si>
    <t>ให้ใส่วงเงินที่ขอใช้จากงบทำการ (ถ้ามี)</t>
  </si>
  <si>
    <t>วัตถุประสงค์ของงาน/แผนงาน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</si>
  <si>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 จุดมุ่งหมายในการดำเนินการเพื่อให้บรรลุผลเมื่อสิ้นสุดงาน/แผนงาน</t>
    </r>
  </si>
  <si>
    <t>ผลประโยชน์ที่คาดว่าจะได้รับ</t>
  </si>
  <si>
    <t>ผลประโยชน์ที่คาดว่าจะได้รับหลังเสร็จสิ้น</t>
  </si>
  <si>
    <r>
      <rPr>
        <b/>
        <sz val="16"/>
        <rFont val="TH SarabunPSK"/>
        <family val="2"/>
      </rPr>
      <t xml:space="preserve">ผลผลิต (Output)  หมายถึง </t>
    </r>
    <r>
      <rPr>
        <sz val="16"/>
        <rFont val="TH SarabunPSK"/>
        <family val="2"/>
      </rPr>
      <t>ผลผลิตต่อหน่วยนับ สำหรับหน่วยของผลผลิต</t>
    </r>
  </si>
  <si>
    <t>งาน/แผนงาน</t>
  </si>
  <si>
    <t>ระบุตามหน่วยที่สามารถวัดเป็นเชิงปริมาณได้ หากไม่สามารถวัดเป็นหน่วยนับได้</t>
  </si>
  <si>
    <t>กำหนดเป็นเปอร์เซนต์</t>
  </si>
  <si>
    <r>
      <t>ผลลัพธ์ (Outcome) หมายถึง</t>
    </r>
    <r>
      <rPr>
        <sz val="16"/>
        <rFont val="TH SarabunPSK"/>
        <family val="2"/>
      </rPr>
      <t xml:space="preserve"> ผลที่คาดว่าจะได้รับ ที่เกิดขึ้นตามมาจากการเกิด</t>
    </r>
  </si>
  <si>
    <t>ผลผลิต</t>
  </si>
  <si>
    <t>ผลประโยชน์ที่คาดว่าจะได้รับในปี 2568</t>
  </si>
  <si>
    <r>
      <rPr>
        <b/>
        <sz val="16"/>
        <rFont val="TH SarabunPSK"/>
        <family val="2"/>
      </rPr>
      <t>หมายถึง</t>
    </r>
    <r>
      <rPr>
        <sz val="16"/>
        <rFont val="TH SarabunPSK"/>
        <family val="2"/>
      </rPr>
      <t xml:space="preserve"> ผลผลิต(Output) และ ผลลัพธ์ (Outcome) ในปี 2568</t>
    </r>
  </si>
  <si>
    <t>(กรณีเป็นแผนงานระยะยาว)</t>
  </si>
  <si>
    <t>ของแผนงานระยะยาว</t>
  </si>
  <si>
    <t>5.</t>
  </si>
  <si>
    <t>การวิเคราะห์ผลกระทบทางธุรกิจ</t>
  </si>
  <si>
    <t>ผลกระทบต่อองค์กร</t>
  </si>
  <si>
    <t>ให้ระบุถึง</t>
  </si>
  <si>
    <t xml:space="preserve"> - สนับสนุนวิสัยทัศน์ พันธกิจขององค์กร </t>
  </si>
  <si>
    <t xml:space="preserve"> - สนับสนุนยุทธศาสตร์หลักขององค์กร  </t>
  </si>
  <si>
    <t xml:space="preserve"> - หน่วยงานกำกับกำหนด (องค์กรจำเป็นต้องดำเนินการ)</t>
  </si>
  <si>
    <t>ผลกระทบต่อชุมชน สังคม</t>
  </si>
  <si>
    <t xml:space="preserve">ให้ระบุถึงบทวิเคราะห์ผลกระทบทางลบต่อสังคม / </t>
  </si>
  <si>
    <t>และสิ่งแวดล้อม</t>
  </si>
  <si>
    <t>ความกังวลของสาธารณะชน / สิ่งแวดล้อมที่เกิดจากการดำเนินงาน</t>
  </si>
  <si>
    <t>ของงาน/แผนงาน</t>
  </si>
  <si>
    <t>6.</t>
  </si>
  <si>
    <t>ผลกระทบจากการไม่ได้รับพิจารณา</t>
  </si>
  <si>
    <t>ระบุผลกระทบที่ได้รับหากไม่ได้รับการพิจารณาตั้งงบประมาณ</t>
  </si>
  <si>
    <t>ให้ตั้งงบประมาณ</t>
  </si>
  <si>
    <t>7.</t>
  </si>
  <si>
    <t>ปัญหา อุปสรรค และแนวทางในการแก้ไข</t>
  </si>
  <si>
    <t>ให้ระบุ (ถ้ามี)</t>
  </si>
  <si>
    <t>ปัญหา อุปสรรค</t>
  </si>
  <si>
    <t>8.</t>
  </si>
  <si>
    <t>รายงานความก้าวหน้าของแผนจัดซื้อ/จัดจ้างตาม</t>
  </si>
  <si>
    <t>ให้กำหนดขั้นตอนการปฎิบัติงาน การดำเนินการจัดซื้อจัดจ้าง การส่งของ</t>
  </si>
  <si>
    <t>แผนงานปกติ Workflow</t>
  </si>
  <si>
    <t>/ก่อสร้าง การตรวจรับและทดสอบพร้อมทั้งประมาณการเบิกจ่ายของแต่ละงาน</t>
  </si>
  <si>
    <t>ลงในเดือนที่คาดว่าจะจ่ายจริงจนสิ้นสุดวงเงินที่ขอตั้งงบประมาณ</t>
  </si>
  <si>
    <t>ในแบบ งป.009</t>
  </si>
  <si>
    <t>9.</t>
  </si>
  <si>
    <t>การจัดทำแผนการลงทุนให้จัดทำเป็นรายปี ในกรณีที่ทำมากกว่า 1 ปี</t>
  </si>
  <si>
    <t>และแผนการจ่ายเงินตามงบผูกพัน</t>
  </si>
  <si>
    <t>ให้จัดทำตั้งแต่เริ่มต้นแผนงานจนสิ้นสุดแผนงาน ตามแบบ งป.010/1</t>
  </si>
  <si>
    <t xml:space="preserve">(กรณีแผนระยะยาว/งานต่อเนื่อง) </t>
  </si>
  <si>
    <t>สำหรับแผนงานเก่าให้แสดงสถานะการใช้เงินด้วย ตามแบบ งป.010/2</t>
  </si>
  <si>
    <t>10.</t>
  </si>
  <si>
    <t>เป้าหมายการเบิกจ่ายรายเดือน 2568</t>
  </si>
  <si>
    <r>
      <rPr>
        <b/>
        <sz val="16"/>
        <rFont val="TH SarabunPSK"/>
        <family val="2"/>
      </rPr>
      <t xml:space="preserve">หมายถึง </t>
    </r>
    <r>
      <rPr>
        <sz val="16"/>
        <rFont val="TH SarabunPSK"/>
        <family val="2"/>
      </rPr>
      <t>ให้จัดทำเป้าหมายการเบิกจ่ายรายเดือน โดยพิจารณาให้สอดคล้องกับ</t>
    </r>
  </si>
  <si>
    <t>แยกรายภาคและสำนักงานใหญ่</t>
  </si>
  <si>
    <t>การจัดสรรทรัพย์สินลงในแต่ละภาคและสำนักงานใหญ่ ตามแบบ งป.010/3</t>
  </si>
  <si>
    <t>ประมาณการวัสดุอุปกรณ์นำเข้าจากต่างประเทศ</t>
  </si>
  <si>
    <t>ให้แสดงรายการประมาณการวัสดุอุปกรณ์นำเข้าจากต่างประเทศของแต่ละ</t>
  </si>
  <si>
    <t>แผนงานตั้งแต่ปีเริ่มต้นจนถึงปีสิ้นสุดแผนงาน และปีที่ขอตั้งงบประมาณ</t>
  </si>
  <si>
    <t>แยกประมาณการเบิกจ่ายเป็นรายเดือน ตามแบบ งป.011</t>
  </si>
  <si>
    <t>ให้ระบุผลการวิเคราะห์ผลตอบแทนการลงทุนของงาน/แผนงานทุก</t>
  </si>
  <si>
    <t>รายการเพื่อใช้เป็นข้อมูลประกอบการพิจารณางบประมาณและการกู้เงิน</t>
  </si>
  <si>
    <t>เสนอ สศช., สคร. และ สบน.</t>
  </si>
  <si>
    <t>เหตุผลและความจำเป็นของงานและแผนงาน</t>
  </si>
  <si>
    <t xml:space="preserve">การสนับสนุนต่อยุทธศาสตร์  </t>
  </si>
  <si>
    <r>
      <t xml:space="preserve">ให้ทำเครื่องหมาย </t>
    </r>
    <r>
      <rPr>
        <sz val="16"/>
        <rFont val="Wingdings"/>
        <charset val="2"/>
      </rPr>
      <t xml:space="preserve">ü </t>
    </r>
    <r>
      <rPr>
        <sz val="16"/>
        <rFont val="TH Sarabun New"/>
        <family val="2"/>
      </rPr>
      <t>ระบุว่าสอดคล้องกับยุทธศาสตร์และวัตถุประสงค์</t>
    </r>
  </si>
  <si>
    <t xml:space="preserve">และวัตถุประสงค์เชิงยุทธศาสตร์ </t>
  </si>
  <si>
    <t xml:space="preserve">เชิงยุทธศาสตร์ใดขององค์กร โดยสามารถระบุได้มากกว่า 1 ยุทธศาสตร์ </t>
  </si>
  <si>
    <t>การสนับสนุนต่อมุมมอง</t>
  </si>
  <si>
    <r>
      <rPr>
        <b/>
        <sz val="16"/>
        <rFont val="TH SarabunPSK"/>
        <family val="2"/>
      </rPr>
      <t xml:space="preserve"> - มุมมอง</t>
    </r>
    <r>
      <rPr>
        <sz val="16"/>
        <rFont val="TH SarabunPSK"/>
        <family val="2"/>
      </rPr>
      <t xml:space="preserve"> ให้ระบุว่าสอดรับกับยุทธศาสตร์ด้านใดใน BSC</t>
    </r>
  </si>
  <si>
    <t xml:space="preserve">ตาม Balanced Scorecard </t>
  </si>
  <si>
    <r>
      <rPr>
        <b/>
        <sz val="16"/>
        <rFont val="TH SarabunPSK"/>
        <family val="2"/>
      </rPr>
      <t xml:space="preserve"> - ตัวชี้วัดและเป้าหมาย</t>
    </r>
    <r>
      <rPr>
        <sz val="16"/>
        <rFont val="TH SarabunPSK"/>
        <family val="2"/>
      </rPr>
      <t xml:space="preserve"> ให้ระบุเกณฑ์วัดในการดำเนินงาน และค่าเป้าหมาย</t>
    </r>
  </si>
  <si>
    <t xml:space="preserve">  ตามที่กำหนดไว้ใน BSC</t>
  </si>
  <si>
    <t xml:space="preserve">14. </t>
  </si>
  <si>
    <t>แนวทางในการดำเนินงานของงาน/แผนงาน</t>
  </si>
  <si>
    <t>แผนการดำเนินงาน</t>
  </si>
  <si>
    <t>ให้ระบุลักษณะกิจกรรมหลักของงาน โดยแสดงปริมาณงานที่คาดว่าจะดำเนินการ</t>
  </si>
  <si>
    <t>ในปีงบประมาณจนจบแผนงาน (ถ้าทำมากกว่า 1 ปี)</t>
  </si>
  <si>
    <r>
      <t xml:space="preserve">ให้ทำเครื่องหมาย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ระบุว่าจะดำเนินการเองหรือจ้างเหมาดำเนินการ</t>
    </r>
  </si>
  <si>
    <t>เป็นร้อยละเท่าไร (จ้างเหมาเฉพาะค่าแรง หรือ จ้างเหมาแบบ Turnkey)</t>
  </si>
  <si>
    <t>งบประมาณลงทุนเพื่อการดำเนินงานปกติ ที่ขอตั้งประจำปี 2568</t>
  </si>
  <si>
    <t xml:space="preserve">   1. หมวดที่ดิน</t>
  </si>
  <si>
    <t>รายละเอียดงานจัดหาที่ดิน/ปรับปรุงที่ดินตามแผนสนับสนุน</t>
  </si>
  <si>
    <t>การดำเนินงาน ลงในแบบ งป.005</t>
  </si>
  <si>
    <t xml:space="preserve">   2. หมวดสิ่งก่อสร้าง</t>
  </si>
  <si>
    <t xml:space="preserve">รายละเอียดงานโยธา ตามแผนสนับสนุนการดำเนินงาน </t>
  </si>
  <si>
    <t>ลงในแบบ งป.006</t>
  </si>
  <si>
    <t xml:space="preserve">รายละเอียดค่าวัสดุอุปกรณ์ของงานระบบไฟฟ้าลงใน </t>
  </si>
  <si>
    <t xml:space="preserve">   3. หมวดเครื่องจักรอุปกรณ์</t>
  </si>
  <si>
    <t>งานจัดหามิเตอร์และหม้อแปลงสำรองจ่ายแสดง</t>
  </si>
  <si>
    <t>รายละเอียดของอุปกรณ์ในแบบ งป.008</t>
  </si>
  <si>
    <t xml:space="preserve">   4. หมวดยานพาหนะ</t>
  </si>
  <si>
    <t>กรอกรายละเอียด ในแบบฟอร์ม งป.008</t>
  </si>
  <si>
    <t xml:space="preserve">   5. หมวดเครื่องมือเครื่องใช้ขนาดเล็ก</t>
  </si>
  <si>
    <t xml:space="preserve">   6. หมวดวิจัยและพัฒนา</t>
  </si>
  <si>
    <t>กรอกรายละเอียดครุภัณฑ์ตามแบบ งป.008</t>
  </si>
  <si>
    <t xml:space="preserve">   7. หมวดอื่น ๆ</t>
  </si>
  <si>
    <t xml:space="preserve"> 15.</t>
  </si>
  <si>
    <t>การประเมินระดับความเสี่ยงโดยระบุ</t>
  </si>
  <si>
    <t>ให้ระบุถึงปัจจัยหรือสาเหตุของความเสี่ยง เพื่อประเมินโอกาสที่จะเกิดความเสี่ยง</t>
  </si>
  <si>
    <t>ประเด็นความเสี่ยงและมิติความเสี่ยง</t>
  </si>
  <si>
    <t>(Likelihood:L) ระดับความรุนแรงของผลกระทบจากความเสี่ยง (Impact:I)</t>
  </si>
  <si>
    <t>(ที่มีความสอดคล้อง) และประเมินระดับ</t>
  </si>
  <si>
    <t>และจัดระดับความเสี่ยง (Risk Severity:LxI)</t>
  </si>
  <si>
    <t>ความเสี่ยงของแผนงาน</t>
  </si>
  <si>
    <t>แบบฟอร์ม</t>
  </si>
  <si>
    <t>ปีงบประมาณ ........2568.....................</t>
  </si>
  <si>
    <t>กลุ่มโครงสร้าง</t>
  </si>
  <si>
    <t>ชื่องาน แผนงานสนับสนุนการดำเนินงาน ระยะที่ 6</t>
  </si>
  <si>
    <t xml:space="preserve">หน่วยงาน สายงานวางแผนและวิศวกรรม           </t>
  </si>
  <si>
    <t>ซื้อที่ดิน</t>
  </si>
  <si>
    <t>ปรับปรุงที่ดิน</t>
  </si>
  <si>
    <t>ชื่อการไฟฟ้า</t>
  </si>
  <si>
    <t>จำนวนเงิน</t>
  </si>
  <si>
    <t>วัตถุประสงค์</t>
  </si>
  <si>
    <t>(ไร่)</t>
  </si>
  <si>
    <t>(บาท)</t>
  </si>
  <si>
    <t>เหตุผล</t>
  </si>
  <si>
    <r>
      <t>ม.</t>
    </r>
    <r>
      <rPr>
        <b/>
        <vertAlign val="superscript"/>
        <sz val="16"/>
        <rFont val="TH SarabunPSK"/>
        <family val="2"/>
      </rPr>
      <t>3</t>
    </r>
  </si>
  <si>
    <t>กฟส.อ.แม่สรวย จ.เชียงราย</t>
  </si>
  <si>
    <t>3 - 5</t>
  </si>
  <si>
    <t>ซื้อใหม่</t>
  </si>
  <si>
    <t>กฟส.ต.นางแล จ.เชียงราย</t>
  </si>
  <si>
    <t>กฟย.อ.ลับแล จ.อุตรดิตถ์</t>
  </si>
  <si>
    <t>กฟย.อ.บึงสามัคคี จ.กำแพงเพชร</t>
  </si>
  <si>
    <t>กฟย.อ.วังทรายพูน จ.พิจิตร</t>
  </si>
  <si>
    <t>กฟย.อ.ดงเจริญ จ.พิจิตร</t>
  </si>
  <si>
    <t>กฟจ.กำแพงเพชร</t>
  </si>
  <si>
    <t>0-0-88</t>
  </si>
  <si>
    <t>ซื้อขยายสำนักงานเดิม</t>
  </si>
  <si>
    <t>กฟย.ต.หัวหวาย จ.นครสวรรค์</t>
  </si>
  <si>
    <t>กฟย.อ.ห้วยคต จ.อุทัยธานี</t>
  </si>
  <si>
    <t>กฟย.อ.หนองมะโมง จ.ชัยนาท</t>
  </si>
  <si>
    <t>กฟย.อ.หนองขาหย่าง จ.อุทัยธานี</t>
  </si>
  <si>
    <t>กฟย.ต.พุเตย จ.เพชรบูรณ์</t>
  </si>
  <si>
    <t>กฟย.บ.หนองเบน จ.นครสวรรค์</t>
  </si>
  <si>
    <t>กฟย.อ.โกรกพระ จ.นครสวรรค์</t>
  </si>
  <si>
    <t>กฟย.อ.ชนบท จ.ขอนแก่น</t>
  </si>
  <si>
    <t>กฟย.อ.อุบลรัตน์ จ.ขอนแก่น</t>
  </si>
  <si>
    <t>กฟย.อ.ไชยวาน จ.อุดรธานี</t>
  </si>
  <si>
    <t>กฟย.อ.ทุ่งฝน จ.อุดรธานี</t>
  </si>
  <si>
    <t>กฟย.อ.หนองหิน จ.เลย</t>
  </si>
  <si>
    <t>กฟย.อ.ศรีวิไล จ.บึงกาฬ</t>
  </si>
  <si>
    <t>กฟย.อ.สุวรรณคูหา จ.หนองบัวลำภู</t>
  </si>
  <si>
    <t>กฟย.อ.พระยืน จ.ขอนแก่น</t>
  </si>
  <si>
    <t>กฟย.อ.บ้านแฮด จ.ขอนแก่น</t>
  </si>
  <si>
    <t>กฟย.อ.ศรีเมืองใหม่ จ.อุบลราชธานี</t>
  </si>
  <si>
    <t>กฟย.อ.ตาลสุม จ.อุบลราชธานี</t>
  </si>
  <si>
    <t>กฟย.อ.น้ำเกลี้ยง จ.ศรีสะเกษ</t>
  </si>
  <si>
    <t>กฟย.อ.เชียงขวัญ จ.ร้อยเอ็ด</t>
  </si>
  <si>
    <t>กฟย.อ.โพนทราย จ.ร้อยเอ็ด</t>
  </si>
  <si>
    <t>กฟย.อ.กุดรัง จ.มหาสารคาม</t>
  </si>
  <si>
    <t>กฟส.อ.สูงเนิน จ.นครราชสีมา</t>
  </si>
  <si>
    <t>กฟย.ต.กลางดง จ.นครราชสีมา</t>
  </si>
  <si>
    <t xml:space="preserve">กฟย.อ.ขามทะเลสอ จ.นครราชสีมา 3 </t>
  </si>
  <si>
    <t>กฟย.ต.ห้วยบง จ.นครราชสีมา</t>
  </si>
  <si>
    <t>กฟย.ต.คลองม่วง จ.นครราชสีมา</t>
  </si>
  <si>
    <t>กฟย.อ.เทพสถิต จ.ชัยภูมิ</t>
  </si>
  <si>
    <t>กฟย.อ.จอมพระ จ.สุรินทร์</t>
  </si>
  <si>
    <t>กฟย.อ.บัวเชด จ.สุรินทร์</t>
  </si>
  <si>
    <t>กฟย.อ.เทพารักษ์ จ.นครราชสีมา</t>
  </si>
  <si>
    <t>กฟย.อ.บางบาล จ.พระนครศรีอยุธยา</t>
  </si>
  <si>
    <t>กฟย.ต.ท่าตูม จ.ปราจีนบุรี</t>
  </si>
  <si>
    <t>กฟย.อ.บ้านหมอ จ.พระนครศรีอยุธยา</t>
  </si>
  <si>
    <t>กฟย.อ.เขาฉกรรจ์ จ.สระแก้ว</t>
  </si>
  <si>
    <t>กฟอ.ปลวกแดง จ.ระยอง</t>
  </si>
  <si>
    <t>5 - 10</t>
  </si>
  <si>
    <t>กฟอ.เดิมบางนางบวช จ.สุพรรณบุรี</t>
  </si>
  <si>
    <t>กฟย.ต.บางหลวง จ.นครปฐม</t>
  </si>
  <si>
    <t>กฟย.ต.มะขามล้ม จ.สุพรรณบุรี</t>
  </si>
  <si>
    <t>กฟจ.ประจวบคีรีขันธ์</t>
  </si>
  <si>
    <t>กฟส.อ.คีรีรัฐนิคม จ.สุราษฎร์ธานี</t>
  </si>
  <si>
    <t>กฟย.อ.พนม จ.สุราษฎร์ธานี</t>
  </si>
  <si>
    <t>กฟย.อ.ท่าฉาง จ.สุราษฎร์ธานี</t>
  </si>
  <si>
    <t>กฟย.อ.รัษฎา จ.ตรัง</t>
  </si>
  <si>
    <t>กฟย.อ.ป่าพะยอม จ.พัทลุง</t>
  </si>
  <si>
    <t>กฟย.อ.คลองหอยโข่ง จ.สงขลา</t>
  </si>
  <si>
    <t>กฟย.อ.กระแสสินธุ์ จ.สงขลา</t>
  </si>
  <si>
    <t xml:space="preserve">กฟย.อ.แว้ง จ.นราธิวาส </t>
  </si>
  <si>
    <t>กฟย.อ.มะนัง จ.สตูล</t>
  </si>
  <si>
    <t>รวมจำนวนเงินทั้งสิ้น</t>
  </si>
  <si>
    <t>งานโยธา</t>
  </si>
  <si>
    <t>ปีงบประมาณ ........2568........................</t>
  </si>
  <si>
    <t>ขนาด</t>
  </si>
  <si>
    <t xml:space="preserve"> กฟอ.หางดง จ.เชียงใหม่</t>
  </si>
  <si>
    <t xml:space="preserve"> ก่อสร้างอาคารสำนักงาน และสิ่งก่อสร้างประกอบอื่น ๆ</t>
  </si>
  <si>
    <t xml:space="preserve"> กฟอ.เทิง จ.เชียงราย</t>
  </si>
  <si>
    <t>กฟอ.สวรรคโลก จ.สุโขทัย</t>
  </si>
  <si>
    <t xml:space="preserve"> (ก่อสร้างที่คลังพัสดุ กฟอ.สวรรคโลก)</t>
  </si>
  <si>
    <t xml:space="preserve"> ก่อสร้างอาคารพักอาศัยรวม และสิ่งก่อสร้างประกอบอื่น ๆ</t>
  </si>
  <si>
    <t xml:space="preserve"> (ก่อสร้างที่สำนักงานเดิม)</t>
  </si>
  <si>
    <t>กฟส.อ.หนองม่วง จ.ลพบุรี</t>
  </si>
  <si>
    <t>กฟส.อ.บ้านหมี่ จ.ลพบุรี</t>
  </si>
  <si>
    <t>กฟส.อ.พล จ.ขอนแก่น</t>
  </si>
  <si>
    <t>ก่อสร้างอาคารสํานักงาน และสิ่งก่อสร้างประกอบอื่น ๆ</t>
  </si>
  <si>
    <t>กฟส.อ.กระนวน จ.ขอนแก่น</t>
  </si>
  <si>
    <t xml:space="preserve">กฟส.อ.อุทุมพรพิสัย จ.ศรีสะเกษ </t>
  </si>
  <si>
    <t>กฟย.อ.ดงหลวง จ.มุกดาหาร</t>
  </si>
  <si>
    <t xml:space="preserve">กฟย.อ.หนองบัวระเหว จ.ชัยภูมิ </t>
  </si>
  <si>
    <t xml:space="preserve">กฟส.อ.หนองบุญมาก จ.นครราชสีมา </t>
  </si>
  <si>
    <t xml:space="preserve"> กฟก.1</t>
  </si>
  <si>
    <t xml:space="preserve"> ก่อสร้างรั้ว และสิ่งก่อสร้างประกอบอื่น ๆ</t>
  </si>
  <si>
    <t xml:space="preserve"> กฟอ.บางปะอิน จ.พระนครศรีอยุธยา</t>
  </si>
  <si>
    <t xml:space="preserve"> กฟส.อ.บ้านนา จ.นครนายก</t>
  </si>
  <si>
    <t xml:space="preserve"> กฟส.อ.องครักษ์ จ.นครนายก</t>
  </si>
  <si>
    <t xml:space="preserve"> กฟฟ.เมืองพัทยา จ.ชลบุรี </t>
  </si>
  <si>
    <t xml:space="preserve"> กฟส.ต.บางน้ำจืด จ.สมุทรสาคร</t>
  </si>
  <si>
    <t xml:space="preserve"> กฟส.ต.ลาดหญ้า จ.กาญจนบุรี</t>
  </si>
  <si>
    <t xml:space="preserve"> ก่อสร้างโรงเก็บมิเตอร์ และสิ่งก่อสร้างประกอบอื่น ๆ</t>
  </si>
  <si>
    <t xml:space="preserve"> กฟจ.ชุมพร</t>
  </si>
  <si>
    <t xml:space="preserve"> กฟอ.หลังสวน จ.ชุมพร</t>
  </si>
  <si>
    <t xml:space="preserve"> กฟส.อ.บางแพ จ.ราชบุรี</t>
  </si>
  <si>
    <t xml:space="preserve"> กฟส.อ.ไชยา จ.สุราษฎร์ธานี</t>
  </si>
  <si>
    <t xml:space="preserve"> กฟอ.เกาะสมุย จ.สุราษฎร์ธานี</t>
  </si>
  <si>
    <t xml:space="preserve"> กฟส.อ.หนองจิก จ.ปัตตานี</t>
  </si>
  <si>
    <t xml:space="preserve"> กฟอ.หาดใหญ่ จ.สงขลา</t>
  </si>
  <si>
    <t>ผรค.เชียงใหม่</t>
  </si>
  <si>
    <t>ปรับปรุงโรงผลิตคอน และสิ่งก่อสร้างประกอบอื่น ๆ</t>
  </si>
  <si>
    <t>ผรค.มหาสารคาม</t>
  </si>
  <si>
    <t>ก่อสร้างโรงผลิตคอน และสิ่งก่อสร้างประกอบอื่น ๆ</t>
  </si>
  <si>
    <t>ผรค.กาญจนบุรี</t>
  </si>
  <si>
    <t>ก่อสร้างหลังคาคลุมแท่นผลิตภัณฑ์คอนกรีต และสิ่งก่อสร้างประกอบอื่น ๆ</t>
  </si>
  <si>
    <t>ผรค.นครศรีธรรมราช</t>
  </si>
  <si>
    <t>ก่อสร้างอาคารโรงผลิตคอน และสิ่งก่อสร้างประกอบอื่น ๆ</t>
  </si>
  <si>
    <t>ผรค.พระนครศรีอยุธยา</t>
  </si>
  <si>
    <t>ก่อสร้างอาคารทดสอบวัสดุ และสิ่งก่อสร้างประกอบอื่น ๆ</t>
  </si>
  <si>
    <t>ค่าสำรวจออกแบบและควบคุมงาน</t>
  </si>
  <si>
    <t>รายละเอียดค่าวัสดุอุปกรณ์ของงานระบบไฟฟ้า</t>
  </si>
  <si>
    <t>ปีงบประมาณ..........2568...................</t>
  </si>
  <si>
    <t>หน่วยงาน</t>
  </si>
  <si>
    <t>ราคา
ต่อหน่วย</t>
  </si>
  <si>
    <t>แหล่งที่มาของราคาที่ขอตั้งงบประมาณ</t>
  </si>
  <si>
    <t>วงเงินรวม
(บาท)</t>
  </si>
  <si>
    <t>ประมาณจ่าย</t>
  </si>
  <si>
    <t>คำชี้แจง</t>
  </si>
  <si>
    <t>ครั้งสุดท้ายเมื่อ
.................</t>
  </si>
  <si>
    <t>ท้องตลาด
เฉลี่ย 3 บริษัท</t>
  </si>
  <si>
    <t>อื่นๆ</t>
  </si>
  <si>
    <t>ปี 2569</t>
  </si>
  <si>
    <t>หมวด ยานพาหนะ</t>
  </si>
  <si>
    <t>รายละเอียดครุภัณฑ์ แผนจัดหายานพาหนะ</t>
  </si>
  <si>
    <t>ปีงบประมาณ..........2568.......................</t>
  </si>
  <si>
    <t>วงเงินรวม</t>
  </si>
  <si>
    <t>ปี 2570</t>
  </si>
  <si>
    <t>รวมเป็นวงเงินทั้งสิ้น</t>
  </si>
  <si>
    <r>
      <t xml:space="preserve">หมายเหตุ </t>
    </r>
    <r>
      <rPr>
        <u/>
        <sz val="16"/>
        <rFont val="TH SarabunPSK"/>
        <family val="2"/>
      </rPr>
      <t xml:space="preserve"> </t>
    </r>
  </si>
  <si>
    <t>1. หมวด ให้ระบุหมวดที่ขอตั้งงบประมาณ เช่น หมวดเครื่องจักรอุปกรณ์ ,หมวดยานพาหนะ</t>
  </si>
  <si>
    <t>2. กรณีจัดซื้อเครื่องมือเครื่องใช้ขนาดเล็ก ให้ระบุรายละเอียดครุภัณฑ์ เช่น ครุภัณฑ์สื่อสาร, ครุภัณฑ์โรงงานโรงซ่อม</t>
  </si>
  <si>
    <t>หมวดเครื่องมือ เครื่องใช้ขนาดเล็ก</t>
  </si>
  <si>
    <t>รายละเอียดครุภัณฑ์ จัดหาเครื่องมือเครื่องใช้</t>
  </si>
  <si>
    <t>จัดหาเครื่องมือเครื่องใช้เพิ่มเติมและทดแทน</t>
  </si>
  <si>
    <t>ที่ขอตั้งงบประมาณประจำปี 2568</t>
  </si>
  <si>
    <t>หน่วย : ล้านบาท(ทศนิยม 3 ตำแหน่ง)</t>
  </si>
  <si>
    <t>ขั้นตอนการดำเนินงาน</t>
  </si>
  <si>
    <t>วงเงิน</t>
  </si>
  <si>
    <t>กำหนดเวลาดำเนินการใช้เงิน</t>
  </si>
  <si>
    <t>ดำเนินการ</t>
  </si>
  <si>
    <t>ปี 2568 - ปีสิ้นสุดการเบิกจ่าย/แผนงาน</t>
  </si>
  <si>
    <t>ปี 25670</t>
  </si>
  <si>
    <t>ปี 25671</t>
  </si>
  <si>
    <t>ปี 25672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</si>
  <si>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</si>
  <si>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</si>
  <si>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</si>
  <si>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</si>
  <si>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</si>
  <si>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</si>
  <si>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</si>
  <si>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</si>
  <si>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</si>
  <si>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</si>
  <si>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</si>
  <si>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</si>
  <si>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อนุมัติหลักการ / อนุมัติสเปค</t>
  </si>
  <si>
    <t>การดำเนินการจัดซื้อจัดจ้าง</t>
  </si>
  <si>
    <t xml:space="preserve"> - จัดทำเอกสารประกวดราคา/สอบราคา</t>
  </si>
  <si>
    <t xml:space="preserve"> - ประกวดราคา /สอบราคา</t>
  </si>
  <si>
    <t xml:space="preserve"> - อนุมัติจัดซื้อ / จัดจ้าง</t>
  </si>
  <si>
    <t xml:space="preserve"> - ทำสัญญา</t>
  </si>
  <si>
    <t>ส่งของ / ดำเนินการก่อสร้าง</t>
  </si>
  <si>
    <t>ตรวจรับและทดสอบ</t>
  </si>
  <si>
    <t>เบิกจ่ายเงิน(ล้านบาท)</t>
  </si>
  <si>
    <t xml:space="preserve"> - หมวดที่ดิน</t>
  </si>
  <si>
    <t xml:space="preserve"> - หมวดสิ่งก่อสร้าง</t>
  </si>
  <si>
    <t xml:space="preserve"> - หมวดเครื่องมือเครื่องใช้</t>
  </si>
  <si>
    <t xml:space="preserve"> - หมวดยานพาหนะ</t>
  </si>
  <si>
    <t>(ระบุวงเงินแต่ละเดือนให้ชัดเจน)</t>
  </si>
  <si>
    <t>หมายเหตุ</t>
  </si>
  <si>
    <t>1. ให้แสดง Workflow สถานะการดำเนินงานตามขั้นตอนต่าง ๆ เป็นรายเดือนตั้งแต่ปีที่ตั้งงบประมาณจนสิ้นสุดแผนงาน</t>
  </si>
  <si>
    <t>2. การประมาณเบิกจ่ายรายเดือน แยกรายละเอียด การจัดซื้ออุปกรณ์, ค่าใช้จ่ายหน้างาน, ค่าจ้างเหมาก่อสร้าง สำหรับสำรองค่าปรับราคา ไม่ต้องประมาณจ่าย</t>
  </si>
  <si>
    <t>3. สำหรับแผนงานที่ได้รับอนุมัติแล้ว ให้แสดง work flow ตั้งแต่เริ่มแผนจนสิ้นสุดแผนงงาน</t>
  </si>
  <si>
    <t>แผนการลงทุนรายปี (การลงทุนเพื่อการดำเนินงานปกติ)</t>
  </si>
  <si>
    <t>กลุ่มโครงสร้าง..............................................</t>
  </si>
  <si>
    <t>วงเงินลงทุน</t>
  </si>
  <si>
    <t>ปีที่เริ่มต้น-ถึงปี 2566</t>
  </si>
  <si>
    <t>ปี 2567</t>
  </si>
  <si>
    <t>ปี 2571</t>
  </si>
  <si>
    <t>ปี 2572-สิ้นสุดแผนงาน</t>
  </si>
  <si>
    <t>1. หมวดที่ดิน</t>
  </si>
  <si>
    <t xml:space="preserve">   งานโยธา</t>
  </si>
  <si>
    <t xml:space="preserve"> - ค่าวัสดุอุปกรณ์</t>
  </si>
  <si>
    <t>3. หมวดเครื่องจักรอุปกรณ์</t>
  </si>
  <si>
    <t>4. หมวดยานพาหนะ</t>
  </si>
  <si>
    <t>5. หมวดเครื่องมือเครื่องใช้ขนาดเล็ก</t>
  </si>
  <si>
    <t xml:space="preserve">6. หมวดวิจัยและพัฒนา </t>
  </si>
  <si>
    <t xml:space="preserve">7. หมวดอื่น ๆ </t>
  </si>
  <si>
    <t>สำรองค่าปรับราคา(กรณีแผนระยะยาว)</t>
  </si>
  <si>
    <t xml:space="preserve">หมายเหตุ* </t>
  </si>
  <si>
    <t xml:space="preserve">1. วงเงินลงทุนรวมต้องเท่ากับวงเงินเต็มแผนงาน </t>
  </si>
  <si>
    <t>2. สำรองค่าปรับราคา เป็นการตั้งวงเงินสำหรับสมทบการจัดซื้อ จัดจ้าง/จ้างเหมา กรณีเป็นแผนงานใหม่ จะเริ่มตั้งสำรองราคาปี 2569 จนสิ้นสุดแผน</t>
  </si>
  <si>
    <t>วงเงินเต็ม
แผนงาน</t>
  </si>
  <si>
    <t>อนุมัติถึง 
ปี 2568</t>
  </si>
  <si>
    <t>จ่ายจริงถึง 
ปี 2570</t>
  </si>
  <si>
    <t>งบประมาณ</t>
  </si>
  <si>
    <t>ผูกพัน</t>
  </si>
  <si>
    <t>ลงทุน</t>
  </si>
  <si>
    <t>งานระบบไฟฟ้า</t>
  </si>
  <si>
    <t xml:space="preserve"> - ค่าสำรวจออกแบบและควบคุม</t>
  </si>
  <si>
    <t xml:space="preserve"> - ค่าเบ็ดเตล็ต</t>
  </si>
  <si>
    <t xml:space="preserve"> - อื่น ๆ</t>
  </si>
  <si>
    <t>3. หมวดเครื่องอุปกรณ์ไฟฟ้า</t>
  </si>
  <si>
    <t>6. หมวดวิจัยและพัฒนา</t>
  </si>
  <si>
    <t>7. หมวดอื่น ๆ</t>
  </si>
  <si>
    <t>สำรองค่าปรับราคา</t>
  </si>
  <si>
    <t>แบบ งป. 010/3</t>
  </si>
  <si>
    <t>หน่วยงาน...................................................................</t>
  </si>
  <si>
    <t>งาน/แผนงาน.............................................................</t>
  </si>
  <si>
    <t>ชุด (ผูกพัน+ลงทุน)</t>
  </si>
  <si>
    <t>หน่วย: ล้านบาท</t>
  </si>
  <si>
    <t>ลำดับ
ที่</t>
  </si>
  <si>
    <t>ศูนย์การไฟฟ้า</t>
  </si>
  <si>
    <t>ประมาณจ่ายปี 2568</t>
  </si>
  <si>
    <t xml:space="preserve">การไฟฟ้าภาค 1 </t>
  </si>
  <si>
    <t>การไฟฟ้าภาค 2</t>
  </si>
  <si>
    <t>การไฟฟ้าภาค 3</t>
  </si>
  <si>
    <t xml:space="preserve">การไฟฟ้าภาค 4 </t>
  </si>
  <si>
    <t xml:space="preserve">  สำนักงานใหญ่</t>
  </si>
  <si>
    <r>
      <rPr>
        <b/>
        <u/>
        <sz val="14"/>
        <rFont val="TH SarabunPSK"/>
        <family val="2"/>
      </rPr>
      <t>หมายเหตุ</t>
    </r>
    <r>
      <rPr>
        <sz val="14"/>
        <rFont val="TH SarabunPSK"/>
        <family val="2"/>
      </rPr>
      <t xml:space="preserve">      - ดำเนินการภายหลังจากได้รับอนุมัติงบประมาณประจำปีจากคณะกรรมการ กฟภ. แล้ว</t>
    </r>
  </si>
  <si>
    <t xml:space="preserve">                   - ประมาณจ่ายแบ่งตามพื้นที่ดำเนินการ (ภาค 1-4 , สำนักงานใหญ่)</t>
  </si>
  <si>
    <t>ประมาณการวัสดุอุปกรณ์นำเข้าจากต่างประเทศ (Import Content)</t>
  </si>
  <si>
    <t>ประจำปี .......2568...............</t>
  </si>
  <si>
    <t xml:space="preserve">หน่วยงาน           </t>
  </si>
  <si>
    <t>ปีเริ่มต้น - 
ปี 2565</t>
  </si>
  <si>
    <t>ปี 2566</t>
  </si>
  <si>
    <t>ปี 2570 - 
ปีสิ้นสุด</t>
  </si>
  <si>
    <t>ประมาณการเบิกจ่ายรายเดือน</t>
  </si>
  <si>
    <t>ทางตรง</t>
  </si>
  <si>
    <t>ทางอ้อม</t>
  </si>
  <si>
    <t>หมายถึง การจัดซื้อจัดหาผ่านตัวแทนจำหน่าย</t>
  </si>
  <si>
    <t>หรือผ่านผู้รับเหมา</t>
  </si>
  <si>
    <r>
      <t>หมายเหตุ</t>
    </r>
    <r>
      <rPr>
        <u/>
        <sz val="14"/>
        <rFont val="TH SarabunPSK"/>
        <family val="2"/>
      </rPr>
      <t xml:space="preserve">  </t>
    </r>
  </si>
  <si>
    <t>วัสดุอุปกรณ์นำเข้าจากต่างประเทศ (Import Content) หมายถึง การใช้หรือการนำเข้าพัสดุที่ผลิตสำเร็จรูปแล้วจากต่างประเทศ</t>
  </si>
  <si>
    <t>ไม่ว่าจะนำเข้าโดยคู่สัญญาหรือบุคคลอื่นใด</t>
  </si>
  <si>
    <t>จ่ายจริงถึง 
ปี 2567</t>
  </si>
  <si>
    <t>ปี 2572</t>
  </si>
  <si>
    <t>ปี 2573</t>
  </si>
  <si>
    <t>แผนสนับสนุนการดำเนินงาน ระยะที่ 6 (ปี 2568 - 2570)</t>
  </si>
  <si>
    <t>วงเงินรวม (ล้านบาท)</t>
  </si>
  <si>
    <t>วงเงินดำเนินการ (ล้านบาท)</t>
  </si>
  <si>
    <t>วงเงินคาดจ่าย (ล้านบาท)</t>
  </si>
  <si>
    <t>(รายการ)</t>
  </si>
  <si>
    <t xml:space="preserve">    ค่าสำรววจ-ควบคุมงาน 3%</t>
  </si>
  <si>
    <t>3. หมวดเครื่องมือ-เครื่องใช้</t>
  </si>
  <si>
    <t>รวม 4 หมวด</t>
  </si>
  <si>
    <t>สำรองราคา</t>
  </si>
  <si>
    <t>ราคาแก้ไข จาก กอย. 11 พ.ย. 2563</t>
  </si>
  <si>
    <t xml:space="preserve">                                                                                                                                                                                                     </t>
  </si>
  <si>
    <t>เพิ่มอาคารอเนกประสงค์</t>
  </si>
  <si>
    <t>จัดทำโดย กจก.</t>
  </si>
  <si>
    <t>วันที่ 16 พฤศจิกายน 2566</t>
  </si>
  <si>
    <t>รายละเอียดด้านจัดหาที่ดินที่เสนอจัดตั้ง</t>
  </si>
  <si>
    <t>แผนงานสนับสนุนการดำเนินงาน ระยะที่ 6 ปีงบประมาณ 2568</t>
  </si>
  <si>
    <t>บัญชีรายการสิ่งก่อสร้างที่ผ่านหลักเกณฑ์การพิจารณาขั้นต้น</t>
  </si>
  <si>
    <t>จำนวน 56 รายการ</t>
  </si>
  <si>
    <t>สถานที่</t>
  </si>
  <si>
    <t>ขนาดที่ดิน</t>
  </si>
  <si>
    <r>
      <t xml:space="preserve">โดยประมาณ </t>
    </r>
    <r>
      <rPr>
        <sz val="16"/>
        <rFont val="TH SarabunPSK"/>
        <family val="2"/>
      </rPr>
      <t>(ไร่)</t>
    </r>
  </si>
  <si>
    <t>(ล้านบาท)</t>
  </si>
  <si>
    <t>กฟน.1</t>
  </si>
  <si>
    <t>กฟน.2</t>
  </si>
  <si>
    <t>กฟน.3</t>
  </si>
  <si>
    <t>กฟฉ.1</t>
  </si>
  <si>
    <t>กฟฉ.2</t>
  </si>
  <si>
    <t>กฟฉ.3</t>
  </si>
  <si>
    <t>กฟก.1</t>
  </si>
  <si>
    <t>กฟก.2</t>
  </si>
  <si>
    <t>กฟก.3</t>
  </si>
  <si>
    <t>กฟต.1</t>
  </si>
  <si>
    <t>กฟต.2</t>
  </si>
  <si>
    <t>กฟต.3</t>
  </si>
  <si>
    <t>รายละเอียดด้านสิ่งก่อสร้างที่เสนอจัดตั้ง</t>
  </si>
  <si>
    <t>จำนวน 31 รายการ</t>
  </si>
  <si>
    <t>รายการก่อสร้าง</t>
  </si>
  <si>
    <r>
      <t xml:space="preserve">วงเงิน </t>
    </r>
    <r>
      <rPr>
        <sz val="30"/>
        <rFont val="TH SarabunPSK"/>
        <family val="2"/>
      </rPr>
      <t>(ล้านบาท)</t>
    </r>
  </si>
  <si>
    <t>ฝกร.</t>
  </si>
  <si>
    <t xml:space="preserve">รวมเป็นเงินทั้งสิ้น  </t>
  </si>
  <si>
    <t>แผนงานสนับสนุนการดำเนินงานระยะที่ 6 ปี 2568-2570 (แผนงาน 3 ปี)</t>
  </si>
  <si>
    <t>รายละเอียดเครื่องมือเครื่องใช้ สำหรับหน่วยงานส่วนกลาง (จำนวน 13 กอง) ของปี 2568</t>
  </si>
  <si>
    <t>ราคา
ต่อหน่วย
 (บาท)</t>
  </si>
  <si>
    <t>จำนวนเครื่องมือ-เครื่องใช้</t>
  </si>
  <si>
    <t>วงเงินงบประมาณ</t>
  </si>
  <si>
    <t>สรุปวงเงินทั้งสิ้น</t>
  </si>
  <si>
    <t>กกฟ.1</t>
  </si>
  <si>
    <t>กกฟ.2</t>
  </si>
  <si>
    <t>กผภ.</t>
  </si>
  <si>
    <t>กกส.</t>
  </si>
  <si>
    <t>กทอ.</t>
  </si>
  <si>
    <t>กบร.</t>
  </si>
  <si>
    <t>กบม.</t>
  </si>
  <si>
    <t>กบส.</t>
  </si>
  <si>
    <t>กปค.</t>
  </si>
  <si>
    <t>กทข.</t>
  </si>
  <si>
    <t>กมต.</t>
  </si>
  <si>
    <t>กฝช.</t>
  </si>
  <si>
    <t>กทฟ.</t>
  </si>
  <si>
    <t>เพิ่มเติม</t>
  </si>
  <si>
    <t>ทดแทน</t>
  </si>
  <si>
    <t>กลุ่มงานบำรุงรักษาสถานีไฟฟ้า</t>
  </si>
  <si>
    <t>ชุดเครื่องมือสำหรับงานบำรุงรักษาระบบ SCPS (จำนวน 3 รายการ)</t>
  </si>
  <si>
    <t xml:space="preserve">ชุดมิเตอร์วัดไฟสำหรับงานบำรุงรักษาสถานีไฟฟ้า (จำนวน 3 รายการ) </t>
  </si>
  <si>
    <t>ชุดเครื่องมือสำหรับงานตรวจสอบ Switchgear 22, 33 kV เบื้องต้น (จำนวน 8 รายการ)</t>
  </si>
  <si>
    <t>ชุดเครื่องมือสำหรับงานทดสอบ Circuit Breaker (จำนวน 6 รายการ)</t>
  </si>
  <si>
    <t>ชุดเครื่องมือสำหรับงานบำรุงรักษาระบบ CSCS (จำนวน 8 รายการ)</t>
  </si>
  <si>
    <t>Multifunction Installation Tester</t>
  </si>
  <si>
    <t>เครื่องมือวัดความถ่วงจำเพาะของแบตเตอรี่ แบบดิจิทัล</t>
  </si>
  <si>
    <t>เครื่องมือช่างสำหรับงานบำรุงรักษาระบบควบคุมในสถานีไฟฟ้า</t>
  </si>
  <si>
    <t>กล้องถ่ายภาพความร้อน ความละเอียด 160x120 Pixels (Thermal Imaging Camera)</t>
  </si>
  <si>
    <t>เครื่องวัดกระแสไฟฟ้ารั่วไหล (Leakage Current)</t>
  </si>
  <si>
    <t>เครื่องวัดความต้านทานฉนวน ขนาด 5 kV DC (Insulation Resistance Tester)</t>
  </si>
  <si>
    <t>Digital Power Meter 1, 3 Phase</t>
  </si>
  <si>
    <t>เครื่องทดสอบแบตแตอรี่ (Battery Analyzer)</t>
  </si>
  <si>
    <t>เครื่องทดสอบคุณภาพสาย Fiber</t>
  </si>
  <si>
    <t>เครื่องทดสอบคุณภาพสาย LAN</t>
  </si>
  <si>
    <t xml:space="preserve">เครื่องวัดความต้านทานดิน ชนิด 4 แท่ง แบบดิจิทัล (Earth Resistance Tester) </t>
  </si>
  <si>
    <t>Primary Current Injection Test Set</t>
  </si>
  <si>
    <t>เครื่องตรวจสอบแก๊สในที่อับอากาศ (Multi Gas Detector)</t>
  </si>
  <si>
    <t>Protocol Analyzer Test Set</t>
  </si>
  <si>
    <t xml:space="preserve">เครื่องวัดความต้านทานฉนวน ขนาด 15 kV DC (Insulation Resistance Tester) </t>
  </si>
  <si>
    <t>เครื่องวัดความต้านทานดิน แบบมัลติฟังก์ชั่น (Universal Earth Resistance Tester)</t>
  </si>
  <si>
    <t>เครื่องวัดความต้านทานหน้าสัมผัส ขนาด 200 A (Micro-Ohm Meter)</t>
  </si>
  <si>
    <t>AC High Voltage Test Set</t>
  </si>
  <si>
    <t>Power Quality Analyzer (PQ Meter)</t>
  </si>
  <si>
    <t>Portable Vacuum Interrupter Tester 60 kV DC</t>
  </si>
  <si>
    <t>Capacitance Test Set</t>
  </si>
  <si>
    <t>เครื่องมือทดสอบน้ำมันหม้อแปลงชนิดเคลื่อนที่ได้ ขนาด 0-100 kV แบบ Fully-Auto (Portable Oil Tester)</t>
  </si>
  <si>
    <t>เครื่องวัดอัตราส่วนขดลวดของหม้อแปลง ชนิด 3 Phase (Transformer Turns Ratio Tester)</t>
  </si>
  <si>
    <t>Relay And Substation Test System</t>
  </si>
  <si>
    <t>Fiber Optic Power Meters and Fault Locators Test Set</t>
  </si>
  <si>
    <t>Internal Impedance Battery Tester</t>
  </si>
  <si>
    <t xml:space="preserve">ชุดทดสอบอุปกรณ์รีเลย์ แบบอเนกประสงค์ ชนิด 1 Phase (Universal Relay Test Set) </t>
  </si>
  <si>
    <r>
      <t>เครื่องเติมแก๊ส SF</t>
    </r>
    <r>
      <rPr>
        <b/>
        <vertAlign val="subscript"/>
        <sz val="12"/>
        <rFont val="TH SarabunPSK"/>
        <family val="2"/>
      </rPr>
      <t>6</t>
    </r>
    <r>
      <rPr>
        <b/>
        <sz val="12"/>
        <rFont val="TH SarabunPSK"/>
        <family val="2"/>
      </rPr>
      <t xml:space="preserve"> พร้อมดูดอากาศ</t>
    </r>
  </si>
  <si>
    <t>กล้องถ่ายภาพความร้อน ความละเอียด 640x480 Pixels (Thermal Imaging Camera)</t>
  </si>
  <si>
    <t>Current Transformer Analyzer</t>
  </si>
  <si>
    <t>Protocol Analyzer for IEC 61850 Standard</t>
  </si>
  <si>
    <r>
      <t>เครื่องตรวจวัดการรั่วไหลของก๊าซ SF</t>
    </r>
    <r>
      <rPr>
        <b/>
        <vertAlign val="subscript"/>
        <sz val="12"/>
        <rFont val="TH SarabunPSK"/>
        <family val="2"/>
      </rPr>
      <t>6</t>
    </r>
    <r>
      <rPr>
        <b/>
        <sz val="12"/>
        <rFont val="TH SarabunPSK"/>
        <family val="2"/>
      </rPr>
      <t xml:space="preserve"> ด้วยระบบ Negative ion Capture (High Sensitive SF</t>
    </r>
    <r>
      <rPr>
        <b/>
        <vertAlign val="subscript"/>
        <sz val="12"/>
        <rFont val="TH SarabunPSK"/>
        <family val="2"/>
      </rPr>
      <t>6</t>
    </r>
    <r>
      <rPr>
        <b/>
        <sz val="12"/>
        <rFont val="TH SarabunPSK"/>
        <family val="2"/>
      </rPr>
      <t xml:space="preserve"> Leak Detection with a Non-Radioactive Source)</t>
    </r>
  </si>
  <si>
    <t>Voltage Transformer Analyzer</t>
  </si>
  <si>
    <t>เครื่องทดสอบเซอร์กิตเบรกเกอร์ (Circuit Breaker Analyzer) [Resolution Range 10 sec @0.1 ms]</t>
  </si>
  <si>
    <t xml:space="preserve">ชุดทดสอบอุปกรณ์รีเลย์ แบบอเนกประสงค์ ชนิด 3 Phase (Universal Relay Test Set) </t>
  </si>
  <si>
    <t>เครื่องวัดและวิเคราะห์สัญญาณไฟฟ้า (Hybrid Signal Analyzer)</t>
  </si>
  <si>
    <t xml:space="preserve">Multifunction Primary Test System </t>
  </si>
  <si>
    <t xml:space="preserve">Multifunction Primary Test System with Tangent Delta </t>
  </si>
  <si>
    <t>Transformer Analyzer</t>
  </si>
  <si>
    <t>รวมกลุ่มที่ 2 กลุ่มงานบำรุงรักษาสถานีไฟฟ้า [จำนวน 44 รายการ]</t>
  </si>
  <si>
    <t>กลุ่มงานบำรุงรักษาระบบไฟฟ้า</t>
  </si>
  <si>
    <t>ชุดเครื่องมือสำหรับงานตรวจสอบระบบไฟฟ้า (Patrol) [สำหรับ กฟฟ.จุดรวมงาน และ กฟฟ.สาขา] (จำนวน 4 รายการ)</t>
  </si>
  <si>
    <t>ชุดเครื่องมือสำหรับงานเชื่อมและซ่อมแซมก๊าซรั่วของ RCS [สำหรับโรงซ่อม] (จำนวน 8 รายการ)</t>
  </si>
  <si>
    <t>ชุดเครื่องมือสำหรับงานบำรุงรักษาอุปกรณ์ Field Device ของ FRTU (จำนวน 9 รายการ)</t>
  </si>
  <si>
    <t>ชุดเครื่องมือสำหรับงานบำรุงรักษาเคเบิลใต้ดิน 115 kV (จำนวน 19 รายการ)</t>
  </si>
  <si>
    <t>ชุดเครื่องมือสำหรับงานก่อสร้างเคเบิลใต้ดิน 115 kV [งานไฟฟ้า] (จำนวน 34 รายการ)</t>
  </si>
  <si>
    <t xml:space="preserve">Simmulator Box Test </t>
  </si>
  <si>
    <t>เครื่องกำเนิดไฟฟ้า ชนิดดีเซล 1 Phase 10 kW</t>
  </si>
  <si>
    <t xml:space="preserve">เครื่องวัดความต้านทานหน้าสัมผัส ขนาด 10 A แบบพกพา (Micro-Ohm Meter) </t>
  </si>
  <si>
    <t xml:space="preserve">อากาศยานไร้คนขับติดกล้อง/กล้องถ่ายภาพความร้อนขนาดเล็ก (Drone with Thermal Imaging Camera Type I) </t>
  </si>
  <si>
    <t xml:space="preserve">เครื่องอบสายเคเบิล 115 kV 3 Phase ชนิด Silicone ความยาวไม่น้อยกว่า 2 เมตร พร้อม Thermostat </t>
  </si>
  <si>
    <t>เครื่องวัดความต้านทานฉนวน ขนาด 15 kV DC (Insulation Resistance Tester)</t>
  </si>
  <si>
    <t>Special Tools Compression Termination Plug-in Type Size 2 and Size 3, 3S</t>
  </si>
  <si>
    <t>เครื่องมือบีบหลอดต่อสาย ขนาด 240-625 sq.mm. (Power-Operated Hydraulic Compression Tools)</t>
  </si>
  <si>
    <t>เครื่องวัดความต้านทานหน้าสัมผัส 200 A แบบมือถือ (Handheld Micro-Ohm Meter)</t>
  </si>
  <si>
    <t>เครื่องค้นหาแนวสายไฟและท่อ (Cable &amp; Pipe Locator)</t>
  </si>
  <si>
    <t>เครื่องวัดความต้านทานหน้าสัมผัส แบบฮอทไลน์ (Micro-Ohm Meter Tester)</t>
  </si>
  <si>
    <t>เครื่องมือเสริมสำหรับตรวจสอบระบบไฟฟ้าและระบบโซล่าเซลล์ด้วยอากาศยานไร้คนขับ</t>
  </si>
  <si>
    <t>อุปกรณ์สำหรับตรวจวัดระยะและความสูงสำหรับจัดทำภาพ 3 มิติ (LiDAR) ด้วยอากาศยานไร้คนขับ</t>
  </si>
  <si>
    <t xml:space="preserve">อากาศยานไร้คนขับติดกล้อง/กล้องถ่ายภาพความร้อนขนาดกลาง (Drone with Thermal Imaging Camera Type II) </t>
  </si>
  <si>
    <t>กล้องถ่ายภาพความร้อน ความละเอียด 320x240 Pixels (Thermal Imaging Camera)</t>
  </si>
  <si>
    <t>อากาศยานไร้คนขับขนาดใหญ่ (Drone Type III)</t>
  </si>
  <si>
    <t>เครื่องตรวจหาตำแหน่งฟอลต์ (TDR)</t>
  </si>
  <si>
    <t>Sheath Fault Location System 10 kV DC</t>
  </si>
  <si>
    <t>Acoustic Sound Imaging for Ultrasound</t>
  </si>
  <si>
    <t>PD Locator, Electromagnetic Emission</t>
  </si>
  <si>
    <t>Cable Pulling Machine with Dynamometer</t>
  </si>
  <si>
    <t>Simmulator Box Test for Recloser</t>
  </si>
  <si>
    <t>เครื่องมือทดสอบสถานีชาร์จ EV แบบ DC &amp; AC</t>
  </si>
  <si>
    <t>ชุดทดสอบรีโคลสเซอร์ แบบอเนกประสงค์ สำหรับงานภาคสนาม (Universal Recloser Test Set for Outdoor Usage)</t>
  </si>
  <si>
    <t>เครื่องทดสอบความเป็นฉนวนสายเคเบิล ขนาด 60 kV RMS (VLF with Tan Delta)</t>
  </si>
  <si>
    <t>Corona Viewer</t>
  </si>
  <si>
    <t>OWTS 28 kV with Test Van</t>
  </si>
  <si>
    <t xml:space="preserve">OWTS 60 kV with Test Van </t>
  </si>
  <si>
    <t>รวมกลุ่มที่ 3 กลุ่มงานบำรุงรักษาระบบไฟฟ้า [จำนวน 38 รายการ]</t>
  </si>
  <si>
    <t>กลุ่มงานก่อสร้างและทดสอบในสถานีไฟฟ้าและระบบไฟฟ้า</t>
  </si>
  <si>
    <t>ชุดเครื่องมือสำหรับงานเดินสายในสถานีไฟฟ้า (จำนวน 2 รายการ)</t>
  </si>
  <si>
    <t>ชุดเครื่องมือวัดสำหรับงานติดตั้งหม้อแปลงไฟฟ้ากำลัง (จำนวน 3 รายการ)</t>
  </si>
  <si>
    <t>ชุดเครื่องมือสำหรับงานติดตั้งหม้อแปลงไฟฟ้ากำลัง (จำนวน 6 รายการ)</t>
  </si>
  <si>
    <t>ชุดเครื่องมือสำหรับงานก่อสร้างสายส่ง 115 kV แบบเหล็กฐานหล่อเสา (จำนวน 2 รายการ)</t>
  </si>
  <si>
    <t>ชุดเครื่องมือสำหรับงานติดตั้งอุปกรณ์ในสถานีไฟฟ้า (จำนวน 4 รายการ)</t>
  </si>
  <si>
    <t>ชุดเครื่องมือสำหรับงานก่อสร้างและทดสอบสถานีไฟฟ้า (จำนวน 25 รายการ)</t>
  </si>
  <si>
    <t>ชุดเครื่องมือสำหรับงานก่อสร้างระบบจำหน่าย 22, 33 kV (จำนวน 15 รายการ)</t>
  </si>
  <si>
    <t>ชุดเครื่องมือสำหรับงานก่อสร้างสายส่ง 115 kV [งานโยธา] (จำนวน 21 รายการ)</t>
  </si>
  <si>
    <t>ชุดเครื่องมือสำหรับงานก่อสร้างสายส่ง 115 kV [งานไฟฟ้า] (จำนวน 24 รายการ)</t>
  </si>
  <si>
    <t>ชุดสว่านแม่เหล็ก</t>
  </si>
  <si>
    <t>เครื่องกระแทรกคอนกรีต ชนิดใช้ไฟฟ้า</t>
  </si>
  <si>
    <t>อากาศยานไร้คนขับพร้อมกล้องถ่ายภาพ สำหรับตรวจสอบมาตรฐานระบบไฟฟ้า (Drone with Optical Zoom Camera)</t>
  </si>
  <si>
    <t>เครื่องมือต่อสายลงดินแรงสูงระบบ 115 kV</t>
  </si>
  <si>
    <t>เครื่องมือบีบหลอดต่อสาย (Hydraulic Compression Tools)</t>
  </si>
  <si>
    <t>เครื่องอบสายเคเบิล 115 kV 3 Phase ชนิด Silicone ความยาวไม่น้อยกว่า 2 เมตร พร้อม Thermostat</t>
  </si>
  <si>
    <t>เครื่องมือบีบหลอดต่อสาย ขนาด 240-500 sq.mm. (Battery-Operated Hydraulic Compression Tools)</t>
  </si>
  <si>
    <t>เครื่องมือสำหรับงานเติมแก๊ส</t>
  </si>
  <si>
    <t>เครื่องอบสายเคเบิลใต้ดิน ขนาด 800 ตร.มม.</t>
  </si>
  <si>
    <t>เครื่องมือเติมอากาศแห้ง (Dry Air Unit)</t>
  </si>
  <si>
    <t>เครื่องมือกว้านลากสาย ขนาดไม่น้อยกว่า 4 ตัน ขับเคลื่อนด้วยเครื่องยนต์</t>
  </si>
  <si>
    <t>Cable Peeling and Stripping Tools</t>
  </si>
  <si>
    <t>เครื่องปั๊มลม พร้อมหัวกระแทกคอนกรีต (Air Man, Air Hammer)</t>
  </si>
  <si>
    <t>Three Phase Relay and Substation Test System</t>
  </si>
  <si>
    <r>
      <t>SF</t>
    </r>
    <r>
      <rPr>
        <b/>
        <vertAlign val="subscript"/>
        <sz val="12"/>
        <rFont val="TH SarabunPSK"/>
        <family val="2"/>
      </rPr>
      <t>6</t>
    </r>
    <r>
      <rPr>
        <b/>
        <sz val="12"/>
        <rFont val="TH SarabunPSK"/>
        <family val="2"/>
      </rPr>
      <t xml:space="preserve"> Multifunction Analyzer</t>
    </r>
  </si>
  <si>
    <t>เครื่องทดสอบเซอร์กิตเบรกเกอร์ (Circuit Breaker Analyzer)</t>
  </si>
  <si>
    <t xml:space="preserve">Horizontal Directional Drilling System D36x50 สำหรับดึงท่อ 8-160 มม. HDPE ระยะไม่ต่ำกว่า 150 เมตร </t>
  </si>
  <si>
    <t>รวมกลุ่มที่ 4 กลุ่มงานก่อสร้างและทดสอบในสถานีไฟฟ้าและระบบไฟฟ้า [จำนวน 38 รายการ]</t>
  </si>
  <si>
    <t>กลุ่มงานทดสอบและตรวจสอบมาตรฐาน</t>
  </si>
  <si>
    <t>Three-Point Internal Micrometer Set</t>
  </si>
  <si>
    <t>Guage มาตรฐาน สำหรับทดสอบอุปกรณ์ (Ball &amp; Socket Guage)</t>
  </si>
  <si>
    <t>Macroevtest Multifunction EVSE and Electrical</t>
  </si>
  <si>
    <t>เครื่องทดสอบแป้นรองมิเตอร์</t>
  </si>
  <si>
    <t>MechanicalL Strength Tester (For Operation Test Dropout Fuse Cutout)</t>
  </si>
  <si>
    <t xml:space="preserve">Brinell Hardness Tester </t>
  </si>
  <si>
    <t>ชุดเครื่องมือบีบหลอดต่อสายและคอนเนคเตอร์</t>
  </si>
  <si>
    <t>IPC Test Set</t>
  </si>
  <si>
    <t>Certified Reference Materials (CRM)</t>
  </si>
  <si>
    <t>Solar PV Tester</t>
  </si>
  <si>
    <t>Guage มาตรฐาน สำหรับทดสอบอุปกรณ์ (Ball &amp; Socket Guage) ของ Insulator</t>
  </si>
  <si>
    <t>Porosity Tester</t>
  </si>
  <si>
    <t>เครื่องทดสอบวัสดุอเนกประสงค์ (Universal Testing Machine) แบบแนวตั้ง 5 kN</t>
  </si>
  <si>
    <t>Digital Oscilloscope</t>
  </si>
  <si>
    <t>เครื่องทดสอบวัสดุอเนกประสงค์ (Universal Testing Machine) แบบแนวตั้ง 200 kN</t>
  </si>
  <si>
    <t>Fourier Transform Infrared Spectroscopy (FTIR)</t>
  </si>
  <si>
    <t>Mini Charger Tester</t>
  </si>
  <si>
    <t>Glow Wire Tester</t>
  </si>
  <si>
    <t>Spectroradiometer (ชุดทดสอบโคมไฟ)</t>
  </si>
  <si>
    <t>เครื่องทดสอบแรงดึงแนวนอน (Horizontal Testing Machine) 500 kN</t>
  </si>
  <si>
    <t>Modular Three-Phase Portable Test System</t>
  </si>
  <si>
    <t>เครื่องมือวัดประวิมธิภาพอินเวอเอตร์ของระบบผลิตไฟฟ้าพลังงานแสงอาทิตย์</t>
  </si>
  <si>
    <t>Portable Test System Emobility for AC and DC Charging Stations (Mesurement Accuracy)</t>
  </si>
  <si>
    <t>Partial Discharge Test System</t>
  </si>
  <si>
    <t>CT Accuracy</t>
  </si>
  <si>
    <t>Recloser Test Set</t>
  </si>
  <si>
    <t>Regenerative Battery Pack Test System</t>
  </si>
  <si>
    <t>Capacitor Test System</t>
  </si>
  <si>
    <t>Single Phase Meter Test Station</t>
  </si>
  <si>
    <t>Three Phase Meter Test Station</t>
  </si>
  <si>
    <t>Power Frequency Voltage Withstand Test Set and Partial Discharge Measurement Set</t>
  </si>
  <si>
    <t>Impulse Current 400 kV 40 kJ</t>
  </si>
  <si>
    <t>HV Voltage Test Transformer 300 kV</t>
  </si>
  <si>
    <t xml:space="preserve">Automatic Instrument Tranformer Test Set </t>
  </si>
  <si>
    <t>รวมกลุ่มที่ 5 กลุ่มงานทดสอบและตรวจสอบมาตรฐาน [จำนวน 34 รายการ]</t>
  </si>
  <si>
    <t>กลุ่มงานมิเตอร์และหม้อแปลง</t>
  </si>
  <si>
    <t>ชุดเครื่องมือสำหรับงานตรวจสอบความเที่ยงตรงของมิเตอร์ (จำนวน 4 รายการ)</t>
  </si>
  <si>
    <t>ชุดเครื่องมือสำหรับงานตรวจสอบ/บำรุงรักษามิเตอร์ 3 เฟส 4 สาย 69 kV ขึ้นไป (จำนวน 8 รายการ)</t>
  </si>
  <si>
    <t>Three Channel Wireless HV CT Ratio Tester</t>
  </si>
  <si>
    <t>Digital Oscilloscope 2 channels</t>
  </si>
  <si>
    <t>Insulation Tester for Testing Electricity Meters</t>
  </si>
  <si>
    <t>เครื่องมือทดสอบน้ำมันหม้อแปลงชนิดเคลื่อนที่ได้ ขนาด 0-60 kV (Portable Oil Tester)</t>
  </si>
  <si>
    <t>ชุดตรวจสอบความเที่ยงตรงของมิเตอร์ (Three Phase Portable Standard Test Set)</t>
  </si>
  <si>
    <t>ชุดทดสอบรีเลย์ (Relay Test Set)</t>
  </si>
  <si>
    <t>เครื่องกรองน้ำมันหม้อแปลง ขนาดไม่น้อยกว่า 500 ลิตร/ชั่วโมง (High Vacuum Oil Purifier)</t>
  </si>
  <si>
    <t>Three-Phase Portable Meter Test Set</t>
  </si>
  <si>
    <t>Transformer Turn Ratio Tester Verification Calibrator</t>
  </si>
  <si>
    <t>Decade Resistance Box</t>
  </si>
  <si>
    <t>ตู้อบขดลวดหม้อแปลงไฟฟ้าสูญญากาศ (Transformer Vacuum Drying Oven)</t>
  </si>
  <si>
    <t>Primary Injection Test System</t>
  </si>
  <si>
    <t>Temperature and Humdity Chamber</t>
  </si>
  <si>
    <t>เครื่องมือตรวจสอบความเที่ยงตรงของมิเตอร์ (Modular Three Phase Portable Test System)</t>
  </si>
  <si>
    <t>Multifunction Electrical Tester Calibrator (สำหรับทดสอบ Insulation Tester และ Earth Tester)</t>
  </si>
  <si>
    <t>Multifunction Calibrator Set (สำหรับทดสอบ V-O-A-W-PF)</t>
  </si>
  <si>
    <t>Automatic Instrument tranformer Test Set</t>
  </si>
  <si>
    <t>รวมกลุ่มที่ 7 กลุ่มงานมิเตอร์และหม้อแปลง [จำนวน 25 รายการ]</t>
  </si>
  <si>
    <t>กลุ่มงานปฏิบัติการระบบไฟฟ้าด้านฮอทไลน์</t>
  </si>
  <si>
    <t>ชุดเครื่องมือสำหรับงานฮอทสติก 22, 33 kV แบ่งออกเป็น 4 ชุดย่อย ดังนี้</t>
  </si>
  <si>
    <t>ชุดไม้ฉนวนสำหรับงานฮอทสติก 22, 33 kV (จำนวน 23 รายการ)</t>
  </si>
  <si>
    <t>ชุดอุปกรณ์โลหะสำหรับงานฮอทสติก 22, 33 kV (จำนวน 16 รายการ)</t>
  </si>
  <si>
    <t>ชุดฉนวนป้องกันสำหรับงานฮอทสติก 22, 33 kV (จำนวน 10 รายการ)</t>
  </si>
  <si>
    <t>ชุดเครื่องมือทั่วไปสำหรับงานฮอทสติก 22, 33 kV (จำนวน 23 รายการ)</t>
  </si>
  <si>
    <t>ชุดเครื่องมือสำหรับงานฮอทสติก 115 kV แบ่งออกเป็น 3 ชุดย่อย ดังนี้</t>
  </si>
  <si>
    <t>ชุดไม้ฉนวนสำหรับงานฮอทสติก 115 kV (จำนวน 7 รายการ)</t>
  </si>
  <si>
    <t>ชุดอุปกรณ์โลหะสำหรับงานฮอทสติก 115 kV (จำนวน 12 รายการ)</t>
  </si>
  <si>
    <t>ชุดเครื่องมือทั่วไปสำหรับงานฮอทสติก 115 kV (จำนวน 5 รายการ)</t>
  </si>
  <si>
    <t>ชุดเครื่องมือสำหรับงานฮอทไลน์กระเช้า 22,33 kV แบ่งออกเป็น 4 ชุดย่อย ดังนี้</t>
  </si>
  <si>
    <t>ชุดไม้ฉนวนสำหรับงานฮอทไลน์กระเช้า 22, 33 kV (จำนวน 13 รายการ)</t>
  </si>
  <si>
    <t>ชุดอุปกรณ์โลหะสำหรับงานฮอทไลน์กระเช้า 22, 33 kV (จำนวน 7 รายการ)</t>
  </si>
  <si>
    <t>ชุดฉนวนป้องกันสำหรับงานฮอทไลน์กระเช้า 22, 33 kV (จำนวน 6 รายการ)</t>
  </si>
  <si>
    <t>ชุดเครื่องมือทั่วไปสำหรับงานฮอทไลน์กระเช้า 22, 33 kV (จำนวน 21 รายการ)</t>
  </si>
  <si>
    <t>ชุดเครื่องมือสำหรับงานฮอทไลน์กระเช้า 115 kV แบ่งออกเป็น 4 ชุดย่อย ดังนี้</t>
  </si>
  <si>
    <t>ชุดไม้ฉนวนสำหรับงานฮอทไลน์กระเช้า 115 kV (จำนวน 14 รายการ)</t>
  </si>
  <si>
    <t>ชุดอุปกรณ์โลหะสำหรับงานฮอทไลน์กระเช้า 115 kV (จำนวน 9 รายการ)</t>
  </si>
  <si>
    <t>ชุดฉนวนป้องกันสำหรับงานฮอทไลน์กระเช้า 115 kV (จำนวน 6 รายการ)</t>
  </si>
  <si>
    <t>ชุดเครื่องมือทั่วไปสำหรับงานฮอทไลน์กระเช้า 115 kV (จำนวน 23 รายการ)</t>
  </si>
  <si>
    <t>ชุดเครื่องมือสำหรับงานเชื่อมสายแรงสูง 22, 33 kV (จำนวน 24 รายการ)</t>
  </si>
  <si>
    <t>ชุดเครื่องมือสำหรับงานฝึกอบรมพื้นฐานช่างสาย ของ กฝช. (จำนวน 17 รายการ)</t>
  </si>
  <si>
    <t>ชุดเครื่องมือสำหรับงานฝึกอบรมการเชื่อมสายแรงสูง ของ กฝช. (จำนวน 21 รายการ)</t>
  </si>
  <si>
    <t>Hotstick Tester</t>
  </si>
  <si>
    <t xml:space="preserve">Phase Sequence Indicator </t>
  </si>
  <si>
    <t>อุปกรณ์ปลดโหลดชนิดเคลื่อนย้ายได้ (Load Break Tools)</t>
  </si>
  <si>
    <t>Leakage Current Monitor</t>
  </si>
  <si>
    <t>เครื่องมือบีบหลอดต่อสาย สำหรับสาย 400 sq.mm. (Hydraulic Compression Tool)</t>
  </si>
  <si>
    <t>Barehand Conduction Clothing [Complete Set]</t>
  </si>
  <si>
    <t>รวมกลุ่มที่ 9 กลุ่มงานปฏิบัติการระบบไฟฟ้าด้านฮอทไลน์ [จำนวน 16 รายการ]</t>
  </si>
  <si>
    <t>กลุ่มงานผลิตภัณฑ์คอนกรีต</t>
  </si>
  <si>
    <t>เครื่องดึงลวดไฮดรอลิก 3 ตัน ขนาด 4,5 มม. ช่วงชักไม่น้อยกว่า 10-15 ซม.</t>
  </si>
  <si>
    <t>เครื่องดึงลวดไฮดรอลิก 5 ตัน ขนาด 4,5 มม. ช่วงชักไม่น้อยกว่า 55-70 ซม.</t>
  </si>
  <si>
    <t>เครื่องดึงลวดไฮดรอลิก 5 ตัน ขนาด 4,5 มม. ช่วงชักไม่น้อยกว่า 70-100 ซม.</t>
  </si>
  <si>
    <t>เครื่องดึงลวดไฮดรอลิก 5 ตัน ขนาด 4,5 มม. ช่วงชักไม่น้อยกว่า 120-130 ซม.</t>
  </si>
  <si>
    <t>ฮ้อยส์ไฟฟ้า ขนาด 2 ตัน</t>
  </si>
  <si>
    <t>ฮ้อยส์ไฟฟ้า ขนาด 3 ตัน</t>
  </si>
  <si>
    <t>ฮ้อยส์ไฟฟ้า ขนาด 5 ตัน</t>
  </si>
  <si>
    <t>ฮ้อยส์ไฟฟ้า ขนาด 7.5 ตัน</t>
  </si>
  <si>
    <t>ฮ้อยส์ไฟฟ้า ขนาด 10 ตัน</t>
  </si>
  <si>
    <t>Schmidt hammer (Concrete Test Hammer) ดิจิตอล</t>
  </si>
  <si>
    <t>นั่งร้านไฮดรอลิก ความสูง 9 ม. รับน้ำหนักได้ 300 กก.</t>
  </si>
  <si>
    <t>เครื่องดัดปลอกอัตโนมัติ 2.8 มม.</t>
  </si>
  <si>
    <t>ไดนาโมมิเตอร์ ขนาดไม่น้อยกว่า 4,000 กก. แบบดิจิตอลมีแบตเตอรีในตัว</t>
  </si>
  <si>
    <t>เครื่องปั้มลมพร้อมชุดเกย์ ขนาด 10 แรงม้า ใช้ไฟ 380 V 50 HZ</t>
  </si>
  <si>
    <t>ชุดดึงระบบไฮรดรอลิค สำหรับผลิตฐานรากคอนกรีต</t>
  </si>
  <si>
    <t>เครื่องกลึง 5 ฟุต</t>
  </si>
  <si>
    <t>รถดัมพ์เปอร์แบบเทด้านหน้า</t>
  </si>
  <si>
    <t>เครื่องดัดและตัดเหล็กได้ไม่น้อยกว่า 6-25 มม.</t>
  </si>
  <si>
    <t>รถยกฟอร์คลิฟท์ พิกัดยกไม่น้อยกว่า 2.5 ตัน เครื่องยนต์ดีเซล</t>
  </si>
  <si>
    <t>ปั้นจั่นเหนือศีรษะ จำนวน 2 ตัว พร้อมรอกสลิงไฟฟ้า ขนาดพิกัดยก 2 ตัน และสิ่งก่อสร้างประกอบอื่นๆ</t>
  </si>
  <si>
    <t>เครนขาสูง จำนวน 1 ตัว พร้อมรอกสลิงไฟฟ้า ขนาดพิกัดยก 5 ตัน และสิ่งก่อสร้างประกอบอื่นๆ</t>
  </si>
  <si>
    <t>รางเครน และสิ่งก่อสร้างประกอบอื่นๆ พร้อมติดตั้ง</t>
  </si>
  <si>
    <t>ปั้นจั่นเหนือศีรษะ จำนวน 1 ตัว พร้อมรอกสลิงไฟฟ้า ขนาดพิกัดยก 5 ตัน และสิ่งก่อสร้างประกอบอื่นๆ</t>
  </si>
  <si>
    <t>เครนเหนือศีรษะ จำนวน 2 ตัว พิกัดยก 10 ตัน และเครนขาสูงเทคอนกรีต พิกัดยก 5 ตัน พร้อมสิ่งก่อสร้างประกอบอื่นๆ</t>
  </si>
  <si>
    <t>รวมกลุ่มที่ 10 กลุ่มงานผลิตภัณฑ์คอนกรีต [จำนวน 24 รายการ]</t>
  </si>
  <si>
    <t>รายละเอียดเครื่องมือเครื่องใช้ สำหรับหน่วยงานส่วนภูมิภาค (จำนวน 12 เขต) ของปี 2568</t>
  </si>
  <si>
    <t>กลุ่มงานปฏิบัติงานระบบไฟฟ้า (เฉพาะการไฟฟ้าหน้างาน)</t>
  </si>
  <si>
    <t>ชุดเครื่องมือสำหรับงานตรวจสอบระบบไฟฟ้า (Patrol) (จำนวน 4 รายการ)</t>
  </si>
  <si>
    <t>เครื่องมือตรวจสอบการทํางาน Bypass Diode</t>
  </si>
  <si>
    <t>เครื่องวัดอัตราส่วนขดลวดของหม้อแปลง ชนิด 1 Phase (Transformer Turns Ratio Tester)</t>
  </si>
  <si>
    <t>เครื่องวัดพลังงานไฟฟ้าและตรวจวัดคุณภาพไฟฟ้า</t>
  </si>
  <si>
    <t>เครื่องวัดฮาร์มอนิกส์ แบบมือถือ (Handheld Hamonic Analyzer)</t>
  </si>
  <si>
    <t>เครื่องมือตรวจสอบหลังติดตั้งระบบโซลาร์เซลล์ 1000V/15A with IV-Curve Tracer</t>
  </si>
  <si>
    <t>เครื่องวัดคุณภาพไฟฟ้า (Disturbance Analyzer)</t>
  </si>
  <si>
    <t>รวมกลุ่มที่ 1 กลุ่มงานต่าง ๆ ของการไฟฟ้าหน้างาน [จำนวน 28 รายการ]</t>
  </si>
  <si>
    <r>
      <t>SF</t>
    </r>
    <r>
      <rPr>
        <b/>
        <vertAlign val="subscript"/>
        <sz val="12"/>
        <rFont val="TH SarabunPSK"/>
        <family val="2"/>
      </rPr>
      <t>6</t>
    </r>
    <r>
      <rPr>
        <b/>
        <sz val="12"/>
        <rFont val="TH SarabunPSK"/>
        <family val="2"/>
      </rPr>
      <t xml:space="preserve"> Analyzer (Chilled Mirror)</t>
    </r>
  </si>
  <si>
    <t>Coupling Unit for Injection into Powerlines and HV Cables (CP CU1)</t>
  </si>
  <si>
    <t>Ground Impedance Tests, Step and Touch Voltage Tests [Upgrade Existing Test Set]</t>
  </si>
  <si>
    <t>Moisture Determination of Oil-Paper Insulated Power Transformers</t>
  </si>
  <si>
    <t>เครนยกแบบขาแมงมุม (Spider Crawler Crane) น้ำหนักยก 3 ตัน พร้อมหางพ่วงสำหรับเคลื่อนย้าย</t>
  </si>
  <si>
    <t>ชุดทดสอบอุปกรณ์รีเลย์ แบบอเนกประสงค์ ชนิด 3 Phase (Universal Relay Test Set) Complete With IEC61850 Software</t>
  </si>
  <si>
    <t>รวมกลุ่มที่ 2 กลุ่มงานบำรุงรักษาสถานีไฟฟ้า [จำนวน 48 รายการ]</t>
  </si>
  <si>
    <t>รวมกลุ่มที่ 3 กลุ่มงานบำรุงรักษาระบบไฟฟ้า [จำนวน 43 รายการ]</t>
  </si>
  <si>
    <t>รวมกลุ่มที่ 4 กลุ่มงานก่อสร้างและทดสอบในสถานีไฟฟ้าและระบบไฟฟ้า [จำนวน 29 รายการ]</t>
  </si>
  <si>
    <t>ชุดเครื่องมือประจำห้องทดสอบทางไฟฟ้า (จำนวน 3 รายการ)</t>
  </si>
  <si>
    <t>ชุดเครื่องมือประจำห้องทดสอบทางกล (จำนวน 3 รายการ)</t>
  </si>
  <si>
    <t>เครื่องมือตรวจสอบหลังการติดตั้งระบบอินเวอร์เตอร์</t>
  </si>
  <si>
    <t>เครื่องมือตรวจสอบการทำงานของ Bypass Diode</t>
  </si>
  <si>
    <t>Photovoltaic Installation tester 15A 14 kW DC for 1000 V DC System</t>
  </si>
  <si>
    <t>เครื่องวัดระยะห่างของสาย Laser Rangefinder</t>
  </si>
  <si>
    <t>เครื่องวัดความต้านทานหน้าสัมผัส ขนาด 200 A แบบพกพา (Micro-Ohm Meter)</t>
  </si>
  <si>
    <t>Precision Infrared Calibrator</t>
  </si>
  <si>
    <t>เครื่องวัดความต้านทานดิน สำหรับเสาโครงสร้างเหล็ก (Earth Resistance Tester for Tower &amp; Monopole)</t>
  </si>
  <si>
    <t>เครื่องทดสอบความหนาผวิเคลือบของสังกะสีแบบ Zinc Flake</t>
  </si>
  <si>
    <t>Photovoltaic Installation Tester 20A 30 kW DC for 1500 V DC System</t>
  </si>
  <si>
    <t>Multifunction Electrical Tester and Calibrator</t>
  </si>
  <si>
    <t xml:space="preserve">Mobile X-Ray Fluorescence Measuring Instrument </t>
  </si>
  <si>
    <t>รวมกลุ่มที่ 5 กลุ่มงานทดสอบและตรวจสอบมาตรฐาน [จำนวน 28 รายการ]</t>
  </si>
  <si>
    <t>กลุ่มงานบริการลูกค้าและจัดการคุณภาพไฟฟ้า</t>
  </si>
  <si>
    <t>รวมกลุ่มที่ 6 กลุ่มงานบริการลูกค้าและจัดการคุณภาพไฟฟ้า [จำนวน 7 รายการ]</t>
  </si>
  <si>
    <t>ชุดเครื่องมือสำหรับชุดงานบำรุงรักษาหม้อแปลง (จำนวน 18 รายการ)</t>
  </si>
  <si>
    <t>ชุดเครื่องมือสำหรับงานถอดประกอบหม้อแปลง (จำนวน 24 รายการ)</t>
  </si>
  <si>
    <t>ชุดเครื่องมือสำหรับชุดงานปรับปรุงสภาพน้ำมันหม้อแปลง (จำนวน 2 รายการ)</t>
  </si>
  <si>
    <t>ปั๊มน้ำร้อนแรงดันสูงขนาดแรงดันไม่ต่ำกว่า 150 Bar</t>
  </si>
  <si>
    <t>Winding Resistance ชนิด 3 เฟส เคลื่อนที่ได้</t>
  </si>
  <si>
    <t>เครื่องกำเนิดไฟฟ้า ชนิดดีเซล 1 Phase ขนาดไม่ต่ำกว่า 50 kVA</t>
  </si>
  <si>
    <t>เครนเหนือศีรษะ พร้อมรางขวาง ขนาดไม่ต่ำกว่า 5 ตัน</t>
  </si>
  <si>
    <t>รางเครนเหนือศีรษะ</t>
  </si>
  <si>
    <t>รถโฟล์คลิฟท์น้ำมันดีเซล สามารถปรับงาได้ ไม่ต่ำกว่า 5 ตัน</t>
  </si>
  <si>
    <t>ตู้พ่นสีระบบม่านน้ำ (ติดตั้งภายในอาคารโรงซ่อมหม้อแปลงขนาด 12x34.4 m)</t>
  </si>
  <si>
    <t>รวมกลุ่มที่ 7 กลุ่มงานมิเตอร์และหม้อแปลง [จำนวน 26 รายการ]</t>
  </si>
  <si>
    <t>แผนงานจัดหายานพาหนะ 2568</t>
  </si>
  <si>
    <t>ประเภทยานพาหนะ</t>
  </si>
  <si>
    <t>รวม
(คัน)</t>
  </si>
  <si>
    <t>ราคาต่อหน่วย
(บาท)</t>
  </si>
  <si>
    <t>วงเงินดำเนินการ
(บาท)</t>
  </si>
  <si>
    <t>คาดการณ์เบิกจ่าย แผนงานฯ ปี 2568</t>
  </si>
  <si>
    <t>เริ่มกระบวนการ</t>
  </si>
  <si>
    <t>ขั้นตอนการจัดซื้อ/จัดจ้าง</t>
  </si>
  <si>
    <t>ส่งของ (วัน)</t>
  </si>
  <si>
    <t>ส่งงวด 1</t>
  </si>
  <si>
    <t>ส่งงวด 2</t>
  </si>
  <si>
    <t>ส่งงวด 3</t>
  </si>
  <si>
    <t>เบิกจ่าย 1</t>
  </si>
  <si>
    <t>เบิกจ่าย 2</t>
  </si>
  <si>
    <t>เบิกจ่าย 3</t>
  </si>
  <si>
    <t>รถบรรทุก 3 ตัน พร้อมตู้เก็บเครื่องมือ</t>
  </si>
  <si>
    <t>กจพ.1</t>
  </si>
  <si>
    <t>ม.ค. 68</t>
  </si>
  <si>
    <t>6 เดือน</t>
  </si>
  <si>
    <t>ม.ค. 69</t>
  </si>
  <si>
    <t>มี.ค. 69</t>
  </si>
  <si>
    <t>พ.ค. 69</t>
  </si>
  <si>
    <t>ก.พ. 69</t>
  </si>
  <si>
    <t>เม.ย. 69</t>
  </si>
  <si>
    <t>มิ.ย. 69</t>
  </si>
  <si>
    <t>รถบรรทุก 4 ตัน ติดกระเช้า (Category C)</t>
  </si>
  <si>
    <t>กจพ.2</t>
  </si>
  <si>
    <t>เม.ย. 68</t>
  </si>
  <si>
    <t>8 เดือน</t>
  </si>
  <si>
    <t>ธ.ค. 69</t>
  </si>
  <si>
    <t>ก.พ. 70</t>
  </si>
  <si>
    <t>เม.ย. 70</t>
  </si>
  <si>
    <t>ม.ค. 70</t>
  </si>
  <si>
    <t>มี.ค. 70</t>
  </si>
  <si>
    <t>พ.ค. 70</t>
  </si>
  <si>
    <t>รถบรรทุก 6 ตัน (ใช้งานคลังพัสดุ)</t>
  </si>
  <si>
    <t>พ.ย. 68</t>
  </si>
  <si>
    <t>ธ.ค. 68</t>
  </si>
  <si>
    <t>เม.ย.69</t>
  </si>
  <si>
    <t>รถกระเช้าฮอทไลน์ 22 เควี</t>
  </si>
  <si>
    <t>รถบริการด้านฮอทไลน์</t>
  </si>
  <si>
    <t>รถเครน ขนาด 35 ตัน</t>
  </si>
  <si>
    <t>รถหัวลากติดเครน พร้อมรถกึ่งพ่วงแบบพื้นราบ (Flat Bed) แบบขยายความยาวได้</t>
  </si>
  <si>
    <t>รถบรรทุก 6 ตัน กระบะยาว</t>
  </si>
  <si>
    <t>รถบรรทุก 6 ล้อติดเครนพับ พร้อมกระบะบรรทุกความยาว ไม่น้อยกว่า 6 เมตร พร้อมหลังคาเลื่อนเปิด - ปิด ได้ตลอด</t>
  </si>
  <si>
    <t>รถขุดเจาะ 4x4</t>
  </si>
  <si>
    <t>ภาพรวมแผนงานจัดหายานพาหนะ 2569</t>
  </si>
  <si>
    <t>คาดการณ์เบิกจ่าย แผนงานฯ ปี 2569</t>
  </si>
  <si>
    <t>รถบรรทุก 3 ตัน</t>
  </si>
  <si>
    <t>พ.ย. 69</t>
  </si>
  <si>
    <t>รถบรรทุก 6 ตัน ติดเครนพับ</t>
  </si>
  <si>
    <t>ธ.ค. 70</t>
  </si>
  <si>
    <t>ก.พ. 71</t>
  </si>
  <si>
    <t>เม.ย. 71</t>
  </si>
  <si>
    <t>ม.ค. 71</t>
  </si>
  <si>
    <t>มี.ค. 71</t>
  </si>
  <si>
    <t>พ.ค. 71</t>
  </si>
  <si>
    <t>รถเครนตีนตะขาบ พร้อมหัวสว่าน</t>
  </si>
  <si>
    <t>รถหัวลากพร้อมรถกึ่งพ่วงแบบชานต่ำ (Low Bed)</t>
  </si>
  <si>
    <t>รถบรรทุก 6 ตัน ติดกว้านสาย</t>
  </si>
  <si>
    <t>รถบรรทุก 6 ตัน กระบะเทท้าย</t>
  </si>
  <si>
    <t>รถบรรทุกน้ำ 6,000 ลิตร</t>
  </si>
  <si>
    <t>รถบรรทุก 10 ล้อ ติดเครนพับ ขนาดไม่น้อยกว่า 20 ตัน-เมตร</t>
  </si>
  <si>
    <t>รถขุดตีนตะขาบ พร้อมหัวกระแทก</t>
  </si>
  <si>
    <t>รถขุดตีนตะขาบ พร้อมหัวสว่าน</t>
  </si>
  <si>
    <t>รถขุดตักล้อยาง</t>
  </si>
  <si>
    <t>Truck loader crane</t>
  </si>
  <si>
    <t>รถขุดล้อยางขนาดใหญ่</t>
  </si>
  <si>
    <t>รายละเอียดประมาณการเบิกจ่าย (แผนงานจัดหายานพาหนะ ปี 2568 และ ปี 2569)</t>
  </si>
  <si>
    <t>การจัดสรร</t>
  </si>
  <si>
    <t>จำนวนในแผนงานฯ (คัน)</t>
  </si>
  <si>
    <t>งบประมาณ (ล้านบาท)</t>
  </si>
  <si>
    <t>ประมาณการเบิกจ่าย (ล้านบาท)</t>
  </si>
  <si>
    <t xml:space="preserve">ประเภทยานพาหนะ </t>
  </si>
  <si>
    <t>ราคาต่อหน่วย
(บาท)
(no VAT)</t>
  </si>
  <si>
    <t>ภูมิภาค</t>
  </si>
  <si>
    <t>สนญ.</t>
  </si>
  <si>
    <t>วงเงินรวม (บาท)
(no VAT)</t>
  </si>
  <si>
    <t>เบิกจ่าย 2568 (คัน)</t>
  </si>
  <si>
    <t>เบิกจ่าย 2569 (คัน)</t>
  </si>
  <si>
    <t>เบิกจ่าย 2570 (คัน)</t>
  </si>
  <si>
    <t>เบิกจ่าย 2571 (คัน)</t>
  </si>
  <si>
    <t>มี.ค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</si>
</sst>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.000_-;\-* #,##0.000_-;_-* &quot;-&quot;??_-;_-@_-"/>
    <numFmt numFmtId="167" formatCode="_-* #,##0.00_-;\-* #,##0.00_-;_-* &quot;-&quot;??_-;_-@"/>
    <numFmt numFmtId="168" formatCode="_(* #,##0_);_(* \(#,##0\);_(* &quot;-&quot;??_);_(@_)"/>
    <numFmt numFmtId="169" formatCode="0_);\(0\)"/>
    <numFmt numFmtId="170" formatCode="#,##0;;\-"/>
    <numFmt numFmtId="171" formatCode="0_);\(0.#\)"/>
    <numFmt numFmtId="172" formatCode="_-* #,##0_-;\-* #,##0_-;_-* &quot;-&quot;??_-;_-@_-"/>
    <numFmt numFmtId="173" formatCode="[$-1070000]d/m/yy;@"/>
    <numFmt numFmtId="174" formatCode="_(* #,##0.000_);_(* \(#,##0.000\);_(* &quot;-&quot;??_);_(@_)"/>
    <numFmt numFmtId="175" formatCode="_(* #,##0.000_);_(* \(#,##0.000\);_(* &quot;-&quot;???_);_(@_)"/>
    <numFmt numFmtId="176" formatCode="0.000%"/>
    <numFmt numFmtId="177" formatCode="0.000"/>
    <numFmt numFmtId="178" formatCode="#,###.000,,"/>
    <numFmt numFmtId="179" formatCode="_(* #,##0.00_);_(* \(#,##0.00\);_(* &quot;-&quot;_);_(@_)"/>
  </numFmts>
  <fonts count="54">
    <font>
      <sz val="14"/>
      <name val="Cordia New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8"/>
      <name val="Cordia New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6"/>
      <name val="Wingdings"/>
      <charset val="2"/>
    </font>
    <font>
      <b/>
      <sz val="22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b/>
      <u/>
      <sz val="16"/>
      <name val="TH SarabunPSK"/>
      <family val="2"/>
    </font>
    <font>
      <b/>
      <sz val="50"/>
      <name val="TH SarabunPSK"/>
      <family val="2"/>
    </font>
    <font>
      <b/>
      <sz val="20"/>
      <name val="TH SarabunPSK"/>
      <family val="2"/>
    </font>
    <font>
      <b/>
      <vertAlign val="superscript"/>
      <sz val="16"/>
      <name val="TH SarabunPSK"/>
      <family val="2"/>
    </font>
    <font>
      <u/>
      <sz val="16"/>
      <name val="TH SarabunPSK"/>
      <family val="2"/>
    </font>
    <font>
      <b/>
      <sz val="18"/>
      <name val="TH SarabunPSK"/>
      <family val="2"/>
    </font>
    <font>
      <u/>
      <sz val="14"/>
      <color indexed="8"/>
      <name val="TH SarabunPSK"/>
      <family val="2"/>
    </font>
    <font>
      <u/>
      <sz val="14"/>
      <name val="TH SarabunPSK"/>
      <family val="2"/>
    </font>
    <font>
      <b/>
      <sz val="42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name val="Cordia New"/>
      <family val="2"/>
    </font>
    <font>
      <sz val="10"/>
      <name val="Arial"/>
      <family val="2"/>
      <charset val="222"/>
    </font>
    <font>
      <sz val="16"/>
      <name val="TH Sarabun New"/>
      <family val="2"/>
    </font>
    <font>
      <sz val="16"/>
      <name val="TH SarabunIT๙"/>
      <family val="2"/>
    </font>
    <font>
      <sz val="14"/>
      <name val="Cordia New"/>
      <charset val="222"/>
    </font>
    <font>
      <sz val="11"/>
      <name val="TH SarabunPSK"/>
      <family val="2"/>
    </font>
    <font>
      <b/>
      <sz val="34"/>
      <name val="TH SarabunPSK"/>
      <family val="2"/>
    </font>
    <font>
      <sz val="18"/>
      <name val="TH SarabunPSK"/>
      <family val="2"/>
    </font>
    <font>
      <sz val="28"/>
      <name val="TH SarabunPSK"/>
      <family val="2"/>
    </font>
    <font>
      <b/>
      <sz val="30"/>
      <name val="TH SarabunPSK"/>
      <family val="2"/>
    </font>
    <font>
      <sz val="30"/>
      <name val="TH SarabunPSK"/>
      <family val="2"/>
    </font>
    <font>
      <sz val="30"/>
      <color rgb="FFFF0000"/>
      <name val="TH SarabunPSK"/>
      <family val="2"/>
    </font>
    <font>
      <b/>
      <sz val="12"/>
      <name val="TH SarabunPSK"/>
      <family val="2"/>
    </font>
    <font>
      <sz val="12"/>
      <name val="TH SarabunPSK"/>
      <family val="2"/>
    </font>
    <font>
      <b/>
      <vertAlign val="subscript"/>
      <sz val="12"/>
      <name val="TH SarabunPSK"/>
      <family val="2"/>
    </font>
    <font>
      <sz val="10"/>
      <name val="Arial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  <font>
      <b/>
      <sz val="12"/>
      <color rgb="FF0070C0"/>
      <name val="TH SarabunPSK"/>
      <family val="2"/>
    </font>
    <font>
      <b/>
      <sz val="12"/>
      <color rgb="FF7030A0"/>
      <name val="TH SarabunPSK"/>
      <family val="2"/>
    </font>
    <font>
      <sz val="11"/>
      <name val="Calibri"/>
      <family val="2"/>
    </font>
    <font>
      <b/>
      <sz val="14"/>
      <color rgb="FFFF0000"/>
      <name val="TH SarabunPSK"/>
      <family val="2"/>
    </font>
    <font>
      <sz val="14"/>
      <color theme="1"/>
      <name val="TH SarabunPSK"/>
      <family val="2"/>
    </font>
    <font>
      <sz val="14"/>
      <color indexed="36"/>
      <name val="TH SarabunPSK"/>
      <family val="2"/>
    </font>
    <font>
      <b/>
      <sz val="16"/>
      <color rgb="FF000000"/>
      <name val="TH SarabunPSK"/>
    </font>
    <font>
      <sz val="16"/>
      <color rgb="FF000000"/>
      <name val="TH SarabunPSK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2" fillId="0" borderId="0"/>
    <xf numFmtId="164" fontId="28" fillId="0" borderId="0" applyFont="0" applyFill="0" applyBorder="0" applyAlignment="0" applyProtection="0"/>
    <xf numFmtId="0" fontId="28" fillId="0" borderId="0">
      <alignment vertical="top"/>
    </xf>
    <xf numFmtId="9" fontId="3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164" fontId="4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8" fillId="0" borderId="0" applyFont="0" applyFill="0" applyBorder="0" applyAlignment="0" applyProtection="0"/>
  </cellStyleXfs>
  <cellXfs count="824">
    <xf numFmtId="0" fontId="0" fillId="0" borderId="0" xfId="0"/>
    <xf numFmtId="0" fontId="6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11" fillId="0" borderId="0" xfId="0" applyFont="1"/>
    <xf numFmtId="0" fontId="10" fillId="0" borderId="0" xfId="0" applyFont="1"/>
    <xf numFmtId="0" fontId="5" fillId="0" borderId="0" xfId="0" applyFont="1" applyAlignment="1">
      <alignment horizontal="left" vertical="center"/>
    </xf>
    <xf numFmtId="0" fontId="11" fillId="0" borderId="6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7" xfId="0" applyFont="1" applyBorder="1"/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quotePrefix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3" xfId="0" applyFont="1" applyBorder="1"/>
    <xf numFmtId="0" fontId="5" fillId="0" borderId="1" xfId="0" applyFont="1" applyBorder="1"/>
    <xf numFmtId="0" fontId="5" fillId="0" borderId="7" xfId="0" applyFont="1" applyBorder="1"/>
    <xf numFmtId="0" fontId="6" fillId="0" borderId="1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5" fillId="0" borderId="0" xfId="0" quotePrefix="1" applyFont="1"/>
    <xf numFmtId="0" fontId="6" fillId="0" borderId="0" xfId="0" quotePrefix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1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3" fillId="0" borderId="0" xfId="0" applyFont="1"/>
    <xf numFmtId="0" fontId="6" fillId="0" borderId="3" xfId="0" applyFont="1" applyBorder="1" applyAlignment="1">
      <alignment horizontal="center" vertical="top"/>
    </xf>
    <xf numFmtId="0" fontId="12" fillId="0" borderId="0" xfId="0" applyFont="1"/>
    <xf numFmtId="0" fontId="10" fillId="0" borderId="0" xfId="0" applyFont="1" applyAlignment="1">
      <alignment horizontal="left"/>
    </xf>
    <xf numFmtId="0" fontId="6" fillId="0" borderId="4" xfId="0" applyFont="1" applyBorder="1"/>
    <xf numFmtId="0" fontId="18" fillId="0" borderId="3" xfId="0" applyFont="1" applyBorder="1" applyAlignment="1">
      <alignment horizontal="center"/>
    </xf>
    <xf numFmtId="0" fontId="19" fillId="0" borderId="0" xfId="0" applyFont="1"/>
    <xf numFmtId="2" fontId="6" fillId="0" borderId="0" xfId="0" applyNumberFormat="1" applyFont="1"/>
    <xf numFmtId="164" fontId="5" fillId="0" borderId="0" xfId="1" applyFont="1" applyAlignment="1"/>
    <xf numFmtId="0" fontId="23" fillId="0" borderId="0" xfId="0" applyFont="1"/>
    <xf numFmtId="0" fontId="24" fillId="0" borderId="0" xfId="0" applyFont="1"/>
    <xf numFmtId="0" fontId="6" fillId="0" borderId="0" xfId="0" applyFont="1" applyAlignment="1">
      <alignment horizontal="left" vertical="top"/>
    </xf>
    <xf numFmtId="0" fontId="13" fillId="0" borderId="0" xfId="0" quotePrefix="1" applyFont="1"/>
    <xf numFmtId="0" fontId="4" fillId="0" borderId="0" xfId="2"/>
    <xf numFmtId="0" fontId="25" fillId="0" borderId="0" xfId="2" applyFont="1" applyAlignment="1">
      <alignment horizontal="center" vertical="center"/>
    </xf>
    <xf numFmtId="0" fontId="25" fillId="0" borderId="0" xfId="2" applyFont="1" applyAlignment="1">
      <alignment horizontal="right" vertical="center"/>
    </xf>
    <xf numFmtId="0" fontId="26" fillId="0" borderId="4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10" fillId="0" borderId="0" xfId="0" applyFont="1" applyAlignment="1">
      <alignment horizontal="right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3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 indent="1"/>
    </xf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quotePrefix="1" applyFont="1" applyProtection="1">
      <protection locked="0"/>
    </xf>
    <xf numFmtId="0" fontId="6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right" textRotation="180"/>
    </xf>
    <xf numFmtId="0" fontId="6" fillId="0" borderId="0" xfId="0" applyFont="1" applyAlignment="1">
      <alignment textRotation="180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10" fillId="0" borderId="0" xfId="5" applyFont="1">
      <alignment vertical="top"/>
    </xf>
    <xf numFmtId="0" fontId="11" fillId="0" borderId="0" xfId="5" applyFont="1">
      <alignment vertical="top"/>
    </xf>
    <xf numFmtId="0" fontId="10" fillId="0" borderId="0" xfId="5" applyFont="1" applyAlignment="1">
      <alignment horizontal="right"/>
    </xf>
    <xf numFmtId="0" fontId="11" fillId="0" borderId="0" xfId="5" applyFont="1" applyAlignment="1"/>
    <xf numFmtId="0" fontId="10" fillId="0" borderId="0" xfId="5" applyFont="1" applyAlignment="1">
      <alignment horizontal="left"/>
    </xf>
    <xf numFmtId="0" fontId="11" fillId="0" borderId="0" xfId="5" applyFont="1" applyAlignment="1">
      <alignment horizontal="right"/>
    </xf>
    <xf numFmtId="0" fontId="10" fillId="0" borderId="0" xfId="5" applyFont="1" applyAlignment="1"/>
    <xf numFmtId="0" fontId="10" fillId="0" borderId="4" xfId="5" applyFont="1" applyBorder="1">
      <alignment vertical="top"/>
    </xf>
    <xf numFmtId="166" fontId="11" fillId="0" borderId="4" xfId="4" applyNumberFormat="1" applyFont="1" applyBorder="1" applyAlignment="1">
      <alignment vertical="top"/>
    </xf>
    <xf numFmtId="166" fontId="11" fillId="0" borderId="0" xfId="4" applyNumberFormat="1" applyFont="1" applyBorder="1" applyAlignment="1">
      <alignment vertical="top"/>
    </xf>
    <xf numFmtId="166" fontId="29" fillId="0" borderId="17" xfId="4" applyNumberFormat="1" applyFont="1" applyFill="1" applyBorder="1" applyProtection="1">
      <protection hidden="1"/>
    </xf>
    <xf numFmtId="166" fontId="29" fillId="0" borderId="18" xfId="4" applyNumberFormat="1" applyFont="1" applyFill="1" applyBorder="1" applyProtection="1">
      <protection hidden="1"/>
    </xf>
    <xf numFmtId="0" fontId="10" fillId="0" borderId="4" xfId="5" applyFont="1" applyBorder="1" applyAlignment="1">
      <alignment horizontal="center" vertical="center"/>
    </xf>
    <xf numFmtId="0" fontId="10" fillId="0" borderId="5" xfId="5" applyFont="1" applyBorder="1" applyAlignment="1">
      <alignment horizontal="left" vertical="center"/>
    </xf>
    <xf numFmtId="0" fontId="11" fillId="0" borderId="0" xfId="5" applyFont="1" applyAlignment="1">
      <alignment vertical="center"/>
    </xf>
    <xf numFmtId="0" fontId="10" fillId="0" borderId="0" xfId="5" applyFont="1" applyAlignment="1">
      <alignment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 applyProtection="1">
      <alignment horizontal="righ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2" fontId="6" fillId="0" borderId="0" xfId="0" applyNumberFormat="1" applyFont="1" applyAlignment="1">
      <alignment horizontal="left"/>
    </xf>
    <xf numFmtId="0" fontId="6" fillId="0" borderId="0" xfId="0" applyFont="1" applyAlignment="1" applyProtection="1">
      <alignment horizontal="right"/>
      <protection locked="0"/>
    </xf>
    <xf numFmtId="0" fontId="5" fillId="7" borderId="0" xfId="0" applyFont="1" applyFill="1"/>
    <xf numFmtId="0" fontId="5" fillId="0" borderId="0" xfId="0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5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167" fontId="26" fillId="0" borderId="0" xfId="0" applyNumberFormat="1" applyFont="1" applyAlignment="1">
      <alignment horizontal="left" vertical="center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6" fillId="0" borderId="0" xfId="0" applyFont="1" applyAlignment="1">
      <alignment horizontal="left" indent="2"/>
    </xf>
    <xf numFmtId="0" fontId="6" fillId="0" borderId="0" xfId="0" quotePrefix="1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7" xfId="0" applyFont="1" applyBorder="1" applyAlignment="1">
      <alignment horizontal="center" vertical="top" wrapText="1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2" fontId="6" fillId="0" borderId="0" xfId="0" quotePrefix="1" applyNumberFormat="1" applyFont="1" applyAlignment="1">
      <alignment horizontal="center" vertical="center"/>
    </xf>
    <xf numFmtId="2" fontId="6" fillId="0" borderId="0" xfId="0" applyNumberFormat="1" applyFont="1" applyAlignment="1">
      <alignment vertical="top"/>
    </xf>
    <xf numFmtId="0" fontId="25" fillId="0" borderId="4" xfId="2" applyFont="1" applyBorder="1" applyAlignment="1">
      <alignment horizontal="left" vertical="center"/>
    </xf>
    <xf numFmtId="0" fontId="25" fillId="0" borderId="4" xfId="2" applyFont="1" applyBorder="1" applyAlignment="1">
      <alignment horizontal="left" vertical="center" indent="2"/>
    </xf>
    <xf numFmtId="0" fontId="25" fillId="0" borderId="4" xfId="2" applyFont="1" applyBorder="1" applyAlignment="1">
      <alignment horizontal="left" vertical="center" indent="3"/>
    </xf>
    <xf numFmtId="0" fontId="25" fillId="0" borderId="4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33" fillId="0" borderId="0" xfId="7" applyFont="1"/>
    <xf numFmtId="0" fontId="6" fillId="0" borderId="0" xfId="7" applyFont="1"/>
    <xf numFmtId="0" fontId="6" fillId="0" borderId="0" xfId="7" applyFont="1" applyAlignment="1">
      <alignment horizontal="center"/>
    </xf>
    <xf numFmtId="0" fontId="18" fillId="0" borderId="0" xfId="7" applyFont="1"/>
    <xf numFmtId="0" fontId="6" fillId="0" borderId="3" xfId="7" applyFont="1" applyBorder="1" applyAlignment="1">
      <alignment horizontal="center"/>
    </xf>
    <xf numFmtId="0" fontId="5" fillId="0" borderId="3" xfId="7" applyFont="1" applyBorder="1" applyAlignment="1">
      <alignment horizontal="center"/>
    </xf>
    <xf numFmtId="0" fontId="5" fillId="0" borderId="0" xfId="7" applyFont="1" applyAlignment="1">
      <alignment horizontal="center"/>
    </xf>
    <xf numFmtId="49" fontId="5" fillId="0" borderId="20" xfId="7" applyNumberFormat="1" applyFont="1" applyBorder="1" applyAlignment="1">
      <alignment horizontal="center"/>
    </xf>
    <xf numFmtId="4" fontId="5" fillId="0" borderId="3" xfId="7" applyNumberFormat="1" applyFont="1" applyBorder="1" applyAlignment="1">
      <alignment horizontal="center"/>
    </xf>
    <xf numFmtId="4" fontId="5" fillId="0" borderId="20" xfId="7" applyNumberFormat="1" applyFont="1" applyBorder="1" applyAlignment="1">
      <alignment horizontal="center"/>
    </xf>
    <xf numFmtId="0" fontId="5" fillId="0" borderId="0" xfId="7" applyFont="1"/>
    <xf numFmtId="0" fontId="5" fillId="0" borderId="3" xfId="7" applyFont="1" applyBorder="1" applyAlignment="1">
      <alignment horizontal="center" vertical="center"/>
    </xf>
    <xf numFmtId="0" fontId="5" fillId="0" borderId="3" xfId="7" applyFont="1" applyBorder="1" applyAlignment="1">
      <alignment horizontal="left" vertical="center"/>
    </xf>
    <xf numFmtId="49" fontId="5" fillId="0" borderId="3" xfId="7" applyNumberFormat="1" applyFont="1" applyBorder="1" applyAlignment="1">
      <alignment horizontal="center"/>
    </xf>
    <xf numFmtId="0" fontId="11" fillId="0" borderId="0" xfId="7" applyFont="1"/>
    <xf numFmtId="0" fontId="33" fillId="0" borderId="0" xfId="7" applyFont="1" applyAlignment="1">
      <alignment horizontal="center"/>
    </xf>
    <xf numFmtId="0" fontId="35" fillId="5" borderId="0" xfId="3" applyFont="1" applyFill="1"/>
    <xf numFmtId="0" fontId="36" fillId="5" borderId="0" xfId="3" applyFont="1" applyFill="1"/>
    <xf numFmtId="0" fontId="37" fillId="0" borderId="3" xfId="3" applyFont="1" applyBorder="1" applyAlignment="1">
      <alignment horizontal="center" vertical="center"/>
    </xf>
    <xf numFmtId="0" fontId="35" fillId="5" borderId="0" xfId="3" applyFont="1" applyFill="1" applyAlignment="1">
      <alignment vertical="top"/>
    </xf>
    <xf numFmtId="0" fontId="36" fillId="5" borderId="0" xfId="3" applyFont="1" applyFill="1" applyAlignment="1">
      <alignment vertical="top"/>
    </xf>
    <xf numFmtId="0" fontId="37" fillId="0" borderId="3" xfId="3" applyFont="1" applyBorder="1" applyAlignment="1">
      <alignment horizontal="center"/>
    </xf>
    <xf numFmtId="0" fontId="38" fillId="0" borderId="3" xfId="3" applyFont="1" applyBorder="1" applyAlignment="1">
      <alignment horizontal="left"/>
    </xf>
    <xf numFmtId="2" fontId="38" fillId="0" borderId="3" xfId="3" applyNumberFormat="1" applyFont="1" applyBorder="1" applyAlignment="1">
      <alignment horizontal="center"/>
    </xf>
    <xf numFmtId="0" fontId="39" fillId="0" borderId="3" xfId="3" applyFont="1" applyBorder="1" applyAlignment="1">
      <alignment horizontal="left"/>
    </xf>
    <xf numFmtId="0" fontId="37" fillId="0" borderId="3" xfId="3" applyFont="1" applyBorder="1" applyAlignment="1">
      <alignment horizontal="left" vertical="center"/>
    </xf>
    <xf numFmtId="0" fontId="38" fillId="0" borderId="0" xfId="3" applyFont="1"/>
    <xf numFmtId="0" fontId="6" fillId="5" borderId="0" xfId="3" applyFont="1" applyFill="1"/>
    <xf numFmtId="0" fontId="5" fillId="5" borderId="0" xfId="3" applyFont="1" applyFill="1" applyAlignment="1">
      <alignment horizontal="center"/>
    </xf>
    <xf numFmtId="0" fontId="5" fillId="5" borderId="0" xfId="3" applyFont="1" applyFill="1" applyAlignment="1">
      <alignment horizontal="left"/>
    </xf>
    <xf numFmtId="0" fontId="37" fillId="0" borderId="1" xfId="3" applyFont="1" applyBorder="1" applyAlignment="1">
      <alignment horizontal="center" vertical="center"/>
    </xf>
    <xf numFmtId="0" fontId="41" fillId="0" borderId="0" xfId="9" applyFont="1"/>
    <xf numFmtId="0" fontId="40" fillId="9" borderId="21" xfId="9" applyFont="1" applyFill="1" applyBorder="1" applyAlignment="1">
      <alignment horizontal="center" vertical="center" shrinkToFit="1"/>
    </xf>
    <xf numFmtId="0" fontId="40" fillId="9" borderId="21" xfId="9" quotePrefix="1" applyFont="1" applyFill="1" applyBorder="1" applyAlignment="1">
      <alignment vertical="center"/>
    </xf>
    <xf numFmtId="168" fontId="40" fillId="9" borderId="21" xfId="10" applyNumberFormat="1" applyFont="1" applyFill="1" applyBorder="1" applyAlignment="1" applyProtection="1">
      <alignment vertical="center" wrapText="1"/>
    </xf>
    <xf numFmtId="168" fontId="40" fillId="9" borderId="21" xfId="10" applyNumberFormat="1" applyFont="1" applyFill="1" applyBorder="1" applyAlignment="1">
      <alignment horizontal="center" vertical="center" shrinkToFit="1"/>
    </xf>
    <xf numFmtId="0" fontId="40" fillId="0" borderId="0" xfId="9" applyFont="1"/>
    <xf numFmtId="169" fontId="40" fillId="0" borderId="21" xfId="9" applyNumberFormat="1" applyFont="1" applyBorder="1" applyAlignment="1">
      <alignment horizontal="center" vertical="center" shrinkToFit="1"/>
    </xf>
    <xf numFmtId="0" fontId="40" fillId="0" borderId="21" xfId="9" quotePrefix="1" applyFont="1" applyBorder="1" applyAlignment="1">
      <alignment vertical="center"/>
    </xf>
    <xf numFmtId="168" fontId="40" fillId="0" borderId="21" xfId="10" applyNumberFormat="1" applyFont="1" applyFill="1" applyBorder="1" applyAlignment="1" applyProtection="1">
      <alignment horizontal="right" vertical="center" shrinkToFit="1"/>
    </xf>
    <xf numFmtId="170" fontId="40" fillId="0" borderId="21" xfId="9" applyNumberFormat="1" applyFont="1" applyBorder="1" applyAlignment="1">
      <alignment horizontal="center" vertical="center" shrinkToFit="1"/>
    </xf>
    <xf numFmtId="168" fontId="40" fillId="0" borderId="21" xfId="10" applyNumberFormat="1" applyFont="1" applyBorder="1" applyAlignment="1">
      <alignment horizontal="center" vertical="center" shrinkToFit="1"/>
    </xf>
    <xf numFmtId="0" fontId="40" fillId="0" borderId="21" xfId="9" quotePrefix="1" applyFont="1" applyBorder="1" applyAlignment="1">
      <alignment horizontal="left" vertical="center"/>
    </xf>
    <xf numFmtId="0" fontId="40" fillId="0" borderId="21" xfId="11" quotePrefix="1" applyFont="1" applyBorder="1" applyAlignment="1">
      <alignment horizontal="left" vertical="center"/>
    </xf>
    <xf numFmtId="168" fontId="40" fillId="10" borderId="21" xfId="10" applyNumberFormat="1" applyFont="1" applyFill="1" applyBorder="1" applyAlignment="1" applyProtection="1">
      <alignment horizontal="center" vertical="center" shrinkToFit="1"/>
    </xf>
    <xf numFmtId="168" fontId="40" fillId="9" borderId="21" xfId="10" applyNumberFormat="1" applyFont="1" applyFill="1" applyBorder="1" applyAlignment="1" applyProtection="1">
      <alignment horizontal="left" vertical="center" wrapText="1"/>
    </xf>
    <xf numFmtId="0" fontId="40" fillId="0" borderId="21" xfId="12" quotePrefix="1" applyFont="1" applyBorder="1" applyAlignment="1">
      <alignment vertical="center"/>
    </xf>
    <xf numFmtId="0" fontId="40" fillId="0" borderId="21" xfId="13" quotePrefix="1" applyFont="1" applyBorder="1" applyAlignment="1">
      <alignment vertical="center"/>
    </xf>
    <xf numFmtId="0" fontId="40" fillId="0" borderId="22" xfId="13" quotePrefix="1" applyFont="1" applyBorder="1" applyAlignment="1">
      <alignment vertical="center"/>
    </xf>
    <xf numFmtId="0" fontId="40" fillId="0" borderId="22" xfId="11" quotePrefix="1" applyFont="1" applyBorder="1" applyAlignment="1">
      <alignment horizontal="left" vertical="center"/>
    </xf>
    <xf numFmtId="0" fontId="40" fillId="0" borderId="22" xfId="12" quotePrefix="1" applyFont="1" applyBorder="1" applyAlignment="1">
      <alignment vertical="center"/>
    </xf>
    <xf numFmtId="0" fontId="40" fillId="0" borderId="21" xfId="12" quotePrefix="1" applyFont="1" applyBorder="1" applyAlignment="1">
      <alignment horizontal="left" vertical="center"/>
    </xf>
    <xf numFmtId="0" fontId="40" fillId="0" borderId="22" xfId="9" quotePrefix="1" applyFont="1" applyBorder="1" applyAlignment="1">
      <alignment vertical="center"/>
    </xf>
    <xf numFmtId="0" fontId="40" fillId="9" borderId="21" xfId="9" applyFont="1" applyFill="1" applyBorder="1" applyAlignment="1">
      <alignment horizontal="center" vertical="center"/>
    </xf>
    <xf numFmtId="168" fontId="40" fillId="9" borderId="21" xfId="10" applyNumberFormat="1" applyFont="1" applyFill="1" applyBorder="1" applyAlignment="1">
      <alignment horizontal="center" vertical="center"/>
    </xf>
    <xf numFmtId="0" fontId="40" fillId="0" borderId="21" xfId="9" quotePrefix="1" applyFont="1" applyBorder="1" applyAlignment="1">
      <alignment vertical="center" wrapText="1"/>
    </xf>
    <xf numFmtId="169" fontId="40" fillId="8" borderId="21" xfId="9" applyNumberFormat="1" applyFont="1" applyFill="1" applyBorder="1" applyAlignment="1">
      <alignment horizontal="center" vertical="center" shrinkToFit="1"/>
    </xf>
    <xf numFmtId="0" fontId="40" fillId="8" borderId="21" xfId="12" quotePrefix="1" applyFont="1" applyFill="1" applyBorder="1" applyAlignment="1">
      <alignment vertical="center"/>
    </xf>
    <xf numFmtId="168" fontId="40" fillId="8" borderId="21" xfId="10" applyNumberFormat="1" applyFont="1" applyFill="1" applyBorder="1" applyAlignment="1" applyProtection="1">
      <alignment horizontal="right" vertical="center" shrinkToFit="1"/>
    </xf>
    <xf numFmtId="170" fontId="40" fillId="8" borderId="21" xfId="9" applyNumberFormat="1" applyFont="1" applyFill="1" applyBorder="1" applyAlignment="1">
      <alignment horizontal="center" vertical="center" shrinkToFit="1"/>
    </xf>
    <xf numFmtId="168" fontId="40" fillId="8" borderId="21" xfId="10" applyNumberFormat="1" applyFont="1" applyFill="1" applyBorder="1" applyAlignment="1">
      <alignment horizontal="center" vertical="center" shrinkToFit="1"/>
    </xf>
    <xf numFmtId="171" fontId="40" fillId="0" borderId="21" xfId="9" applyNumberFormat="1" applyFont="1" applyBorder="1" applyAlignment="1">
      <alignment horizontal="center" vertical="center" shrinkToFit="1"/>
    </xf>
    <xf numFmtId="168" fontId="40" fillId="0" borderId="21" xfId="10" applyNumberFormat="1" applyFont="1" applyFill="1" applyBorder="1" applyAlignment="1">
      <alignment horizontal="center" vertical="center" shrinkToFit="1"/>
    </xf>
    <xf numFmtId="169" fontId="40" fillId="0" borderId="21" xfId="9" applyNumberFormat="1" applyFont="1" applyBorder="1" applyAlignment="1">
      <alignment horizontal="center" vertical="top" shrinkToFit="1"/>
    </xf>
    <xf numFmtId="0" fontId="40" fillId="0" borderId="21" xfId="14" quotePrefix="1" applyFont="1" applyBorder="1" applyAlignment="1">
      <alignment horizontal="left" vertical="center"/>
    </xf>
    <xf numFmtId="170" fontId="40" fillId="0" borderId="25" xfId="9" applyNumberFormat="1" applyFont="1" applyBorder="1" applyAlignment="1">
      <alignment horizontal="center" vertical="center" shrinkToFit="1"/>
    </xf>
    <xf numFmtId="168" fontId="40" fillId="0" borderId="25" xfId="10" applyNumberFormat="1" applyFont="1" applyBorder="1" applyAlignment="1">
      <alignment horizontal="center" vertical="center" shrinkToFit="1"/>
    </xf>
    <xf numFmtId="0" fontId="41" fillId="0" borderId="0" xfId="9" applyFont="1" applyAlignment="1">
      <alignment horizontal="center" vertical="center"/>
    </xf>
    <xf numFmtId="0" fontId="41" fillId="0" borderId="0" xfId="9" applyFont="1" applyAlignment="1">
      <alignment vertical="center"/>
    </xf>
    <xf numFmtId="168" fontId="41" fillId="0" borderId="0" xfId="10" applyNumberFormat="1" applyFont="1" applyAlignment="1" applyProtection="1">
      <alignment vertical="center" wrapText="1"/>
    </xf>
    <xf numFmtId="0" fontId="41" fillId="0" borderId="0" xfId="9" applyFont="1" applyAlignment="1">
      <alignment horizontal="center"/>
    </xf>
    <xf numFmtId="168" fontId="41" fillId="0" borderId="0" xfId="10" applyNumberFormat="1" applyFont="1" applyAlignment="1">
      <alignment horizontal="center"/>
    </xf>
    <xf numFmtId="0" fontId="44" fillId="0" borderId="0" xfId="9" applyFont="1"/>
    <xf numFmtId="0" fontId="40" fillId="9" borderId="25" xfId="9" applyFont="1" applyFill="1" applyBorder="1" applyAlignment="1">
      <alignment horizontal="center" vertical="center" wrapText="1"/>
    </xf>
    <xf numFmtId="0" fontId="40" fillId="9" borderId="25" xfId="9" quotePrefix="1" applyFont="1" applyFill="1" applyBorder="1" applyAlignment="1">
      <alignment horizontal="left" vertical="center"/>
    </xf>
    <xf numFmtId="168" fontId="40" fillId="9" borderId="25" xfId="10" applyNumberFormat="1" applyFont="1" applyFill="1" applyBorder="1" applyAlignment="1" applyProtection="1">
      <alignment horizontal="left" vertical="center" wrapText="1"/>
    </xf>
    <xf numFmtId="0" fontId="40" fillId="9" borderId="25" xfId="9" applyFont="1" applyFill="1" applyBorder="1" applyAlignment="1">
      <alignment horizontal="center" vertical="center" shrinkToFit="1"/>
    </xf>
    <xf numFmtId="0" fontId="45" fillId="0" borderId="0" xfId="9" applyFont="1"/>
    <xf numFmtId="0" fontId="46" fillId="0" borderId="0" xfId="9" applyFont="1"/>
    <xf numFmtId="0" fontId="40" fillId="0" borderId="21" xfId="14" quotePrefix="1" applyFont="1" applyBorder="1" applyAlignment="1">
      <alignment vertical="center"/>
    </xf>
    <xf numFmtId="0" fontId="47" fillId="0" borderId="0" xfId="9" applyFont="1"/>
    <xf numFmtId="0" fontId="40" fillId="0" borderId="22" xfId="14" quotePrefix="1" applyFont="1" applyBorder="1" applyAlignment="1">
      <alignment vertical="center"/>
    </xf>
    <xf numFmtId="168" fontId="40" fillId="7" borderId="21" xfId="10" applyNumberFormat="1" applyFont="1" applyFill="1" applyBorder="1" applyAlignment="1" applyProtection="1">
      <alignment horizontal="right" vertical="center" shrinkToFit="1"/>
    </xf>
    <xf numFmtId="0" fontId="40" fillId="8" borderId="21" xfId="14" quotePrefix="1" applyFont="1" applyFill="1" applyBorder="1" applyAlignment="1">
      <alignment vertical="center"/>
    </xf>
    <xf numFmtId="0" fontId="44" fillId="0" borderId="0" xfId="9" applyFont="1" applyAlignment="1">
      <alignment horizontal="center" vertical="center"/>
    </xf>
    <xf numFmtId="0" fontId="44" fillId="0" borderId="0" xfId="9" applyFont="1" applyAlignment="1">
      <alignment vertical="center"/>
    </xf>
    <xf numFmtId="168" fontId="44" fillId="0" borderId="0" xfId="10" applyNumberFormat="1" applyFont="1" applyAlignment="1" applyProtection="1">
      <alignment vertical="center" wrapText="1"/>
    </xf>
    <xf numFmtId="0" fontId="44" fillId="0" borderId="0" xfId="9" applyFont="1" applyAlignment="1">
      <alignment horizontal="center"/>
    </xf>
    <xf numFmtId="0" fontId="5" fillId="0" borderId="0" xfId="15" applyFont="1"/>
    <xf numFmtId="0" fontId="5" fillId="0" borderId="0" xfId="15" applyFont="1" applyAlignment="1">
      <alignment horizontal="center"/>
    </xf>
    <xf numFmtId="173" fontId="5" fillId="0" borderId="0" xfId="15" applyNumberFormat="1" applyFont="1"/>
    <xf numFmtId="49" fontId="5" fillId="0" borderId="0" xfId="15" applyNumberFormat="1" applyFont="1" applyAlignment="1">
      <alignment horizontal="right"/>
    </xf>
    <xf numFmtId="0" fontId="5" fillId="0" borderId="0" xfId="15" applyFont="1" applyAlignment="1">
      <alignment horizontal="center" vertical="center"/>
    </xf>
    <xf numFmtId="172" fontId="5" fillId="0" borderId="0" xfId="15" applyNumberFormat="1" applyFont="1"/>
    <xf numFmtId="0" fontId="5" fillId="0" borderId="4" xfId="0" applyFont="1" applyBorder="1" applyAlignment="1">
      <alignment horizontal="center" vertical="top"/>
    </xf>
    <xf numFmtId="0" fontId="5" fillId="0" borderId="19" xfId="0" applyFont="1" applyBorder="1" applyAlignment="1">
      <alignment vertical="top"/>
    </xf>
    <xf numFmtId="0" fontId="5" fillId="0" borderId="19" xfId="0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6" xfId="0" applyFont="1" applyBorder="1" applyAlignment="1">
      <alignment vertical="top"/>
    </xf>
    <xf numFmtId="164" fontId="5" fillId="0" borderId="6" xfId="0" applyNumberFormat="1" applyFont="1" applyBorder="1" applyAlignment="1">
      <alignment vertical="top"/>
    </xf>
    <xf numFmtId="164" fontId="5" fillId="0" borderId="4" xfId="0" applyNumberFormat="1" applyFont="1" applyBorder="1" applyAlignment="1">
      <alignment vertical="top"/>
    </xf>
    <xf numFmtId="164" fontId="5" fillId="0" borderId="0" xfId="0" applyNumberFormat="1" applyFont="1" applyAlignment="1">
      <alignment vertical="top"/>
    </xf>
    <xf numFmtId="49" fontId="5" fillId="0" borderId="4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43" fontId="5" fillId="0" borderId="4" xfId="0" applyNumberFormat="1" applyFont="1" applyBorder="1"/>
    <xf numFmtId="170" fontId="44" fillId="0" borderId="0" xfId="9" applyNumberFormat="1" applyFont="1" applyAlignment="1">
      <alignment horizontal="center"/>
    </xf>
    <xf numFmtId="170" fontId="41" fillId="0" borderId="0" xfId="9" applyNumberFormat="1" applyFont="1" applyAlignment="1">
      <alignment horizontal="center"/>
    </xf>
    <xf numFmtId="0" fontId="5" fillId="0" borderId="0" xfId="18" applyFont="1"/>
    <xf numFmtId="0" fontId="6" fillId="0" borderId="16" xfId="18" applyFont="1" applyBorder="1" applyAlignment="1">
      <alignment horizontal="center" vertical="center" wrapText="1"/>
    </xf>
    <xf numFmtId="0" fontId="6" fillId="0" borderId="30" xfId="18" applyFont="1" applyBorder="1" applyAlignment="1">
      <alignment horizontal="center" vertical="center" wrapText="1"/>
    </xf>
    <xf numFmtId="0" fontId="6" fillId="0" borderId="31" xfId="18" applyFont="1" applyBorder="1"/>
    <xf numFmtId="174" fontId="6" fillId="0" borderId="31" xfId="18" applyNumberFormat="1" applyFont="1" applyBorder="1"/>
    <xf numFmtId="172" fontId="6" fillId="0" borderId="32" xfId="8" applyNumberFormat="1" applyFont="1" applyBorder="1" applyAlignment="1">
      <alignment horizontal="center" vertical="center"/>
    </xf>
    <xf numFmtId="174" fontId="5" fillId="0" borderId="8" xfId="19" applyNumberFormat="1" applyFont="1" applyBorder="1"/>
    <xf numFmtId="174" fontId="5" fillId="0" borderId="4" xfId="19" applyNumberFormat="1" applyFont="1" applyBorder="1"/>
    <xf numFmtId="174" fontId="5" fillId="0" borderId="33" xfId="19" applyNumberFormat="1" applyFont="1" applyBorder="1"/>
    <xf numFmtId="9" fontId="5" fillId="0" borderId="0" xfId="20" applyFont="1"/>
    <xf numFmtId="175" fontId="5" fillId="0" borderId="0" xfId="18" applyNumberFormat="1" applyFont="1"/>
    <xf numFmtId="0" fontId="5" fillId="0" borderId="31" xfId="18" quotePrefix="1" applyFont="1" applyBorder="1"/>
    <xf numFmtId="0" fontId="6" fillId="0" borderId="34" xfId="18" applyFont="1" applyBorder="1"/>
    <xf numFmtId="174" fontId="6" fillId="0" borderId="34" xfId="18" applyNumberFormat="1" applyFont="1" applyBorder="1"/>
    <xf numFmtId="172" fontId="6" fillId="0" borderId="35" xfId="8" applyNumberFormat="1" applyFont="1" applyBorder="1" applyAlignment="1">
      <alignment horizontal="center" vertical="center"/>
    </xf>
    <xf numFmtId="174" fontId="5" fillId="0" borderId="36" xfId="19" applyNumberFormat="1" applyFont="1" applyBorder="1"/>
    <xf numFmtId="174" fontId="5" fillId="0" borderId="37" xfId="19" applyNumberFormat="1" applyFont="1" applyBorder="1"/>
    <xf numFmtId="174" fontId="5" fillId="0" borderId="38" xfId="19" applyNumberFormat="1" applyFont="1" applyBorder="1"/>
    <xf numFmtId="0" fontId="6" fillId="0" borderId="31" xfId="18" applyFont="1" applyBorder="1" applyAlignment="1">
      <alignment horizontal="center"/>
    </xf>
    <xf numFmtId="174" fontId="6" fillId="0" borderId="32" xfId="18" applyNumberFormat="1" applyFont="1" applyBorder="1"/>
    <xf numFmtId="174" fontId="6" fillId="0" borderId="8" xfId="18" applyNumberFormat="1" applyFont="1" applyBorder="1"/>
    <xf numFmtId="174" fontId="6" fillId="0" borderId="4" xfId="18" applyNumberFormat="1" applyFont="1" applyBorder="1"/>
    <xf numFmtId="174" fontId="6" fillId="0" borderId="33" xfId="18" applyNumberFormat="1" applyFont="1" applyBorder="1"/>
    <xf numFmtId="43" fontId="5" fillId="0" borderId="0" xfId="18" applyNumberFormat="1" applyFont="1"/>
    <xf numFmtId="0" fontId="6" fillId="0" borderId="39" xfId="18" applyFont="1" applyBorder="1" applyAlignment="1">
      <alignment horizontal="center"/>
    </xf>
    <xf numFmtId="174" fontId="6" fillId="0" borderId="39" xfId="18" applyNumberFormat="1" applyFont="1" applyBorder="1"/>
    <xf numFmtId="168" fontId="6" fillId="0" borderId="40" xfId="18" applyNumberFormat="1" applyFont="1" applyBorder="1"/>
    <xf numFmtId="174" fontId="6" fillId="0" borderId="41" xfId="18" applyNumberFormat="1" applyFont="1" applyBorder="1"/>
    <xf numFmtId="174" fontId="6" fillId="0" borderId="42" xfId="18" applyNumberFormat="1" applyFont="1" applyBorder="1"/>
    <xf numFmtId="174" fontId="6" fillId="0" borderId="43" xfId="18" applyNumberFormat="1" applyFont="1" applyBorder="1"/>
    <xf numFmtId="10" fontId="5" fillId="0" borderId="0" xfId="21" applyNumberFormat="1" applyFont="1"/>
    <xf numFmtId="174" fontId="5" fillId="0" borderId="0" xfId="18" applyNumberFormat="1" applyFont="1"/>
    <xf numFmtId="176" fontId="5" fillId="0" borderId="0" xfId="21" applyNumberFormat="1" applyFont="1"/>
    <xf numFmtId="2" fontId="5" fillId="0" borderId="0" xfId="18" applyNumberFormat="1" applyFont="1"/>
    <xf numFmtId="177" fontId="5" fillId="0" borderId="0" xfId="20" applyNumberFormat="1" applyFont="1"/>
    <xf numFmtId="0" fontId="5" fillId="0" borderId="0" xfId="18" applyFont="1" applyAlignment="1">
      <alignment horizontal="right"/>
    </xf>
    <xf numFmtId="0" fontId="41" fillId="0" borderId="0" xfId="18" applyFont="1" applyAlignment="1">
      <alignment horizontal="right"/>
    </xf>
    <xf numFmtId="164" fontId="5" fillId="0" borderId="0" xfId="4" applyFont="1"/>
    <xf numFmtId="0" fontId="5" fillId="0" borderId="4" xfId="0" applyFont="1" applyBorder="1" applyAlignment="1">
      <alignment vertical="top" wrapText="1"/>
    </xf>
    <xf numFmtId="0" fontId="5" fillId="11" borderId="0" xfId="15" applyFont="1" applyFill="1"/>
    <xf numFmtId="0" fontId="18" fillId="11" borderId="0" xfId="15" applyFont="1" applyFill="1" applyAlignment="1" applyProtection="1">
      <alignment horizontal="center"/>
      <protection locked="0"/>
    </xf>
    <xf numFmtId="168" fontId="18" fillId="11" borderId="0" xfId="22" applyNumberFormat="1" applyFont="1" applyFill="1" applyAlignment="1" applyProtection="1">
      <protection locked="0"/>
    </xf>
    <xf numFmtId="0" fontId="5" fillId="11" borderId="0" xfId="16" applyFont="1" applyFill="1"/>
    <xf numFmtId="0" fontId="5" fillId="0" borderId="0" xfId="16" applyFont="1"/>
    <xf numFmtId="0" fontId="5" fillId="11" borderId="46" xfId="16" applyFont="1" applyFill="1" applyBorder="1" applyAlignment="1">
      <alignment horizontal="center" wrapText="1"/>
    </xf>
    <xf numFmtId="0" fontId="5" fillId="11" borderId="47" xfId="16" applyFont="1" applyFill="1" applyBorder="1" applyAlignment="1">
      <alignment wrapText="1"/>
    </xf>
    <xf numFmtId="168" fontId="5" fillId="11" borderId="20" xfId="22" applyNumberFormat="1" applyFont="1" applyFill="1" applyBorder="1" applyAlignment="1">
      <alignment horizontal="center"/>
    </xf>
    <xf numFmtId="172" fontId="5" fillId="11" borderId="46" xfId="17" applyNumberFormat="1" applyFont="1" applyFill="1" applyBorder="1" applyAlignment="1">
      <alignment horizontal="center"/>
    </xf>
    <xf numFmtId="172" fontId="6" fillId="11" borderId="46" xfId="17" applyNumberFormat="1" applyFont="1" applyFill="1" applyBorder="1"/>
    <xf numFmtId="168" fontId="6" fillId="11" borderId="20" xfId="16" applyNumberFormat="1" applyFont="1" applyFill="1" applyBorder="1"/>
    <xf numFmtId="0" fontId="5" fillId="11" borderId="48" xfId="16" applyFont="1" applyFill="1" applyBorder="1"/>
    <xf numFmtId="0" fontId="6" fillId="11" borderId="25" xfId="16" applyFont="1" applyFill="1" applyBorder="1" applyAlignment="1">
      <alignment horizontal="center" vertical="center" wrapText="1"/>
    </xf>
    <xf numFmtId="0" fontId="6" fillId="11" borderId="48" xfId="16" applyFont="1" applyFill="1" applyBorder="1" applyAlignment="1">
      <alignment horizontal="center" vertical="center" wrapText="1"/>
    </xf>
    <xf numFmtId="0" fontId="6" fillId="11" borderId="25" xfId="16" applyFont="1" applyFill="1" applyBorder="1" applyAlignment="1">
      <alignment horizontal="center" vertical="center"/>
    </xf>
    <xf numFmtId="172" fontId="5" fillId="5" borderId="46" xfId="17" applyNumberFormat="1" applyFont="1" applyFill="1" applyBorder="1" applyAlignment="1">
      <alignment horizontal="center"/>
    </xf>
    <xf numFmtId="172" fontId="6" fillId="5" borderId="46" xfId="17" applyNumberFormat="1" applyFont="1" applyFill="1" applyBorder="1"/>
    <xf numFmtId="168" fontId="6" fillId="5" borderId="20" xfId="16" applyNumberFormat="1" applyFont="1" applyFill="1" applyBorder="1"/>
    <xf numFmtId="168" fontId="5" fillId="11" borderId="20" xfId="16" applyNumberFormat="1" applyFont="1" applyFill="1" applyBorder="1"/>
    <xf numFmtId="168" fontId="5" fillId="11" borderId="48" xfId="16" applyNumberFormat="1" applyFont="1" applyFill="1" applyBorder="1"/>
    <xf numFmtId="178" fontId="5" fillId="11" borderId="20" xfId="16" applyNumberFormat="1" applyFont="1" applyFill="1" applyBorder="1"/>
    <xf numFmtId="178" fontId="5" fillId="11" borderId="48" xfId="16" applyNumberFormat="1" applyFont="1" applyFill="1" applyBorder="1"/>
    <xf numFmtId="168" fontId="5" fillId="11" borderId="49" xfId="16" applyNumberFormat="1" applyFont="1" applyFill="1" applyBorder="1"/>
    <xf numFmtId="168" fontId="5" fillId="11" borderId="50" xfId="16" applyNumberFormat="1" applyFont="1" applyFill="1" applyBorder="1"/>
    <xf numFmtId="0" fontId="5" fillId="11" borderId="47" xfId="16" applyFont="1" applyFill="1" applyBorder="1" applyAlignment="1">
      <alignment horizontal="center" wrapText="1"/>
    </xf>
    <xf numFmtId="168" fontId="6" fillId="5" borderId="21" xfId="16" applyNumberFormat="1" applyFont="1" applyFill="1" applyBorder="1"/>
    <xf numFmtId="0" fontId="5" fillId="11" borderId="51" xfId="16" applyFont="1" applyFill="1" applyBorder="1"/>
    <xf numFmtId="168" fontId="5" fillId="11" borderId="21" xfId="16" applyNumberFormat="1" applyFont="1" applyFill="1" applyBorder="1"/>
    <xf numFmtId="168" fontId="5" fillId="11" borderId="51" xfId="16" applyNumberFormat="1" applyFont="1" applyFill="1" applyBorder="1"/>
    <xf numFmtId="1" fontId="5" fillId="11" borderId="51" xfId="16" applyNumberFormat="1" applyFont="1" applyFill="1" applyBorder="1"/>
    <xf numFmtId="178" fontId="5" fillId="11" borderId="21" xfId="16" applyNumberFormat="1" applyFont="1" applyFill="1" applyBorder="1"/>
    <xf numFmtId="178" fontId="5" fillId="11" borderId="51" xfId="16" applyNumberFormat="1" applyFont="1" applyFill="1" applyBorder="1"/>
    <xf numFmtId="168" fontId="5" fillId="11" borderId="52" xfId="16" applyNumberFormat="1" applyFont="1" applyFill="1" applyBorder="1"/>
    <xf numFmtId="168" fontId="5" fillId="11" borderId="53" xfId="16" applyNumberFormat="1" applyFont="1" applyFill="1" applyBorder="1"/>
    <xf numFmtId="0" fontId="5" fillId="0" borderId="47" xfId="16" applyFont="1" applyBorder="1" applyAlignment="1">
      <alignment wrapText="1"/>
    </xf>
    <xf numFmtId="0" fontId="5" fillId="11" borderId="48" xfId="15" applyFont="1" applyFill="1" applyBorder="1"/>
    <xf numFmtId="0" fontId="5" fillId="11" borderId="51" xfId="15" applyFont="1" applyFill="1" applyBorder="1"/>
    <xf numFmtId="0" fontId="5" fillId="11" borderId="47" xfId="16" applyFont="1" applyFill="1" applyBorder="1" applyAlignment="1">
      <alignment horizontal="center" vertical="top" wrapText="1"/>
    </xf>
    <xf numFmtId="0" fontId="5" fillId="11" borderId="0" xfId="15" applyFont="1" applyFill="1" applyAlignment="1">
      <alignment vertical="top"/>
    </xf>
    <xf numFmtId="172" fontId="6" fillId="5" borderId="46" xfId="17" applyNumberFormat="1" applyFont="1" applyFill="1" applyBorder="1" applyAlignment="1"/>
    <xf numFmtId="172" fontId="5" fillId="5" borderId="46" xfId="17" applyNumberFormat="1" applyFont="1" applyFill="1" applyBorder="1" applyAlignment="1">
      <alignment horizontal="center" vertical="top"/>
    </xf>
    <xf numFmtId="172" fontId="6" fillId="5" borderId="46" xfId="17" applyNumberFormat="1" applyFont="1" applyFill="1" applyBorder="1" applyAlignment="1">
      <alignment vertical="top"/>
    </xf>
    <xf numFmtId="168" fontId="6" fillId="5" borderId="21" xfId="16" applyNumberFormat="1" applyFont="1" applyFill="1" applyBorder="1" applyAlignment="1">
      <alignment vertical="top"/>
    </xf>
    <xf numFmtId="0" fontId="5" fillId="11" borderId="46" xfId="16" applyFont="1" applyFill="1" applyBorder="1" applyAlignment="1">
      <alignment horizontal="center" vertical="top" wrapText="1"/>
    </xf>
    <xf numFmtId="0" fontId="5" fillId="0" borderId="54" xfId="16" applyFont="1" applyBorder="1" applyAlignment="1">
      <alignment wrapText="1"/>
    </xf>
    <xf numFmtId="172" fontId="6" fillId="5" borderId="47" xfId="17" applyNumberFormat="1" applyFont="1" applyFill="1" applyBorder="1"/>
    <xf numFmtId="0" fontId="6" fillId="11" borderId="47" xfId="16" applyFont="1" applyFill="1" applyBorder="1" applyAlignment="1">
      <alignment horizontal="center" wrapText="1"/>
    </xf>
    <xf numFmtId="168" fontId="5" fillId="11" borderId="55" xfId="22" applyNumberFormat="1" applyFont="1" applyFill="1" applyBorder="1" applyAlignment="1">
      <alignment horizontal="center"/>
    </xf>
    <xf numFmtId="1" fontId="5" fillId="11" borderId="47" xfId="16" applyNumberFormat="1" applyFont="1" applyFill="1" applyBorder="1"/>
    <xf numFmtId="172" fontId="5" fillId="11" borderId="47" xfId="17" applyNumberFormat="1" applyFont="1" applyFill="1" applyBorder="1"/>
    <xf numFmtId="0" fontId="5" fillId="11" borderId="1" xfId="15" applyFont="1" applyFill="1" applyBorder="1"/>
    <xf numFmtId="168" fontId="5" fillId="0" borderId="0" xfId="22" applyNumberFormat="1" applyFont="1" applyAlignment="1">
      <alignment horizontal="center"/>
    </xf>
    <xf numFmtId="172" fontId="5" fillId="0" borderId="0" xfId="17" applyNumberFormat="1" applyFont="1"/>
    <xf numFmtId="0" fontId="11" fillId="0" borderId="25" xfId="0" applyFont="1" applyBorder="1" applyAlignment="1">
      <alignment horizontal="center"/>
    </xf>
    <xf numFmtId="0" fontId="11" fillId="0" borderId="59" xfId="0" applyFont="1" applyBorder="1"/>
    <xf numFmtId="0" fontId="6" fillId="0" borderId="25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51" xfId="0" applyFont="1" applyBorder="1"/>
    <xf numFmtId="0" fontId="11" fillId="0" borderId="21" xfId="0" applyFont="1" applyBorder="1"/>
    <xf numFmtId="0" fontId="5" fillId="0" borderId="21" xfId="0" applyFont="1" applyBorder="1"/>
    <xf numFmtId="0" fontId="5" fillId="0" borderId="21" xfId="0" applyFont="1" applyBorder="1" applyAlignment="1">
      <alignment horizontal="left"/>
    </xf>
    <xf numFmtId="0" fontId="6" fillId="0" borderId="21" xfId="0" applyFont="1" applyBorder="1"/>
    <xf numFmtId="0" fontId="6" fillId="0" borderId="61" xfId="0" applyFont="1" applyBorder="1"/>
    <xf numFmtId="0" fontId="11" fillId="0" borderId="51" xfId="0" quotePrefix="1" applyFont="1" applyBorder="1"/>
    <xf numFmtId="0" fontId="11" fillId="0" borderId="55" xfId="0" applyFont="1" applyBorder="1"/>
    <xf numFmtId="0" fontId="11" fillId="0" borderId="62" xfId="0" applyFont="1" applyBorder="1"/>
    <xf numFmtId="0" fontId="10" fillId="0" borderId="55" xfId="0" applyFont="1" applyBorder="1"/>
    <xf numFmtId="0" fontId="10" fillId="0" borderId="63" xfId="0" applyFont="1" applyBorder="1"/>
    <xf numFmtId="166" fontId="10" fillId="0" borderId="21" xfId="4" applyNumberFormat="1" applyFont="1" applyBorder="1"/>
    <xf numFmtId="166" fontId="11" fillId="0" borderId="21" xfId="0" applyNumberFormat="1" applyFont="1" applyBorder="1"/>
    <xf numFmtId="166" fontId="11" fillId="0" borderId="21" xfId="4" applyNumberFormat="1" applyFont="1" applyBorder="1"/>
    <xf numFmtId="166" fontId="10" fillId="0" borderId="61" xfId="4" applyNumberFormat="1" applyFont="1" applyBorder="1"/>
    <xf numFmtId="168" fontId="5" fillId="0" borderId="4" xfId="4" applyNumberFormat="1" applyFont="1" applyBorder="1"/>
    <xf numFmtId="168" fontId="5" fillId="0" borderId="4" xfId="0" applyNumberFormat="1" applyFont="1" applyBorder="1"/>
    <xf numFmtId="172" fontId="5" fillId="0" borderId="4" xfId="4" applyNumberFormat="1" applyFont="1" applyBorder="1" applyAlignment="1">
      <alignment vertical="top"/>
    </xf>
    <xf numFmtId="172" fontId="5" fillId="0" borderId="4" xfId="0" applyNumberFormat="1" applyFont="1" applyBorder="1" applyAlignment="1">
      <alignment vertical="top"/>
    </xf>
    <xf numFmtId="172" fontId="5" fillId="0" borderId="6" xfId="0" applyNumberFormat="1" applyFont="1" applyBorder="1" applyAlignment="1">
      <alignment horizontal="center" vertical="top"/>
    </xf>
    <xf numFmtId="172" fontId="5" fillId="0" borderId="4" xfId="0" applyNumberFormat="1" applyFont="1" applyBorder="1" applyAlignment="1">
      <alignment horizontal="center" vertical="top"/>
    </xf>
    <xf numFmtId="172" fontId="5" fillId="0" borderId="0" xfId="4" applyNumberFormat="1" applyFont="1" applyBorder="1" applyAlignment="1">
      <alignment horizontal="center" vertical="top"/>
    </xf>
    <xf numFmtId="172" fontId="5" fillId="0" borderId="6" xfId="4" applyNumberFormat="1" applyFont="1" applyBorder="1" applyAlignment="1">
      <alignment horizontal="center" vertical="top"/>
    </xf>
    <xf numFmtId="172" fontId="5" fillId="0" borderId="4" xfId="4" applyNumberFormat="1" applyFont="1" applyBorder="1"/>
    <xf numFmtId="172" fontId="5" fillId="0" borderId="4" xfId="0" applyNumberFormat="1" applyFont="1" applyBorder="1"/>
    <xf numFmtId="172" fontId="26" fillId="0" borderId="4" xfId="4" applyNumberFormat="1" applyFont="1" applyBorder="1" applyAlignment="1">
      <alignment horizontal="center" vertical="center"/>
    </xf>
    <xf numFmtId="172" fontId="26" fillId="0" borderId="4" xfId="2" applyNumberFormat="1" applyFont="1" applyBorder="1" applyAlignment="1">
      <alignment horizontal="center" vertical="center"/>
    </xf>
    <xf numFmtId="168" fontId="26" fillId="0" borderId="0" xfId="2" applyNumberFormat="1" applyFont="1" applyAlignment="1">
      <alignment horizontal="center" vertical="center"/>
    </xf>
    <xf numFmtId="168" fontId="26" fillId="0" borderId="4" xfId="2" applyNumberFormat="1" applyFont="1" applyBorder="1" applyAlignment="1">
      <alignment horizontal="center" vertical="center"/>
    </xf>
    <xf numFmtId="168" fontId="26" fillId="0" borderId="4" xfId="4" applyNumberFormat="1" applyFont="1" applyBorder="1" applyAlignment="1">
      <alignment horizontal="center" vertical="center"/>
    </xf>
    <xf numFmtId="41" fontId="5" fillId="0" borderId="4" xfId="0" applyNumberFormat="1" applyFont="1" applyBorder="1"/>
    <xf numFmtId="179" fontId="5" fillId="0" borderId="8" xfId="0" applyNumberFormat="1" applyFont="1" applyBorder="1"/>
    <xf numFmtId="179" fontId="5" fillId="0" borderId="4" xfId="0" applyNumberFormat="1" applyFont="1" applyBorder="1"/>
    <xf numFmtId="41" fontId="5" fillId="0" borderId="13" xfId="0" applyNumberFormat="1" applyFont="1" applyBorder="1"/>
    <xf numFmtId="9" fontId="5" fillId="0" borderId="4" xfId="0" applyNumberFormat="1" applyFont="1" applyBorder="1"/>
    <xf numFmtId="0" fontId="6" fillId="0" borderId="19" xfId="0" applyFont="1" applyBorder="1" applyAlignment="1">
      <alignment horizontal="center"/>
    </xf>
    <xf numFmtId="172" fontId="4" fillId="0" borderId="0" xfId="2" applyNumberFormat="1"/>
    <xf numFmtId="168" fontId="50" fillId="0" borderId="0" xfId="2" applyNumberFormat="1" applyFont="1" applyAlignment="1">
      <alignment horizontal="center" vertical="center"/>
    </xf>
    <xf numFmtId="172" fontId="50" fillId="0" borderId="4" xfId="4" applyNumberFormat="1" applyFont="1" applyBorder="1" applyAlignment="1">
      <alignment horizontal="center" vertical="center"/>
    </xf>
    <xf numFmtId="0" fontId="50" fillId="0" borderId="4" xfId="2" applyFont="1" applyBorder="1" applyAlignment="1">
      <alignment horizontal="center" vertical="center"/>
    </xf>
    <xf numFmtId="168" fontId="50" fillId="0" borderId="4" xfId="2" applyNumberFormat="1" applyFont="1" applyBorder="1" applyAlignment="1">
      <alignment horizontal="center" vertical="center"/>
    </xf>
    <xf numFmtId="172" fontId="50" fillId="0" borderId="4" xfId="2" applyNumberFormat="1" applyFont="1" applyBorder="1" applyAlignment="1">
      <alignment horizontal="center" vertical="center"/>
    </xf>
    <xf numFmtId="168" fontId="50" fillId="0" borderId="4" xfId="4" applyNumberFormat="1" applyFont="1" applyBorder="1" applyAlignment="1">
      <alignment horizontal="center" vertical="center"/>
    </xf>
    <xf numFmtId="164" fontId="51" fillId="0" borderId="4" xfId="4" applyFont="1" applyBorder="1" applyAlignment="1">
      <alignment vertical="center"/>
    </xf>
    <xf numFmtId="164" fontId="51" fillId="0" borderId="6" xfId="4" applyFont="1" applyBorder="1" applyAlignment="1">
      <alignment vertical="center"/>
    </xf>
    <xf numFmtId="164" fontId="51" fillId="0" borderId="6" xfId="0" applyNumberFormat="1" applyFont="1" applyBorder="1" applyAlignment="1">
      <alignment vertical="center"/>
    </xf>
    <xf numFmtId="0" fontId="51" fillId="0" borderId="4" xfId="0" applyFont="1" applyBorder="1" applyAlignment="1">
      <alignment horizontal="center"/>
    </xf>
    <xf numFmtId="0" fontId="51" fillId="0" borderId="6" xfId="0" applyFont="1" applyBorder="1" applyAlignment="1">
      <alignment horizontal="center"/>
    </xf>
    <xf numFmtId="43" fontId="51" fillId="0" borderId="4" xfId="0" applyNumberFormat="1" applyFont="1" applyBorder="1"/>
    <xf numFmtId="43" fontId="51" fillId="0" borderId="6" xfId="0" applyNumberFormat="1" applyFont="1" applyBorder="1"/>
    <xf numFmtId="0" fontId="11" fillId="0" borderId="4" xfId="0" applyFont="1" applyBorder="1"/>
    <xf numFmtId="0" fontId="11" fillId="0" borderId="19" xfId="0" applyFont="1" applyBorder="1"/>
    <xf numFmtId="0" fontId="11" fillId="0" borderId="2" xfId="0" applyFont="1" applyBorder="1"/>
    <xf numFmtId="9" fontId="5" fillId="0" borderId="0" xfId="6" applyFont="1"/>
    <xf numFmtId="9" fontId="5" fillId="0" borderId="0" xfId="0" applyNumberFormat="1" applyFont="1" applyProtection="1">
      <protection locked="0"/>
    </xf>
    <xf numFmtId="9" fontId="5" fillId="0" borderId="0" xfId="0" applyNumberFormat="1" applyFont="1" applyAlignment="1" applyProtection="1">
      <alignment vertical="top"/>
      <protection locked="0"/>
    </xf>
    <xf numFmtId="10" fontId="5" fillId="0" borderId="0" xfId="0" applyNumberFormat="1" applyFont="1" applyProtection="1">
      <protection locked="0"/>
    </xf>
    <xf numFmtId="10" fontId="5" fillId="0" borderId="0" xfId="0" applyNumberFormat="1" applyFont="1" applyAlignment="1" applyProtection="1">
      <alignment vertical="top"/>
      <protection locked="0"/>
    </xf>
    <xf numFmtId="10" fontId="5" fillId="0" borderId="0" xfId="6" applyNumberFormat="1" applyFont="1"/>
    <xf numFmtId="0" fontId="5" fillId="0" borderId="19" xfId="0" applyFont="1" applyBorder="1"/>
    <xf numFmtId="0" fontId="5" fillId="0" borderId="19" xfId="0" applyFont="1" applyBorder="1" applyAlignment="1" applyProtection="1">
      <alignment horizontal="center" vertical="top"/>
      <protection locked="0"/>
    </xf>
    <xf numFmtId="0" fontId="5" fillId="0" borderId="19" xfId="0" applyFont="1" applyBorder="1" applyAlignment="1" applyProtection="1">
      <alignment horizontal="center" vertical="top" wrapText="1"/>
      <protection locked="0"/>
    </xf>
    <xf numFmtId="0" fontId="5" fillId="0" borderId="19" xfId="0" quotePrefix="1" applyFont="1" applyBorder="1"/>
    <xf numFmtId="0" fontId="6" fillId="0" borderId="19" xfId="0" applyFont="1" applyBorder="1" applyAlignment="1">
      <alignment horizontal="left" vertical="center"/>
    </xf>
    <xf numFmtId="0" fontId="6" fillId="0" borderId="19" xfId="0" applyFont="1" applyBorder="1"/>
    <xf numFmtId="0" fontId="11" fillId="0" borderId="19" xfId="0" quotePrefix="1" applyFont="1" applyBorder="1"/>
    <xf numFmtId="0" fontId="5" fillId="0" borderId="4" xfId="0" applyFont="1" applyBorder="1" applyAlignment="1">
      <alignment horizontal="left" vertical="top"/>
    </xf>
    <xf numFmtId="0" fontId="10" fillId="0" borderId="19" xfId="5" applyFont="1" applyBorder="1" applyAlignment="1">
      <alignment horizontal="center" vertical="center"/>
    </xf>
    <xf numFmtId="0" fontId="10" fillId="0" borderId="19" xfId="5" applyFont="1" applyBorder="1" applyAlignment="1">
      <alignment horizontal="left" vertical="center" indent="1"/>
    </xf>
    <xf numFmtId="0" fontId="10" fillId="0" borderId="19" xfId="5" applyFont="1" applyBorder="1">
      <alignment vertical="top"/>
    </xf>
    <xf numFmtId="166" fontId="11" fillId="0" borderId="19" xfId="4" applyNumberFormat="1" applyFont="1" applyBorder="1" applyAlignment="1">
      <alignment vertical="top"/>
    </xf>
    <xf numFmtId="0" fontId="6" fillId="0" borderId="64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25" fillId="0" borderId="64" xfId="2" applyFont="1" applyBorder="1" applyAlignment="1">
      <alignment horizontal="center" vertical="center"/>
    </xf>
    <xf numFmtId="172" fontId="26" fillId="0" borderId="64" xfId="4" applyNumberFormat="1" applyFont="1" applyBorder="1" applyAlignment="1">
      <alignment horizontal="center" vertical="center"/>
    </xf>
    <xf numFmtId="0" fontId="26" fillId="0" borderId="64" xfId="2" applyFont="1" applyBorder="1" applyAlignment="1">
      <alignment horizontal="center" vertical="center"/>
    </xf>
    <xf numFmtId="168" fontId="26" fillId="0" borderId="64" xfId="2" applyNumberFormat="1" applyFont="1" applyBorder="1" applyAlignment="1">
      <alignment horizontal="center" vertical="center"/>
    </xf>
    <xf numFmtId="168" fontId="26" fillId="0" borderId="64" xfId="4" applyNumberFormat="1" applyFont="1" applyBorder="1" applyAlignment="1">
      <alignment horizontal="center" vertical="center"/>
    </xf>
    <xf numFmtId="172" fontId="26" fillId="0" borderId="64" xfId="2" applyNumberFormat="1" applyFont="1" applyBorder="1" applyAlignment="1">
      <alignment horizontal="center" vertical="center"/>
    </xf>
    <xf numFmtId="0" fontId="6" fillId="0" borderId="67" xfId="18" applyFont="1" applyBorder="1" applyAlignment="1">
      <alignment horizontal="center" vertical="center"/>
    </xf>
    <xf numFmtId="0" fontId="6" fillId="0" borderId="64" xfId="18" applyFont="1" applyBorder="1" applyAlignment="1">
      <alignment horizontal="center" vertical="center"/>
    </xf>
    <xf numFmtId="0" fontId="6" fillId="0" borderId="69" xfId="18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4" xfId="7" applyFont="1" applyBorder="1" applyAlignment="1">
      <alignment horizontal="left" vertical="center"/>
    </xf>
    <xf numFmtId="49" fontId="5" fillId="0" borderId="4" xfId="7" applyNumberFormat="1" applyFont="1" applyBorder="1" applyAlignment="1">
      <alignment horizontal="center"/>
    </xf>
    <xf numFmtId="4" fontId="5" fillId="0" borderId="4" xfId="7" applyNumberFormat="1" applyFont="1" applyBorder="1" applyAlignment="1">
      <alignment horizontal="center"/>
    </xf>
    <xf numFmtId="0" fontId="5" fillId="0" borderId="4" xfId="7" applyFont="1" applyBorder="1" applyAlignment="1">
      <alignment horizontal="center"/>
    </xf>
    <xf numFmtId="0" fontId="5" fillId="0" borderId="4" xfId="7" applyFont="1" applyBorder="1" applyAlignment="1">
      <alignment horizontal="left"/>
    </xf>
    <xf numFmtId="0" fontId="5" fillId="0" borderId="5" xfId="7" applyFont="1" applyBorder="1" applyAlignment="1">
      <alignment horizontal="center" vertical="center"/>
    </xf>
    <xf numFmtId="49" fontId="5" fillId="0" borderId="4" xfId="8" applyNumberFormat="1" applyFont="1" applyBorder="1" applyAlignment="1">
      <alignment horizontal="center"/>
    </xf>
    <xf numFmtId="0" fontId="37" fillId="0" borderId="65" xfId="3" applyFont="1" applyBorder="1" applyAlignment="1">
      <alignment horizontal="center" vertical="center"/>
    </xf>
    <xf numFmtId="0" fontId="37" fillId="0" borderId="64" xfId="3" applyFont="1" applyBorder="1" applyAlignment="1">
      <alignment horizontal="center"/>
    </xf>
    <xf numFmtId="164" fontId="37" fillId="0" borderId="64" xfId="8" applyFont="1" applyFill="1" applyBorder="1" applyAlignment="1"/>
    <xf numFmtId="164" fontId="38" fillId="0" borderId="64" xfId="8" applyFont="1" applyFill="1" applyBorder="1" applyAlignment="1"/>
    <xf numFmtId="2" fontId="38" fillId="0" borderId="64" xfId="3" applyNumberFormat="1" applyFont="1" applyBorder="1" applyAlignment="1">
      <alignment horizontal="center"/>
    </xf>
    <xf numFmtId="0" fontId="37" fillId="0" borderId="4" xfId="3" applyFont="1" applyBorder="1" applyAlignment="1">
      <alignment horizontal="center"/>
    </xf>
    <xf numFmtId="164" fontId="37" fillId="0" borderId="4" xfId="8" applyFont="1" applyFill="1" applyBorder="1" applyAlignment="1"/>
    <xf numFmtId="164" fontId="38" fillId="0" borderId="4" xfId="8" applyFont="1" applyFill="1" applyBorder="1" applyAlignment="1"/>
    <xf numFmtId="2" fontId="38" fillId="0" borderId="4" xfId="3" applyNumberFormat="1" applyFont="1" applyBorder="1" applyAlignment="1">
      <alignment horizontal="center"/>
    </xf>
    <xf numFmtId="0" fontId="37" fillId="0" borderId="64" xfId="3" applyFont="1" applyBorder="1"/>
    <xf numFmtId="0" fontId="38" fillId="0" borderId="64" xfId="3" quotePrefix="1" applyFont="1" applyBorder="1"/>
    <xf numFmtId="0" fontId="38" fillId="0" borderId="64" xfId="3" applyFont="1" applyBorder="1"/>
    <xf numFmtId="0" fontId="37" fillId="0" borderId="64" xfId="3" applyFont="1" applyBorder="1" applyAlignment="1">
      <alignment horizontal="left"/>
    </xf>
    <xf numFmtId="0" fontId="37" fillId="0" borderId="4" xfId="3" applyFont="1" applyBorder="1" applyAlignment="1">
      <alignment horizontal="left"/>
    </xf>
    <xf numFmtId="49" fontId="37" fillId="0" borderId="64" xfId="3" applyNumberFormat="1" applyFont="1" applyBorder="1" applyAlignment="1">
      <alignment vertical="center" wrapText="1"/>
    </xf>
    <xf numFmtId="49" fontId="37" fillId="0" borderId="64" xfId="3" applyNumberFormat="1" applyFont="1" applyBorder="1" applyAlignment="1">
      <alignment horizontal="left" vertical="center"/>
    </xf>
    <xf numFmtId="0" fontId="37" fillId="0" borderId="64" xfId="3" applyFont="1" applyBorder="1" applyAlignment="1">
      <alignment horizontal="left" vertical="center"/>
    </xf>
    <xf numFmtId="164" fontId="37" fillId="0" borderId="64" xfId="8" applyFont="1" applyFill="1" applyBorder="1" applyAlignment="1">
      <alignment vertical="center"/>
    </xf>
    <xf numFmtId="164" fontId="38" fillId="0" borderId="64" xfId="8" applyFont="1" applyFill="1" applyBorder="1" applyAlignment="1">
      <alignment horizontal="left" vertical="center"/>
    </xf>
    <xf numFmtId="2" fontId="37" fillId="0" borderId="64" xfId="3" applyNumberFormat="1" applyFont="1" applyBorder="1" applyAlignment="1">
      <alignment horizontal="center" vertical="center"/>
    </xf>
    <xf numFmtId="0" fontId="40" fillId="5" borderId="64" xfId="15" applyFont="1" applyFill="1" applyBorder="1" applyAlignment="1">
      <alignment horizontal="center" vertical="center"/>
    </xf>
    <xf numFmtId="0" fontId="10" fillId="8" borderId="64" xfId="15" applyFont="1" applyFill="1" applyBorder="1" applyAlignment="1">
      <alignment horizontal="center"/>
    </xf>
    <xf numFmtId="49" fontId="10" fillId="8" borderId="64" xfId="15" applyNumberFormat="1" applyFont="1" applyFill="1" applyBorder="1" applyAlignment="1">
      <alignment horizontal="center"/>
    </xf>
    <xf numFmtId="0" fontId="11" fillId="11" borderId="64" xfId="15" applyFont="1" applyFill="1" applyBorder="1" applyAlignment="1">
      <alignment horizontal="center" vertical="center"/>
    </xf>
    <xf numFmtId="0" fontId="11" fillId="11" borderId="64" xfId="15" applyFont="1" applyFill="1" applyBorder="1" applyAlignment="1">
      <alignment wrapText="1"/>
    </xf>
    <xf numFmtId="168" fontId="5" fillId="11" borderId="64" xfId="16" applyNumberFormat="1" applyFont="1" applyFill="1" applyBorder="1"/>
    <xf numFmtId="172" fontId="11" fillId="11" borderId="64" xfId="17" applyNumberFormat="1" applyFont="1" applyFill="1" applyBorder="1"/>
    <xf numFmtId="0" fontId="5" fillId="0" borderId="64" xfId="15" applyFont="1" applyBorder="1" applyAlignment="1">
      <alignment horizontal="center"/>
    </xf>
    <xf numFmtId="49" fontId="5" fillId="11" borderId="64" xfId="15" applyNumberFormat="1" applyFont="1" applyFill="1" applyBorder="1" applyAlignment="1">
      <alignment horizontal="right"/>
    </xf>
    <xf numFmtId="0" fontId="5" fillId="0" borderId="64" xfId="15" applyFont="1" applyBorder="1" applyAlignment="1">
      <alignment horizontal="right"/>
    </xf>
    <xf numFmtId="49" fontId="5" fillId="0" borderId="64" xfId="15" applyNumberFormat="1" applyFont="1" applyBorder="1" applyAlignment="1">
      <alignment horizontal="right"/>
    </xf>
    <xf numFmtId="0" fontId="5" fillId="11" borderId="64" xfId="15" applyFont="1" applyFill="1" applyBorder="1" applyAlignment="1">
      <alignment horizontal="center"/>
    </xf>
    <xf numFmtId="0" fontId="5" fillId="11" borderId="64" xfId="15" applyFont="1" applyFill="1" applyBorder="1" applyAlignment="1">
      <alignment horizontal="right"/>
    </xf>
    <xf numFmtId="0" fontId="11" fillId="11" borderId="65" xfId="15" applyFont="1" applyFill="1" applyBorder="1" applyAlignment="1">
      <alignment wrapText="1"/>
    </xf>
    <xf numFmtId="0" fontId="10" fillId="11" borderId="65" xfId="15" applyFont="1" applyFill="1" applyBorder="1" applyAlignment="1">
      <alignment horizontal="center" vertical="center"/>
    </xf>
    <xf numFmtId="172" fontId="11" fillId="11" borderId="64" xfId="15" applyNumberFormat="1" applyFont="1" applyFill="1" applyBorder="1"/>
    <xf numFmtId="0" fontId="49" fillId="11" borderId="64" xfId="15" applyFont="1" applyFill="1" applyBorder="1" applyAlignment="1">
      <alignment vertical="center"/>
    </xf>
    <xf numFmtId="172" fontId="10" fillId="11" borderId="64" xfId="15" applyNumberFormat="1" applyFont="1" applyFill="1" applyBorder="1" applyAlignment="1">
      <alignment vertical="center"/>
    </xf>
    <xf numFmtId="0" fontId="5" fillId="11" borderId="5" xfId="15" applyFont="1" applyFill="1" applyBorder="1" applyAlignment="1">
      <alignment horizontal="center"/>
    </xf>
    <xf numFmtId="0" fontId="6" fillId="11" borderId="64" xfId="16" applyFont="1" applyFill="1" applyBorder="1" applyAlignment="1">
      <alignment horizontal="center" vertical="center"/>
    </xf>
    <xf numFmtId="168" fontId="6" fillId="11" borderId="64" xfId="22" applyNumberFormat="1" applyFont="1" applyFill="1" applyBorder="1" applyAlignment="1">
      <alignment horizontal="center" vertical="center" wrapText="1"/>
    </xf>
    <xf numFmtId="0" fontId="6" fillId="12" borderId="64" xfId="16" applyFont="1" applyFill="1" applyBorder="1" applyAlignment="1">
      <alignment horizontal="center" vertical="center" textRotation="90"/>
    </xf>
    <xf numFmtId="172" fontId="6" fillId="12" borderId="65" xfId="17" applyNumberFormat="1" applyFont="1" applyFill="1" applyBorder="1" applyAlignment="1">
      <alignment horizontal="center" vertical="center" wrapText="1"/>
    </xf>
    <xf numFmtId="0" fontId="6" fillId="12" borderId="64" xfId="16" applyFont="1" applyFill="1" applyBorder="1" applyAlignment="1">
      <alignment horizontal="center" vertical="center" wrapText="1"/>
    </xf>
    <xf numFmtId="0" fontId="6" fillId="11" borderId="64" xfId="16" applyFont="1" applyFill="1" applyBorder="1" applyAlignment="1">
      <alignment horizontal="center" vertical="center" wrapText="1"/>
    </xf>
    <xf numFmtId="0" fontId="6" fillId="13" borderId="64" xfId="16" applyFont="1" applyFill="1" applyBorder="1" applyAlignment="1">
      <alignment horizontal="center" vertical="center" wrapText="1"/>
    </xf>
    <xf numFmtId="0" fontId="26" fillId="11" borderId="67" xfId="15" applyFont="1" applyFill="1" applyBorder="1" applyAlignment="1">
      <alignment horizontal="center" vertical="top"/>
    </xf>
    <xf numFmtId="0" fontId="26" fillId="11" borderId="64" xfId="15" applyFont="1" applyFill="1" applyBorder="1" applyAlignment="1">
      <alignment horizontal="center" vertical="top"/>
    </xf>
    <xf numFmtId="0" fontId="26" fillId="11" borderId="69" xfId="15" applyFont="1" applyFill="1" applyBorder="1" applyAlignment="1">
      <alignment horizontal="center" vertical="top"/>
    </xf>
    <xf numFmtId="0" fontId="5" fillId="11" borderId="5" xfId="16" applyFont="1" applyFill="1" applyBorder="1" applyAlignment="1">
      <alignment horizontal="left" vertical="top" wrapText="1" indent="1"/>
    </xf>
    <xf numFmtId="0" fontId="6" fillId="12" borderId="64" xfId="16" applyFont="1" applyFill="1" applyBorder="1" applyAlignment="1">
      <alignment horizontal="center"/>
    </xf>
    <xf numFmtId="0" fontId="48" fillId="12" borderId="64" xfId="15" applyFill="1" applyBorder="1"/>
    <xf numFmtId="1" fontId="5" fillId="12" borderId="64" xfId="15" applyNumberFormat="1" applyFont="1" applyFill="1" applyBorder="1"/>
    <xf numFmtId="172" fontId="6" fillId="12" borderId="64" xfId="17" applyNumberFormat="1" applyFont="1" applyFill="1" applyBorder="1"/>
    <xf numFmtId="168" fontId="6" fillId="12" borderId="64" xfId="15" applyNumberFormat="1" applyFont="1" applyFill="1" applyBorder="1"/>
    <xf numFmtId="168" fontId="5" fillId="12" borderId="64" xfId="15" applyNumberFormat="1" applyFont="1" applyFill="1" applyBorder="1"/>
    <xf numFmtId="178" fontId="5" fillId="12" borderId="64" xfId="15" applyNumberFormat="1" applyFont="1" applyFill="1" applyBorder="1"/>
    <xf numFmtId="178" fontId="5" fillId="4" borderId="64" xfId="15" applyNumberFormat="1" applyFont="1" applyFill="1" applyBorder="1"/>
    <xf numFmtId="43" fontId="5" fillId="0" borderId="64" xfId="0" applyNumberFormat="1" applyFont="1" applyBorder="1"/>
    <xf numFmtId="0" fontId="6" fillId="0" borderId="65" xfId="0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5" fillId="0" borderId="64" xfId="0" applyFont="1" applyBorder="1"/>
    <xf numFmtId="2" fontId="5" fillId="0" borderId="64" xfId="0" applyNumberFormat="1" applyFont="1" applyBorder="1"/>
    <xf numFmtId="0" fontId="11" fillId="0" borderId="65" xfId="0" applyFont="1" applyBorder="1"/>
    <xf numFmtId="0" fontId="11" fillId="0" borderId="66" xfId="0" applyFont="1" applyBorder="1"/>
    <xf numFmtId="0" fontId="11" fillId="0" borderId="64" xfId="0" applyFont="1" applyBorder="1"/>
    <xf numFmtId="43" fontId="10" fillId="0" borderId="64" xfId="0" applyNumberFormat="1" applyFont="1" applyBorder="1"/>
    <xf numFmtId="0" fontId="5" fillId="6" borderId="64" xfId="0" applyFont="1" applyFill="1" applyBorder="1" applyAlignment="1">
      <alignment horizontal="center" vertical="center" wrapText="1"/>
    </xf>
    <xf numFmtId="0" fontId="5" fillId="6" borderId="64" xfId="0" applyFont="1" applyFill="1" applyBorder="1" applyAlignment="1">
      <alignment horizontal="center" vertical="top" wrapText="1"/>
    </xf>
    <xf numFmtId="0" fontId="5" fillId="0" borderId="64" xfId="0" applyFont="1" applyBorder="1" applyAlignment="1">
      <alignment vertical="top" wrapText="1"/>
    </xf>
    <xf numFmtId="9" fontId="5" fillId="0" borderId="64" xfId="6" applyFont="1" applyBorder="1" applyAlignment="1">
      <alignment horizontal="center" vertical="top" wrapText="1"/>
    </xf>
    <xf numFmtId="0" fontId="5" fillId="0" borderId="64" xfId="0" applyFont="1" applyBorder="1" applyAlignment="1">
      <alignment horizontal="center" vertical="top" wrapText="1"/>
    </xf>
    <xf numFmtId="0" fontId="5" fillId="0" borderId="64" xfId="0" applyFont="1" applyBorder="1" applyAlignment="1">
      <alignment horizontal="left" vertical="top" wrapText="1"/>
    </xf>
    <xf numFmtId="0" fontId="5" fillId="0" borderId="64" xfId="0" applyFont="1" applyBorder="1" applyAlignment="1">
      <alignment vertical="center" wrapText="1"/>
    </xf>
    <xf numFmtId="172" fontId="5" fillId="0" borderId="64" xfId="4" applyNumberFormat="1" applyFont="1" applyBorder="1" applyAlignment="1">
      <alignment horizontal="center" vertical="top"/>
    </xf>
    <xf numFmtId="172" fontId="5" fillId="0" borderId="64" xfId="4" applyNumberFormat="1" applyFont="1" applyBorder="1" applyAlignment="1">
      <alignment horizontal="center" vertical="center"/>
    </xf>
    <xf numFmtId="172" fontId="6" fillId="0" borderId="64" xfId="0" applyNumberFormat="1" applyFont="1" applyBorder="1"/>
    <xf numFmtId="0" fontId="6" fillId="0" borderId="64" xfId="0" applyFont="1" applyBorder="1"/>
    <xf numFmtId="172" fontId="5" fillId="0" borderId="64" xfId="4" applyNumberFormat="1" applyFont="1" applyBorder="1"/>
    <xf numFmtId="172" fontId="5" fillId="0" borderId="64" xfId="0" applyNumberFormat="1" applyFont="1" applyBorder="1"/>
    <xf numFmtId="172" fontId="6" fillId="0" borderId="64" xfId="0" applyNumberFormat="1" applyFont="1" applyBorder="1" applyAlignment="1">
      <alignment horizontal="left" indent="1"/>
    </xf>
    <xf numFmtId="172" fontId="50" fillId="0" borderId="64" xfId="4" applyNumberFormat="1" applyFont="1" applyBorder="1" applyAlignment="1">
      <alignment horizontal="center" vertical="center"/>
    </xf>
    <xf numFmtId="0" fontId="50" fillId="0" borderId="64" xfId="2" applyFont="1" applyBorder="1" applyAlignment="1">
      <alignment horizontal="center" vertical="center"/>
    </xf>
    <xf numFmtId="168" fontId="50" fillId="0" borderId="64" xfId="2" applyNumberFormat="1" applyFont="1" applyBorder="1" applyAlignment="1">
      <alignment horizontal="center" vertical="center"/>
    </xf>
    <xf numFmtId="168" fontId="50" fillId="0" borderId="64" xfId="4" applyNumberFormat="1" applyFont="1" applyBorder="1" applyAlignment="1">
      <alignment horizontal="center" vertical="center"/>
    </xf>
    <xf numFmtId="172" fontId="50" fillId="0" borderId="64" xfId="2" applyNumberFormat="1" applyFont="1" applyBorder="1" applyAlignment="1">
      <alignment horizontal="center" vertical="center"/>
    </xf>
    <xf numFmtId="174" fontId="5" fillId="0" borderId="71" xfId="19" applyNumberFormat="1" applyFont="1" applyBorder="1"/>
    <xf numFmtId="174" fontId="5" fillId="0" borderId="70" xfId="19" applyNumberFormat="1" applyFont="1" applyBorder="1"/>
    <xf numFmtId="0" fontId="5" fillId="0" borderId="72" xfId="7" applyFont="1" applyBorder="1" applyAlignment="1">
      <alignment horizontal="center" vertical="center"/>
    </xf>
    <xf numFmtId="0" fontId="38" fillId="0" borderId="73" xfId="3" applyFont="1" applyBorder="1"/>
    <xf numFmtId="0" fontId="52" fillId="0" borderId="0" xfId="0" applyFont="1"/>
    <xf numFmtId="0" fontId="6" fillId="0" borderId="75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/>
    </xf>
    <xf numFmtId="0" fontId="5" fillId="0" borderId="73" xfId="0" applyFont="1" applyBorder="1" applyAlignment="1">
      <alignment horizontal="left" vertical="top" wrapText="1"/>
    </xf>
    <xf numFmtId="0" fontId="5" fillId="0" borderId="74" xfId="0" applyFont="1" applyBorder="1" applyAlignment="1">
      <alignment horizontal="left" vertical="top" wrapText="1"/>
    </xf>
    <xf numFmtId="0" fontId="6" fillId="0" borderId="72" xfId="0" applyFont="1" applyBorder="1" applyAlignment="1">
      <alignment horizontal="center"/>
    </xf>
    <xf numFmtId="0" fontId="6" fillId="0" borderId="74" xfId="0" applyFont="1" applyBorder="1" applyAlignment="1">
      <alignment horizontal="center"/>
    </xf>
    <xf numFmtId="0" fontId="13" fillId="0" borderId="72" xfId="0" applyFont="1" applyBorder="1" applyAlignment="1">
      <alignment horizontal="left" vertical="center"/>
    </xf>
    <xf numFmtId="0" fontId="5" fillId="0" borderId="7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3" xfId="0" applyFont="1" applyBorder="1"/>
    <xf numFmtId="0" fontId="11" fillId="0" borderId="72" xfId="0" applyFont="1" applyBorder="1"/>
    <xf numFmtId="0" fontId="11" fillId="0" borderId="74" xfId="0" applyFont="1" applyBorder="1"/>
    <xf numFmtId="0" fontId="11" fillId="0" borderId="75" xfId="0" applyFont="1" applyBorder="1"/>
    <xf numFmtId="0" fontId="6" fillId="0" borderId="75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11" fillId="0" borderId="73" xfId="0" applyFont="1" applyBorder="1"/>
    <xf numFmtId="0" fontId="5" fillId="0" borderId="75" xfId="0" applyFont="1" applyBorder="1"/>
    <xf numFmtId="0" fontId="5" fillId="0" borderId="75" xfId="0" applyFont="1" applyBorder="1" applyAlignment="1">
      <alignment horizontal="center" vertical="top"/>
    </xf>
    <xf numFmtId="0" fontId="5" fillId="0" borderId="72" xfId="0" applyFont="1" applyBorder="1" applyAlignment="1">
      <alignment horizontal="center" vertical="top"/>
    </xf>
    <xf numFmtId="0" fontId="5" fillId="0" borderId="76" xfId="0" applyFont="1" applyBorder="1" applyAlignment="1">
      <alignment horizontal="center" vertical="top"/>
    </xf>
    <xf numFmtId="0" fontId="5" fillId="0" borderId="74" xfId="0" applyFont="1" applyBorder="1" applyAlignment="1">
      <alignment vertical="top"/>
    </xf>
    <xf numFmtId="172" fontId="5" fillId="0" borderId="74" xfId="0" applyNumberFormat="1" applyFont="1" applyBorder="1" applyAlignment="1">
      <alignment horizontal="center" vertical="top"/>
    </xf>
    <xf numFmtId="0" fontId="6" fillId="0" borderId="72" xfId="0" applyFont="1" applyBorder="1"/>
    <xf numFmtId="0" fontId="5" fillId="0" borderId="74" xfId="0" applyFont="1" applyBorder="1"/>
    <xf numFmtId="0" fontId="25" fillId="0" borderId="75" xfId="2" applyFont="1" applyBorder="1" applyAlignment="1">
      <alignment horizontal="left" vertical="center"/>
    </xf>
    <xf numFmtId="172" fontId="50" fillId="0" borderId="75" xfId="4" applyNumberFormat="1" applyFont="1" applyBorder="1" applyAlignment="1">
      <alignment horizontal="center" vertical="center"/>
    </xf>
    <xf numFmtId="0" fontId="50" fillId="0" borderId="75" xfId="2" applyFont="1" applyBorder="1" applyAlignment="1">
      <alignment horizontal="center" vertical="center"/>
    </xf>
    <xf numFmtId="172" fontId="50" fillId="0" borderId="75" xfId="2" applyNumberFormat="1" applyFont="1" applyBorder="1" applyAlignment="1">
      <alignment horizontal="center" vertical="center"/>
    </xf>
    <xf numFmtId="168" fontId="50" fillId="0" borderId="75" xfId="2" applyNumberFormat="1" applyFont="1" applyBorder="1" applyAlignment="1">
      <alignment horizontal="center" vertical="center"/>
    </xf>
    <xf numFmtId="0" fontId="10" fillId="0" borderId="75" xfId="5" applyFont="1" applyBorder="1" applyAlignment="1">
      <alignment horizontal="center" vertical="center"/>
    </xf>
    <xf numFmtId="0" fontId="10" fillId="0" borderId="75" xfId="5" applyFont="1" applyBorder="1">
      <alignment vertical="top"/>
    </xf>
    <xf numFmtId="172" fontId="26" fillId="0" borderId="75" xfId="4" applyNumberFormat="1" applyFont="1" applyBorder="1" applyAlignment="1">
      <alignment horizontal="center" vertical="center"/>
    </xf>
    <xf numFmtId="172" fontId="26" fillId="0" borderId="75" xfId="2" applyNumberFormat="1" applyFont="1" applyBorder="1" applyAlignment="1">
      <alignment horizontal="center" vertical="center"/>
    </xf>
    <xf numFmtId="0" fontId="26" fillId="0" borderId="75" xfId="2" applyFont="1" applyBorder="1" applyAlignment="1">
      <alignment horizontal="center" vertical="center"/>
    </xf>
    <xf numFmtId="168" fontId="26" fillId="0" borderId="75" xfId="2" applyNumberFormat="1" applyFont="1" applyBorder="1" applyAlignment="1">
      <alignment horizontal="center" vertical="center"/>
    </xf>
    <xf numFmtId="174" fontId="5" fillId="0" borderId="75" xfId="19" applyNumberFormat="1" applyFont="1" applyBorder="1"/>
    <xf numFmtId="0" fontId="6" fillId="0" borderId="75" xfId="7" applyFont="1" applyBorder="1" applyAlignment="1">
      <alignment horizontal="center"/>
    </xf>
    <xf numFmtId="0" fontId="5" fillId="0" borderId="75" xfId="7" applyFont="1" applyBorder="1" applyAlignment="1">
      <alignment horizontal="left" vertical="center"/>
    </xf>
    <xf numFmtId="49" fontId="5" fillId="0" borderId="75" xfId="7" applyNumberFormat="1" applyFont="1" applyBorder="1" applyAlignment="1">
      <alignment horizontal="center"/>
    </xf>
    <xf numFmtId="4" fontId="5" fillId="0" borderId="75" xfId="7" applyNumberFormat="1" applyFont="1" applyBorder="1" applyAlignment="1">
      <alignment horizontal="center"/>
    </xf>
    <xf numFmtId="0" fontId="5" fillId="0" borderId="75" xfId="7" applyFont="1" applyBorder="1" applyAlignment="1">
      <alignment horizontal="center"/>
    </xf>
    <xf numFmtId="0" fontId="5" fillId="0" borderId="75" xfId="7" applyFont="1" applyBorder="1" applyAlignment="1">
      <alignment horizontal="center" vertical="center"/>
    </xf>
    <xf numFmtId="49" fontId="5" fillId="0" borderId="75" xfId="8" applyNumberFormat="1" applyFont="1" applyBorder="1" applyAlignment="1">
      <alignment horizontal="center"/>
    </xf>
    <xf numFmtId="0" fontId="37" fillId="0" borderId="75" xfId="3" applyFont="1" applyBorder="1" applyAlignment="1">
      <alignment horizontal="center"/>
    </xf>
    <xf numFmtId="0" fontId="37" fillId="0" borderId="75" xfId="3" applyFont="1" applyBorder="1" applyAlignment="1">
      <alignment horizontal="left"/>
    </xf>
    <xf numFmtId="0" fontId="38" fillId="0" borderId="75" xfId="3" applyFont="1" applyBorder="1" applyAlignment="1">
      <alignment horizontal="left"/>
    </xf>
    <xf numFmtId="2" fontId="38" fillId="0" borderId="75" xfId="3" applyNumberFormat="1" applyFont="1" applyBorder="1" applyAlignment="1">
      <alignment horizontal="center"/>
    </xf>
    <xf numFmtId="164" fontId="37" fillId="0" borderId="75" xfId="8" applyFont="1" applyFill="1" applyBorder="1" applyAlignment="1">
      <alignment vertical="center"/>
    </xf>
    <xf numFmtId="164" fontId="37" fillId="0" borderId="75" xfId="8" applyFont="1" applyFill="1" applyBorder="1" applyAlignment="1">
      <alignment horizontal="left"/>
    </xf>
    <xf numFmtId="164" fontId="38" fillId="0" borderId="75" xfId="8" applyFont="1" applyFill="1" applyBorder="1" applyAlignment="1"/>
    <xf numFmtId="0" fontId="40" fillId="8" borderId="75" xfId="9" applyFont="1" applyFill="1" applyBorder="1" applyAlignment="1">
      <alignment horizontal="center" vertical="center" shrinkToFit="1"/>
    </xf>
    <xf numFmtId="168" fontId="40" fillId="8" borderId="75" xfId="10" applyNumberFormat="1" applyFont="1" applyFill="1" applyBorder="1" applyAlignment="1">
      <alignment horizontal="center" vertical="center" shrinkToFit="1"/>
    </xf>
    <xf numFmtId="168" fontId="40" fillId="10" borderId="75" xfId="10" applyNumberFormat="1" applyFont="1" applyFill="1" applyBorder="1" applyAlignment="1">
      <alignment horizontal="center" vertical="center" shrinkToFit="1"/>
    </xf>
    <xf numFmtId="0" fontId="5" fillId="11" borderId="75" xfId="16" applyFont="1" applyFill="1" applyBorder="1"/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65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75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72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9" fontId="5" fillId="0" borderId="65" xfId="6" applyFont="1" applyBorder="1" applyAlignment="1">
      <alignment horizontal="center"/>
    </xf>
    <xf numFmtId="9" fontId="5" fillId="0" borderId="76" xfId="6" applyFont="1" applyBorder="1" applyAlignment="1">
      <alignment horizontal="center"/>
    </xf>
    <xf numFmtId="9" fontId="5" fillId="0" borderId="66" xfId="6" applyFont="1" applyBorder="1" applyAlignment="1">
      <alignment horizont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5" fillId="0" borderId="1" xfId="6" applyFont="1" applyBorder="1" applyAlignment="1">
      <alignment horizontal="center"/>
    </xf>
    <xf numFmtId="9" fontId="5" fillId="0" borderId="7" xfId="6" applyFont="1" applyBorder="1" applyAlignment="1">
      <alignment horizontal="center"/>
    </xf>
    <xf numFmtId="9" fontId="5" fillId="0" borderId="2" xfId="6" applyFont="1" applyBorder="1" applyAlignment="1">
      <alignment horizontal="center"/>
    </xf>
    <xf numFmtId="9" fontId="5" fillId="0" borderId="19" xfId="6" applyFont="1" applyBorder="1" applyAlignment="1">
      <alignment horizontal="center"/>
    </xf>
    <xf numFmtId="9" fontId="5" fillId="0" borderId="0" xfId="6" applyFont="1" applyBorder="1" applyAlignment="1">
      <alignment horizontal="center"/>
    </xf>
    <xf numFmtId="9" fontId="5" fillId="0" borderId="6" xfId="6" applyFont="1" applyBorder="1" applyAlignment="1">
      <alignment horizontal="center"/>
    </xf>
    <xf numFmtId="9" fontId="5" fillId="0" borderId="72" xfId="6" applyFont="1" applyBorder="1" applyAlignment="1">
      <alignment horizontal="center"/>
    </xf>
    <xf numFmtId="9" fontId="5" fillId="0" borderId="73" xfId="6" applyFont="1" applyBorder="1" applyAlignment="1">
      <alignment horizontal="center"/>
    </xf>
    <xf numFmtId="9" fontId="5" fillId="0" borderId="74" xfId="6" applyFont="1" applyBorder="1" applyAlignment="1">
      <alignment horizontal="center"/>
    </xf>
    <xf numFmtId="0" fontId="5" fillId="0" borderId="7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horizontal="left" vertical="top"/>
      <protection locked="0"/>
    </xf>
    <xf numFmtId="0" fontId="5" fillId="0" borderId="7" xfId="0" applyFont="1" applyBorder="1" applyAlignment="1">
      <alignment horizontal="left" vertical="top" wrapText="1"/>
    </xf>
    <xf numFmtId="0" fontId="5" fillId="0" borderId="73" xfId="0" applyFont="1" applyBorder="1" applyAlignment="1">
      <alignment horizontal="center" vertical="top" wrapText="1"/>
    </xf>
    <xf numFmtId="0" fontId="5" fillId="0" borderId="74" xfId="0" applyFont="1" applyBorder="1" applyAlignment="1">
      <alignment horizontal="center" vertical="top" wrapText="1"/>
    </xf>
    <xf numFmtId="9" fontId="5" fillId="0" borderId="0" xfId="0" applyNumberFormat="1" applyFont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65" xfId="0" applyFont="1" applyBorder="1" applyAlignment="1">
      <alignment horizontal="center"/>
    </xf>
    <xf numFmtId="0" fontId="6" fillId="0" borderId="76" xfId="0" applyFont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0" borderId="7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18" fillId="0" borderId="72" xfId="0" applyFont="1" applyBorder="1" applyAlignment="1" applyProtection="1">
      <alignment horizontal="center" vertical="top"/>
      <protection locked="0"/>
    </xf>
    <xf numFmtId="0" fontId="18" fillId="0" borderId="73" xfId="0" applyFont="1" applyBorder="1" applyAlignment="1" applyProtection="1">
      <alignment horizontal="center" vertical="top"/>
      <protection locked="0"/>
    </xf>
    <xf numFmtId="0" fontId="18" fillId="0" borderId="74" xfId="0" applyFont="1" applyBorder="1" applyAlignment="1" applyProtection="1">
      <alignment horizontal="center" vertical="top"/>
      <protection locked="0"/>
    </xf>
    <xf numFmtId="0" fontId="6" fillId="0" borderId="1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72" xfId="0" applyFont="1" applyBorder="1" applyAlignment="1">
      <alignment horizontal="center"/>
    </xf>
    <xf numFmtId="0" fontId="6" fillId="0" borderId="7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51" fillId="0" borderId="19" xfId="4" applyFont="1" applyBorder="1" applyAlignment="1">
      <alignment horizontal="center" vertical="center"/>
    </xf>
    <xf numFmtId="164" fontId="51" fillId="0" borderId="6" xfId="4" applyFont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3" fontId="10" fillId="0" borderId="65" xfId="0" applyNumberFormat="1" applyFont="1" applyBorder="1" applyAlignment="1">
      <alignment horizontal="center"/>
    </xf>
    <xf numFmtId="0" fontId="10" fillId="0" borderId="66" xfId="0" applyFont="1" applyBorder="1" applyAlignment="1">
      <alignment horizontal="center"/>
    </xf>
    <xf numFmtId="164" fontId="51" fillId="0" borderId="19" xfId="4" applyFont="1" applyBorder="1" applyAlignment="1">
      <alignment horizontal="center"/>
    </xf>
    <xf numFmtId="164" fontId="51" fillId="0" borderId="6" xfId="4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64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/>
    </xf>
    <xf numFmtId="0" fontId="5" fillId="0" borderId="64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7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6" borderId="6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5" fillId="0" borderId="6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72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0" borderId="65" xfId="0" applyFont="1" applyBorder="1" applyAlignment="1">
      <alignment horizontal="center" vertical="top"/>
    </xf>
    <xf numFmtId="0" fontId="5" fillId="0" borderId="76" xfId="0" applyFont="1" applyBorder="1" applyAlignment="1">
      <alignment horizontal="center" vertical="top"/>
    </xf>
    <xf numFmtId="0" fontId="5" fillId="0" borderId="66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textRotation="180"/>
    </xf>
    <xf numFmtId="0" fontId="1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right" textRotation="180"/>
    </xf>
    <xf numFmtId="0" fontId="18" fillId="0" borderId="0" xfId="0" applyFont="1" applyAlignment="1">
      <alignment horizontal="left" vertical="top" textRotation="180"/>
    </xf>
    <xf numFmtId="0" fontId="27" fillId="0" borderId="0" xfId="2" applyFont="1" applyAlignment="1">
      <alignment horizontal="center" vertical="center"/>
    </xf>
    <xf numFmtId="0" fontId="25" fillId="0" borderId="64" xfId="2" applyFont="1" applyBorder="1" applyAlignment="1">
      <alignment horizontal="center" vertical="center"/>
    </xf>
    <xf numFmtId="0" fontId="25" fillId="0" borderId="64" xfId="2" applyFont="1" applyBorder="1" applyAlignment="1">
      <alignment horizontal="center" vertical="center" wrapText="1"/>
    </xf>
    <xf numFmtId="0" fontId="10" fillId="0" borderId="65" xfId="5" applyFont="1" applyBorder="1" applyAlignment="1">
      <alignment horizontal="center" vertical="center"/>
    </xf>
    <xf numFmtId="0" fontId="10" fillId="0" borderId="76" xfId="5" applyFont="1" applyBorder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0" fillId="0" borderId="0" xfId="5" applyFont="1" applyAlignment="1">
      <alignment horizontal="left" vertical="center"/>
    </xf>
    <xf numFmtId="0" fontId="10" fillId="0" borderId="4" xfId="5" applyFont="1" applyBorder="1" applyAlignment="1">
      <alignment horizontal="center" vertical="center"/>
    </xf>
    <xf numFmtId="0" fontId="10" fillId="0" borderId="3" xfId="5" applyFont="1" applyBorder="1" applyAlignment="1">
      <alignment horizontal="center" vertical="center"/>
    </xf>
    <xf numFmtId="0" fontId="6" fillId="0" borderId="0" xfId="5" applyFont="1" applyAlignment="1">
      <alignment horizontal="center"/>
    </xf>
    <xf numFmtId="0" fontId="10" fillId="0" borderId="75" xfId="5" applyFont="1" applyBorder="1" applyAlignment="1">
      <alignment horizontal="center" vertical="center" wrapText="1"/>
    </xf>
    <xf numFmtId="0" fontId="10" fillId="0" borderId="72" xfId="5" applyFont="1" applyBorder="1" applyAlignment="1">
      <alignment horizontal="center" vertical="center"/>
    </xf>
    <xf numFmtId="0" fontId="10" fillId="0" borderId="73" xfId="5" applyFont="1" applyBorder="1" applyAlignment="1">
      <alignment horizontal="center" vertical="center"/>
    </xf>
    <xf numFmtId="0" fontId="10" fillId="0" borderId="19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10" fillId="0" borderId="7" xfId="5" applyFont="1" applyBorder="1" applyAlignment="1">
      <alignment horizontal="center" vertical="center"/>
    </xf>
    <xf numFmtId="0" fontId="10" fillId="0" borderId="66" xfId="5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7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1" fillId="0" borderId="0" xfId="18" applyFont="1" applyAlignment="1">
      <alignment horizontal="right"/>
    </xf>
    <xf numFmtId="0" fontId="15" fillId="0" borderId="0" xfId="18" applyFont="1" applyAlignment="1">
      <alignment horizontal="center"/>
    </xf>
    <xf numFmtId="0" fontId="6" fillId="0" borderId="26" xfId="18" applyFont="1" applyBorder="1" applyAlignment="1">
      <alignment horizontal="center" vertical="center"/>
    </xf>
    <xf numFmtId="0" fontId="6" fillId="0" borderId="68" xfId="18" applyFont="1" applyBorder="1" applyAlignment="1">
      <alignment horizontal="center" vertical="center"/>
    </xf>
    <xf numFmtId="0" fontId="6" fillId="0" borderId="27" xfId="18" applyFont="1" applyBorder="1" applyAlignment="1">
      <alignment horizontal="center" vertical="center" wrapText="1"/>
    </xf>
    <xf numFmtId="0" fontId="6" fillId="0" borderId="29" xfId="18" applyFont="1" applyBorder="1" applyAlignment="1">
      <alignment horizontal="center" vertical="center" wrapText="1"/>
    </xf>
    <xf numFmtId="0" fontId="6" fillId="0" borderId="28" xfId="18" applyFont="1" applyBorder="1" applyAlignment="1">
      <alignment horizontal="center" vertical="center"/>
    </xf>
    <xf numFmtId="0" fontId="18" fillId="0" borderId="0" xfId="7" applyFont="1" applyAlignment="1">
      <alignment horizontal="center"/>
    </xf>
    <xf numFmtId="0" fontId="6" fillId="0" borderId="0" xfId="7" applyFont="1" applyAlignment="1">
      <alignment horizontal="center"/>
    </xf>
    <xf numFmtId="0" fontId="6" fillId="0" borderId="75" xfId="7" applyFont="1" applyBorder="1" applyAlignment="1">
      <alignment horizontal="center" vertical="center"/>
    </xf>
    <xf numFmtId="0" fontId="6" fillId="0" borderId="3" xfId="7" applyFont="1" applyBorder="1" applyAlignment="1">
      <alignment horizontal="center" vertical="center"/>
    </xf>
    <xf numFmtId="0" fontId="6" fillId="0" borderId="65" xfId="7" applyFont="1" applyBorder="1" applyAlignment="1">
      <alignment horizontal="center" vertical="center"/>
    </xf>
    <xf numFmtId="0" fontId="6" fillId="0" borderId="76" xfId="7" applyFont="1" applyBorder="1" applyAlignment="1">
      <alignment horizontal="center" vertical="center"/>
    </xf>
    <xf numFmtId="0" fontId="6" fillId="0" borderId="66" xfId="7" applyFont="1" applyBorder="1" applyAlignment="1">
      <alignment horizontal="center" vertical="center"/>
    </xf>
    <xf numFmtId="0" fontId="6" fillId="0" borderId="65" xfId="7" applyFont="1" applyBorder="1" applyAlignment="1">
      <alignment horizontal="center"/>
    </xf>
    <xf numFmtId="0" fontId="6" fillId="0" borderId="76" xfId="7" applyFont="1" applyBorder="1" applyAlignment="1">
      <alignment horizontal="center"/>
    </xf>
    <xf numFmtId="0" fontId="6" fillId="0" borderId="66" xfId="7" applyFont="1" applyBorder="1" applyAlignment="1">
      <alignment horizontal="center"/>
    </xf>
    <xf numFmtId="0" fontId="34" fillId="0" borderId="0" xfId="3" applyFont="1" applyAlignment="1">
      <alignment horizontal="center"/>
    </xf>
    <xf numFmtId="0" fontId="37" fillId="0" borderId="75" xfId="3" applyFont="1" applyBorder="1" applyAlignment="1">
      <alignment horizontal="center" vertical="center"/>
    </xf>
    <xf numFmtId="0" fontId="37" fillId="0" borderId="4" xfId="3" applyFont="1" applyBorder="1" applyAlignment="1">
      <alignment horizontal="center" vertical="center"/>
    </xf>
    <xf numFmtId="0" fontId="37" fillId="0" borderId="3" xfId="3" applyFont="1" applyBorder="1" applyAlignment="1">
      <alignment horizontal="center" vertical="center"/>
    </xf>
    <xf numFmtId="0" fontId="37" fillId="0" borderId="65" xfId="3" applyFont="1" applyBorder="1" applyAlignment="1">
      <alignment horizontal="center" vertical="top"/>
    </xf>
    <xf numFmtId="0" fontId="37" fillId="0" borderId="76" xfId="3" applyFont="1" applyBorder="1" applyAlignment="1">
      <alignment horizontal="center" vertical="top"/>
    </xf>
    <xf numFmtId="0" fontId="37" fillId="0" borderId="65" xfId="3" applyFont="1" applyBorder="1" applyAlignment="1">
      <alignment horizontal="center"/>
    </xf>
    <xf numFmtId="0" fontId="37" fillId="0" borderId="76" xfId="3" applyFont="1" applyBorder="1" applyAlignment="1">
      <alignment horizontal="center"/>
    </xf>
    <xf numFmtId="0" fontId="37" fillId="0" borderId="65" xfId="3" applyFont="1" applyBorder="1" applyAlignment="1">
      <alignment horizontal="right" vertical="center"/>
    </xf>
    <xf numFmtId="0" fontId="37" fillId="0" borderId="76" xfId="3" applyFont="1" applyBorder="1" applyAlignment="1">
      <alignment horizontal="right" vertical="center"/>
    </xf>
    <xf numFmtId="0" fontId="37" fillId="0" borderId="66" xfId="3" applyFont="1" applyBorder="1" applyAlignment="1">
      <alignment horizontal="right" vertical="center"/>
    </xf>
    <xf numFmtId="0" fontId="40" fillId="8" borderId="65" xfId="9" applyFont="1" applyFill="1" applyBorder="1" applyAlignment="1">
      <alignment horizontal="center" vertical="center" shrinkToFit="1"/>
    </xf>
    <xf numFmtId="0" fontId="40" fillId="8" borderId="66" xfId="9" applyFont="1" applyFill="1" applyBorder="1" applyAlignment="1">
      <alignment horizontal="center" vertical="center" shrinkToFit="1"/>
    </xf>
    <xf numFmtId="0" fontId="40" fillId="0" borderId="0" xfId="9" applyFont="1" applyAlignment="1">
      <alignment horizontal="center" vertical="center"/>
    </xf>
    <xf numFmtId="0" fontId="40" fillId="0" borderId="7" xfId="9" applyFont="1" applyBorder="1" applyAlignment="1">
      <alignment horizontal="center" vertical="center"/>
    </xf>
    <xf numFmtId="0" fontId="40" fillId="8" borderId="75" xfId="9" applyFont="1" applyFill="1" applyBorder="1" applyAlignment="1">
      <alignment horizontal="center" vertical="center" shrinkToFit="1"/>
    </xf>
    <xf numFmtId="0" fontId="40" fillId="8" borderId="4" xfId="9" applyFont="1" applyFill="1" applyBorder="1" applyAlignment="1">
      <alignment horizontal="center" vertical="center" shrinkToFit="1"/>
    </xf>
    <xf numFmtId="0" fontId="40" fillId="8" borderId="3" xfId="9" applyFont="1" applyFill="1" applyBorder="1" applyAlignment="1">
      <alignment horizontal="center" vertical="center" shrinkToFit="1"/>
    </xf>
    <xf numFmtId="0" fontId="40" fillId="8" borderId="75" xfId="9" applyFont="1" applyFill="1" applyBorder="1" applyAlignment="1">
      <alignment horizontal="center" vertical="center"/>
    </xf>
    <xf numFmtId="0" fontId="40" fillId="8" borderId="4" xfId="9" applyFont="1" applyFill="1" applyBorder="1" applyAlignment="1">
      <alignment horizontal="center" vertical="center"/>
    </xf>
    <xf numFmtId="0" fontId="40" fillId="8" borderId="3" xfId="9" applyFont="1" applyFill="1" applyBorder="1" applyAlignment="1">
      <alignment horizontal="center" vertical="center"/>
    </xf>
    <xf numFmtId="168" fontId="40" fillId="8" borderId="75" xfId="10" applyNumberFormat="1" applyFont="1" applyFill="1" applyBorder="1" applyAlignment="1" applyProtection="1">
      <alignment horizontal="center" vertical="center" wrapText="1" shrinkToFit="1"/>
    </xf>
    <xf numFmtId="168" fontId="40" fillId="8" borderId="4" xfId="10" applyNumberFormat="1" applyFont="1" applyFill="1" applyBorder="1" applyAlignment="1" applyProtection="1">
      <alignment horizontal="center" vertical="center" wrapText="1" shrinkToFit="1"/>
    </xf>
    <xf numFmtId="168" fontId="40" fillId="8" borderId="3" xfId="10" applyNumberFormat="1" applyFont="1" applyFill="1" applyBorder="1" applyAlignment="1" applyProtection="1">
      <alignment horizontal="center" vertical="center" wrapText="1" shrinkToFit="1"/>
    </xf>
    <xf numFmtId="0" fontId="40" fillId="8" borderId="72" xfId="9" applyFont="1" applyFill="1" applyBorder="1" applyAlignment="1">
      <alignment horizontal="center" vertical="center" shrinkToFit="1"/>
    </xf>
    <xf numFmtId="0" fontId="40" fillId="8" borderId="73" xfId="9" applyFont="1" applyFill="1" applyBorder="1" applyAlignment="1">
      <alignment horizontal="center" vertical="center" shrinkToFit="1"/>
    </xf>
    <xf numFmtId="0" fontId="40" fillId="8" borderId="74" xfId="9" applyFont="1" applyFill="1" applyBorder="1" applyAlignment="1">
      <alignment horizontal="center" vertical="center" shrinkToFit="1"/>
    </xf>
    <xf numFmtId="168" fontId="40" fillId="8" borderId="72" xfId="10" applyNumberFormat="1" applyFont="1" applyFill="1" applyBorder="1" applyAlignment="1">
      <alignment horizontal="center" vertical="center" shrinkToFit="1"/>
    </xf>
    <xf numFmtId="168" fontId="40" fillId="8" borderId="73" xfId="10" applyNumberFormat="1" applyFont="1" applyFill="1" applyBorder="1" applyAlignment="1">
      <alignment horizontal="center" vertical="center" shrinkToFit="1"/>
    </xf>
    <xf numFmtId="168" fontId="40" fillId="8" borderId="74" xfId="10" applyNumberFormat="1" applyFont="1" applyFill="1" applyBorder="1" applyAlignment="1">
      <alignment horizontal="center" vertical="center" shrinkToFit="1"/>
    </xf>
    <xf numFmtId="168" fontId="40" fillId="8" borderId="72" xfId="10" applyNumberFormat="1" applyFont="1" applyFill="1" applyBorder="1" applyAlignment="1">
      <alignment horizontal="center" vertical="center" wrapText="1" shrinkToFit="1"/>
    </xf>
    <xf numFmtId="168" fontId="40" fillId="8" borderId="5" xfId="10" applyNumberFormat="1" applyFont="1" applyFill="1" applyBorder="1" applyAlignment="1">
      <alignment horizontal="center" vertical="center" wrapText="1" shrinkToFit="1"/>
    </xf>
    <xf numFmtId="168" fontId="40" fillId="8" borderId="1" xfId="10" applyNumberFormat="1" applyFont="1" applyFill="1" applyBorder="1" applyAlignment="1">
      <alignment horizontal="center" vertical="center" wrapText="1" shrinkToFit="1"/>
    </xf>
    <xf numFmtId="168" fontId="40" fillId="8" borderId="65" xfId="10" applyNumberFormat="1" applyFont="1" applyFill="1" applyBorder="1" applyAlignment="1">
      <alignment horizontal="center" vertical="center" shrinkToFit="1"/>
    </xf>
    <xf numFmtId="168" fontId="40" fillId="8" borderId="66" xfId="10" applyNumberFormat="1" applyFont="1" applyFill="1" applyBorder="1" applyAlignment="1">
      <alignment horizontal="center" vertical="center" shrinkToFit="1"/>
    </xf>
    <xf numFmtId="0" fontId="40" fillId="0" borderId="23" xfId="9" applyFont="1" applyBorder="1" applyAlignment="1">
      <alignment horizontal="center" vertical="center"/>
    </xf>
    <xf numFmtId="0" fontId="40" fillId="0" borderId="24" xfId="9" applyFont="1" applyBorder="1" applyAlignment="1">
      <alignment horizontal="center" vertical="center"/>
    </xf>
    <xf numFmtId="0" fontId="40" fillId="8" borderId="72" xfId="9" applyFont="1" applyFill="1" applyBorder="1" applyAlignment="1">
      <alignment horizontal="center" vertical="center" wrapText="1" shrinkToFit="1"/>
    </xf>
    <xf numFmtId="0" fontId="40" fillId="8" borderId="5" xfId="9" applyFont="1" applyFill="1" applyBorder="1" applyAlignment="1">
      <alignment horizontal="center" vertical="center" wrapText="1" shrinkToFit="1"/>
    </xf>
    <xf numFmtId="0" fontId="40" fillId="8" borderId="1" xfId="9" applyFont="1" applyFill="1" applyBorder="1" applyAlignment="1">
      <alignment horizontal="center" vertical="center" wrapText="1" shrinkToFit="1"/>
    </xf>
    <xf numFmtId="0" fontId="10" fillId="5" borderId="64" xfId="15" applyFont="1" applyFill="1" applyBorder="1" applyAlignment="1">
      <alignment horizontal="center" vertical="center"/>
    </xf>
    <xf numFmtId="0" fontId="18" fillId="0" borderId="0" xfId="15" applyFont="1" applyAlignment="1">
      <alignment horizontal="center" vertical="center"/>
    </xf>
    <xf numFmtId="0" fontId="18" fillId="0" borderId="7" xfId="15" applyFont="1" applyBorder="1" applyAlignment="1">
      <alignment horizontal="center" vertical="center"/>
    </xf>
    <xf numFmtId="0" fontId="10" fillId="5" borderId="75" xfId="15" applyFont="1" applyFill="1" applyBorder="1" applyAlignment="1">
      <alignment horizontal="center" vertical="center"/>
    </xf>
    <xf numFmtId="0" fontId="10" fillId="5" borderId="3" xfId="15" applyFont="1" applyFill="1" applyBorder="1" applyAlignment="1">
      <alignment horizontal="center" vertical="center"/>
    </xf>
    <xf numFmtId="0" fontId="10" fillId="5" borderId="64" xfId="15" applyFont="1" applyFill="1" applyBorder="1" applyAlignment="1">
      <alignment horizontal="center"/>
    </xf>
    <xf numFmtId="0" fontId="6" fillId="0" borderId="0" xfId="15" applyFont="1" applyAlignment="1">
      <alignment horizontal="center"/>
    </xf>
    <xf numFmtId="0" fontId="11" fillId="11" borderId="64" xfId="15" applyFont="1" applyFill="1" applyBorder="1" applyAlignment="1">
      <alignment horizontal="center" vertical="center"/>
    </xf>
    <xf numFmtId="0" fontId="10" fillId="5" borderId="64" xfId="15" applyFont="1" applyFill="1" applyBorder="1" applyAlignment="1">
      <alignment horizontal="center" vertical="center" wrapText="1"/>
    </xf>
    <xf numFmtId="0" fontId="5" fillId="11" borderId="56" xfId="15" applyFont="1" applyFill="1" applyBorder="1" applyAlignment="1">
      <alignment horizontal="center" vertical="center"/>
    </xf>
    <xf numFmtId="0" fontId="5" fillId="11" borderId="57" xfId="15" applyFont="1" applyFill="1" applyBorder="1" applyAlignment="1">
      <alignment horizontal="center" vertical="center"/>
    </xf>
    <xf numFmtId="0" fontId="5" fillId="11" borderId="58" xfId="15" applyFont="1" applyFill="1" applyBorder="1" applyAlignment="1">
      <alignment horizontal="center" vertical="center"/>
    </xf>
    <xf numFmtId="0" fontId="5" fillId="11" borderId="56" xfId="15" applyFont="1" applyFill="1" applyBorder="1" applyAlignment="1">
      <alignment horizontal="center"/>
    </xf>
    <xf numFmtId="0" fontId="5" fillId="11" borderId="57" xfId="15" applyFont="1" applyFill="1" applyBorder="1" applyAlignment="1">
      <alignment horizontal="center"/>
    </xf>
    <xf numFmtId="0" fontId="5" fillId="11" borderId="58" xfId="15" applyFont="1" applyFill="1" applyBorder="1" applyAlignment="1">
      <alignment horizontal="center"/>
    </xf>
    <xf numFmtId="0" fontId="6" fillId="11" borderId="0" xfId="16" applyFont="1" applyFill="1" applyAlignment="1">
      <alignment horizontal="center" vertical="center"/>
    </xf>
    <xf numFmtId="0" fontId="6" fillId="12" borderId="64" xfId="15" applyFont="1" applyFill="1" applyBorder="1" applyAlignment="1">
      <alignment horizontal="center"/>
    </xf>
    <xf numFmtId="0" fontId="7" fillId="11" borderId="65" xfId="15" applyFont="1" applyFill="1" applyBorder="1" applyAlignment="1">
      <alignment horizontal="center"/>
    </xf>
    <xf numFmtId="0" fontId="7" fillId="11" borderId="76" xfId="15" applyFont="1" applyFill="1" applyBorder="1" applyAlignment="1">
      <alignment horizontal="center"/>
    </xf>
    <xf numFmtId="0" fontId="7" fillId="11" borderId="66" xfId="15" applyFont="1" applyFill="1" applyBorder="1" applyAlignment="1">
      <alignment horizontal="center"/>
    </xf>
    <xf numFmtId="0" fontId="6" fillId="11" borderId="65" xfId="15" applyFont="1" applyFill="1" applyBorder="1" applyAlignment="1">
      <alignment horizontal="center"/>
    </xf>
    <xf numFmtId="0" fontId="6" fillId="11" borderId="76" xfId="15" applyFont="1" applyFill="1" applyBorder="1" applyAlignment="1">
      <alignment horizontal="center"/>
    </xf>
    <xf numFmtId="0" fontId="6" fillId="11" borderId="66" xfId="15" applyFont="1" applyFill="1" applyBorder="1" applyAlignment="1">
      <alignment horizontal="center"/>
    </xf>
    <xf numFmtId="0" fontId="6" fillId="13" borderId="65" xfId="15" applyFont="1" applyFill="1" applyBorder="1" applyAlignment="1">
      <alignment horizontal="center"/>
    </xf>
    <xf numFmtId="0" fontId="6" fillId="13" borderId="76" xfId="15" applyFont="1" applyFill="1" applyBorder="1" applyAlignment="1">
      <alignment horizontal="center"/>
    </xf>
    <xf numFmtId="0" fontId="6" fillId="13" borderId="66" xfId="15" applyFont="1" applyFill="1" applyBorder="1" applyAlignment="1">
      <alignment horizontal="center"/>
    </xf>
    <xf numFmtId="0" fontId="18" fillId="2" borderId="44" xfId="16" applyFont="1" applyFill="1" applyBorder="1" applyAlignment="1">
      <alignment horizontal="center" vertical="center"/>
    </xf>
    <xf numFmtId="0" fontId="18" fillId="2" borderId="45" xfId="16" applyFont="1" applyFill="1" applyBorder="1" applyAlignment="1">
      <alignment horizontal="center" vertical="center"/>
    </xf>
    <xf numFmtId="0" fontId="18" fillId="2" borderId="28" xfId="16" applyFont="1" applyFill="1" applyBorder="1" applyAlignment="1">
      <alignment horizontal="center" vertical="center"/>
    </xf>
    <xf numFmtId="166" fontId="29" fillId="0" borderId="77" xfId="4" applyNumberFormat="1" applyFont="1" applyFill="1" applyBorder="1" applyProtection="1">
      <protection hidden="1"/>
    </xf>
  </cellXfs>
  <cellStyles count="23">
    <cellStyle name="Comma 2" xfId="1" xr:uid="{00000000-0005-0000-0000-000001000000}"/>
    <cellStyle name="Comma 2 2" xfId="17" xr:uid="{0DFCB958-6E25-49AF-8ECC-566A00BCB2C1}"/>
    <cellStyle name="Comma 3" xfId="8" xr:uid="{566E58D5-F4CC-4839-9F93-53781C2441E6}"/>
    <cellStyle name="Comma 3 2" xfId="22" xr:uid="{42968555-D833-4A77-941C-B3339C48BBF1}"/>
    <cellStyle name="Comma 4" xfId="10" xr:uid="{AB972CFF-5C20-40A8-9DBC-9DBE62D2B350}"/>
    <cellStyle name="Normal 2" xfId="2" xr:uid="{00000000-0005-0000-0000-000003000000}"/>
    <cellStyle name="Normal 2 2" xfId="7" xr:uid="{22E46A7D-5361-48EC-BDC3-6E852F795788}"/>
    <cellStyle name="Normal 2 2 2" xfId="14" xr:uid="{026A26FF-0BFB-4841-A1C9-906AE4D5A376}"/>
    <cellStyle name="Normal 2 3" xfId="11" xr:uid="{7A39E339-8B69-4D5E-98C1-500434B65D76}"/>
    <cellStyle name="Normal 2 4" xfId="12" xr:uid="{DEB00D55-80BD-40D2-B6F0-0DAB1CED6929}"/>
    <cellStyle name="Normal 3" xfId="3" xr:uid="{00000000-0005-0000-0000-000004000000}"/>
    <cellStyle name="Normal 4" xfId="5" xr:uid="{00000000-0005-0000-0000-000005000000}"/>
    <cellStyle name="Normal 5" xfId="9" xr:uid="{6630CD15-F3FF-44F0-B892-C313BA2ABC29}"/>
    <cellStyle name="Normal 6" xfId="15" xr:uid="{44BA665B-E6B5-46B7-94B6-C21129CF5D26}"/>
    <cellStyle name="Percent 2" xfId="21" xr:uid="{C0E9D18A-0D0C-40C8-AE9B-FD8ADF40CDFF}"/>
    <cellStyle name="เครื่องหมายจุลภาค 2" xfId="19" xr:uid="{D6BFF635-88B0-4050-8C49-095431858E9A}"/>
    <cellStyle name="เปอร์เซ็นต์" xfId="6" builtinId="5"/>
    <cellStyle name="เปอร์เซ็นต์ 2" xfId="20" xr:uid="{4F3F5445-59DD-4BA6-83EF-20AEEBD531FD}"/>
    <cellStyle name="จุลภาค" xfId="4" builtinId="3"/>
    <cellStyle name="ปกติ" xfId="0" builtinId="0"/>
    <cellStyle name="ปกติ 2" xfId="16" xr:uid="{4B93797E-2556-4911-A4DE-8AFC018F935C}"/>
    <cellStyle name="ปกติ 2 2" xfId="18" xr:uid="{582CCE5E-343D-41F4-BEF5-68D6C9D25699}"/>
    <cellStyle name="ปกติ 4" xfId="13" xr:uid="{6724A749-DF4A-4A50-9F76-3A64BB2DD1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327660</xdr:colOff>
      <xdr:row>10</xdr:row>
      <xdr:rowOff>91440</xdr:rowOff>
    </xdr:from>
    <xdr:to>
      <xdr:col>6</xdr:col>
      <xdr:colOff>396240</xdr:colOff>
      <xdr:row>11</xdr:row>
      <xdr:rowOff>144780</xdr:rowOff>
    </xdr:to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SpPr txBox="1">
          <a:spLocks noChangeArrowheads="1"/>
        </xdr:cNvSpPr>
      </xdr:nvSpPr>
      <xdr:spPr bwMode="auto">
        <a:xfrm>
          <a:off x="7360920" y="3604260"/>
          <a:ext cx="685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</xdr:row>
      <xdr:rowOff>0</xdr:rowOff>
    </xdr:from>
    <xdr:to>
      <xdr:col>5</xdr:col>
      <xdr:colOff>68580</xdr:colOff>
      <xdr:row>24</xdr:row>
      <xdr:rowOff>3810</xdr:rowOff>
    </xdr:to>
    <xdr:sp macro="" textlink="">
      <xdr:nvSpPr>
        <xdr:cNvPr id="2" name="Text Box 72">
          <a:extLst>
            <a:ext uri="{FF2B5EF4-FFF2-40B4-BE49-F238E27FC236}">
              <a16:creationId xmlns:a16="http://schemas.microsoft.com/office/drawing/2014/main" id="{81B633C3-7CBE-4983-A520-ACDBB18E5093}"/>
            </a:ext>
          </a:extLst>
        </xdr:cNvPr>
        <xdr:cNvSpPr txBox="1">
          <a:spLocks noChangeArrowheads="1"/>
        </xdr:cNvSpPr>
      </xdr:nvSpPr>
      <xdr:spPr bwMode="auto">
        <a:xfrm>
          <a:off x="2705100" y="626745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42</xdr:row>
      <xdr:rowOff>0</xdr:rowOff>
    </xdr:from>
    <xdr:to>
      <xdr:col>5</xdr:col>
      <xdr:colOff>68580</xdr:colOff>
      <xdr:row>43</xdr:row>
      <xdr:rowOff>60960</xdr:rowOff>
    </xdr:to>
    <xdr:sp macro="" textlink="">
      <xdr:nvSpPr>
        <xdr:cNvPr id="23168" name="Text Box 5">
          <a:extLst>
            <a:ext uri="{FF2B5EF4-FFF2-40B4-BE49-F238E27FC236}">
              <a16:creationId xmlns:a16="http://schemas.microsoft.com/office/drawing/2014/main" id="{00000000-0008-0000-0600-0000805A0000}"/>
            </a:ext>
          </a:extLst>
        </xdr:cNvPr>
        <xdr:cNvSpPr txBox="1">
          <a:spLocks noChangeArrowheads="1"/>
        </xdr:cNvSpPr>
      </xdr:nvSpPr>
      <xdr:spPr bwMode="auto">
        <a:xfrm>
          <a:off x="1813560" y="1004316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68580</xdr:colOff>
      <xdr:row>17</xdr:row>
      <xdr:rowOff>156210</xdr:rowOff>
    </xdr:to>
    <xdr:sp macro="" textlink="">
      <xdr:nvSpPr>
        <xdr:cNvPr id="23169" name="Text Box 5">
          <a:extLst>
            <a:ext uri="{FF2B5EF4-FFF2-40B4-BE49-F238E27FC236}">
              <a16:creationId xmlns:a16="http://schemas.microsoft.com/office/drawing/2014/main" id="{00000000-0008-0000-0600-0000815A0000}"/>
            </a:ext>
          </a:extLst>
        </xdr:cNvPr>
        <xdr:cNvSpPr txBox="1">
          <a:spLocks noChangeArrowheads="1"/>
        </xdr:cNvSpPr>
      </xdr:nvSpPr>
      <xdr:spPr bwMode="auto">
        <a:xfrm>
          <a:off x="1813560" y="320040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68580</xdr:colOff>
      <xdr:row>3</xdr:row>
      <xdr:rowOff>0</xdr:rowOff>
    </xdr:to>
    <xdr:sp macro="" textlink="">
      <xdr:nvSpPr>
        <xdr:cNvPr id="23170" name="Text Box 72">
          <a:extLst>
            <a:ext uri="{FF2B5EF4-FFF2-40B4-BE49-F238E27FC236}">
              <a16:creationId xmlns:a16="http://schemas.microsoft.com/office/drawing/2014/main" id="{00000000-0008-0000-0600-0000825A0000}"/>
            </a:ext>
          </a:extLst>
        </xdr:cNvPr>
        <xdr:cNvSpPr txBox="1">
          <a:spLocks noChangeArrowheads="1"/>
        </xdr:cNvSpPr>
      </xdr:nvSpPr>
      <xdr:spPr bwMode="auto">
        <a:xfrm>
          <a:off x="3825240" y="533400"/>
          <a:ext cx="6858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535460</xdr:colOff>
      <xdr:row>37</xdr:row>
      <xdr:rowOff>102973</xdr:rowOff>
    </xdr:from>
    <xdr:to>
      <xdr:col>6</xdr:col>
      <xdr:colOff>581798</xdr:colOff>
      <xdr:row>37</xdr:row>
      <xdr:rowOff>102973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E2C6865-77E4-4013-8D64-F5890158F7ED}"/>
            </a:ext>
          </a:extLst>
        </xdr:cNvPr>
        <xdr:cNvCxnSpPr/>
      </xdr:nvCxnSpPr>
      <xdr:spPr bwMode="auto">
        <a:xfrm>
          <a:off x="3642669" y="8423189"/>
          <a:ext cx="463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535460</xdr:colOff>
      <xdr:row>38</xdr:row>
      <xdr:rowOff>100286</xdr:rowOff>
    </xdr:from>
    <xdr:to>
      <xdr:col>6</xdr:col>
      <xdr:colOff>581798</xdr:colOff>
      <xdr:row>38</xdr:row>
      <xdr:rowOff>100286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D933242-32C6-4B64-8062-473331B7DFE2}"/>
            </a:ext>
          </a:extLst>
        </xdr:cNvPr>
        <xdr:cNvCxnSpPr/>
      </xdr:nvCxnSpPr>
      <xdr:spPr bwMode="auto">
        <a:xfrm>
          <a:off x="3642669" y="8688232"/>
          <a:ext cx="463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535460</xdr:colOff>
      <xdr:row>39</xdr:row>
      <xdr:rowOff>98630</xdr:rowOff>
    </xdr:from>
    <xdr:to>
      <xdr:col>6</xdr:col>
      <xdr:colOff>581798</xdr:colOff>
      <xdr:row>39</xdr:row>
      <xdr:rowOff>98630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F20916F-B0FB-46D6-B136-1BFD24CD2B41}"/>
            </a:ext>
          </a:extLst>
        </xdr:cNvPr>
        <xdr:cNvCxnSpPr/>
      </xdr:nvCxnSpPr>
      <xdr:spPr bwMode="auto">
        <a:xfrm>
          <a:off x="3642669" y="8954306"/>
          <a:ext cx="463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535460</xdr:colOff>
      <xdr:row>40</xdr:row>
      <xdr:rowOff>96974</xdr:rowOff>
    </xdr:from>
    <xdr:to>
      <xdr:col>6</xdr:col>
      <xdr:colOff>581798</xdr:colOff>
      <xdr:row>40</xdr:row>
      <xdr:rowOff>96974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C61706C-87D5-45E3-A5A3-B265F0BA784A}"/>
            </a:ext>
          </a:extLst>
        </xdr:cNvPr>
        <xdr:cNvCxnSpPr/>
      </xdr:nvCxnSpPr>
      <xdr:spPr bwMode="auto">
        <a:xfrm>
          <a:off x="3642669" y="9220379"/>
          <a:ext cx="463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535460</xdr:colOff>
      <xdr:row>41</xdr:row>
      <xdr:rowOff>95317</xdr:rowOff>
    </xdr:from>
    <xdr:to>
      <xdr:col>6</xdr:col>
      <xdr:colOff>581798</xdr:colOff>
      <xdr:row>41</xdr:row>
      <xdr:rowOff>95317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31C0AD7-B756-40DD-A56D-43E59F0EF870}"/>
            </a:ext>
          </a:extLst>
        </xdr:cNvPr>
        <xdr:cNvCxnSpPr/>
      </xdr:nvCxnSpPr>
      <xdr:spPr bwMode="auto">
        <a:xfrm>
          <a:off x="3642669" y="9486452"/>
          <a:ext cx="46338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76200</xdr:rowOff>
    </xdr:from>
    <xdr:to>
      <xdr:col>5</xdr:col>
      <xdr:colOff>68580</xdr:colOff>
      <xdr:row>21</xdr:row>
      <xdr:rowOff>60960</xdr:rowOff>
    </xdr:to>
    <xdr:sp macro="" textlink="">
      <xdr:nvSpPr>
        <xdr:cNvPr id="26917" name="Text Box 77">
          <a:extLst>
            <a:ext uri="{FF2B5EF4-FFF2-40B4-BE49-F238E27FC236}">
              <a16:creationId xmlns:a16="http://schemas.microsoft.com/office/drawing/2014/main" id="{00000000-0008-0000-0500-000025690000}"/>
            </a:ext>
          </a:extLst>
        </xdr:cNvPr>
        <xdr:cNvSpPr txBox="1">
          <a:spLocks noChangeArrowheads="1"/>
        </xdr:cNvSpPr>
      </xdr:nvSpPr>
      <xdr:spPr bwMode="auto">
        <a:xfrm>
          <a:off x="2743200" y="662940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68580</xdr:colOff>
      <xdr:row>29</xdr:row>
      <xdr:rowOff>0</xdr:rowOff>
    </xdr:to>
    <xdr:sp macro="" textlink="">
      <xdr:nvSpPr>
        <xdr:cNvPr id="26918" name="Text Box 5">
          <a:extLst>
            <a:ext uri="{FF2B5EF4-FFF2-40B4-BE49-F238E27FC236}">
              <a16:creationId xmlns:a16="http://schemas.microsoft.com/office/drawing/2014/main" id="{00000000-0008-0000-0500-000026690000}"/>
            </a:ext>
          </a:extLst>
        </xdr:cNvPr>
        <xdr:cNvSpPr txBox="1">
          <a:spLocks noChangeArrowheads="1"/>
        </xdr:cNvSpPr>
      </xdr:nvSpPr>
      <xdr:spPr bwMode="auto">
        <a:xfrm>
          <a:off x="2743200" y="91744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68580</xdr:colOff>
      <xdr:row>24</xdr:row>
      <xdr:rowOff>0</xdr:rowOff>
    </xdr:to>
    <xdr:sp macro="" textlink="">
      <xdr:nvSpPr>
        <xdr:cNvPr id="26919" name="Text Box 72">
          <a:extLst>
            <a:ext uri="{FF2B5EF4-FFF2-40B4-BE49-F238E27FC236}">
              <a16:creationId xmlns:a16="http://schemas.microsoft.com/office/drawing/2014/main" id="{00000000-0008-0000-0500-000027690000}"/>
            </a:ext>
          </a:extLst>
        </xdr:cNvPr>
        <xdr:cNvSpPr txBox="1">
          <a:spLocks noChangeArrowheads="1"/>
        </xdr:cNvSpPr>
      </xdr:nvSpPr>
      <xdr:spPr bwMode="auto">
        <a:xfrm>
          <a:off x="3291840" y="75361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411480</xdr:colOff>
      <xdr:row>4</xdr:row>
      <xdr:rowOff>220980</xdr:rowOff>
    </xdr:from>
    <xdr:to>
      <xdr:col>1</xdr:col>
      <xdr:colOff>1623060</xdr:colOff>
      <xdr:row>4</xdr:row>
      <xdr:rowOff>220980</xdr:rowOff>
    </xdr:to>
    <xdr:sp macro="" textlink="">
      <xdr:nvSpPr>
        <xdr:cNvPr id="5880" name="Line 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SpPr>
          <a:spLocks noChangeShapeType="1"/>
        </xdr:cNvSpPr>
      </xdr:nvSpPr>
      <xdr:spPr bwMode="auto">
        <a:xfrm>
          <a:off x="784860" y="1508760"/>
          <a:ext cx="12115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5</xdr:row>
      <xdr:rowOff>244103</xdr:rowOff>
    </xdr:from>
    <xdr:to>
      <xdr:col>2</xdr:col>
      <xdr:colOff>228600</xdr:colOff>
      <xdr:row>5</xdr:row>
      <xdr:rowOff>244103</xdr:rowOff>
    </xdr:to>
    <xdr:sp macro="" textlink="">
      <xdr:nvSpPr>
        <xdr:cNvPr id="5881" name="Line 3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SpPr>
          <a:spLocks noChangeShapeType="1"/>
        </xdr:cNvSpPr>
      </xdr:nvSpPr>
      <xdr:spPr bwMode="auto">
        <a:xfrm>
          <a:off x="452996" y="1827224"/>
          <a:ext cx="204189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6</xdr:row>
      <xdr:rowOff>244103</xdr:rowOff>
    </xdr:from>
    <xdr:to>
      <xdr:col>2</xdr:col>
      <xdr:colOff>388620</xdr:colOff>
      <xdr:row>6</xdr:row>
      <xdr:rowOff>244103</xdr:rowOff>
    </xdr:to>
    <xdr:sp macro="" textlink="">
      <xdr:nvSpPr>
        <xdr:cNvPr id="5882" name="Line 13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SpPr>
          <a:spLocks noChangeShapeType="1"/>
        </xdr:cNvSpPr>
      </xdr:nvSpPr>
      <xdr:spPr bwMode="auto">
        <a:xfrm>
          <a:off x="613016" y="2096551"/>
          <a:ext cx="204189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411480</xdr:colOff>
      <xdr:row>4</xdr:row>
      <xdr:rowOff>220980</xdr:rowOff>
    </xdr:from>
    <xdr:to>
      <xdr:col>1</xdr:col>
      <xdr:colOff>1623060</xdr:colOff>
      <xdr:row>4</xdr:row>
      <xdr:rowOff>220980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7D1361F7-88F0-4F54-AD75-E4FF607B8DFB}"/>
            </a:ext>
          </a:extLst>
        </xdr:cNvPr>
        <xdr:cNvSpPr>
          <a:spLocks noChangeShapeType="1"/>
        </xdr:cNvSpPr>
      </xdr:nvSpPr>
      <xdr:spPr bwMode="auto">
        <a:xfrm>
          <a:off x="821055" y="1525905"/>
          <a:ext cx="12115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5</xdr:row>
      <xdr:rowOff>256736</xdr:rowOff>
    </xdr:from>
    <xdr:to>
      <xdr:col>2</xdr:col>
      <xdr:colOff>228600</xdr:colOff>
      <xdr:row>5</xdr:row>
      <xdr:rowOff>256736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553FFA74-C1AF-41FB-8C31-4D50169B1536}"/>
            </a:ext>
          </a:extLst>
        </xdr:cNvPr>
        <xdr:cNvSpPr>
          <a:spLocks noChangeShapeType="1"/>
        </xdr:cNvSpPr>
      </xdr:nvSpPr>
      <xdr:spPr bwMode="auto">
        <a:xfrm>
          <a:off x="456028" y="1832024"/>
          <a:ext cx="2043918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6</xdr:row>
      <xdr:rowOff>256736</xdr:rowOff>
    </xdr:from>
    <xdr:to>
      <xdr:col>2</xdr:col>
      <xdr:colOff>388620</xdr:colOff>
      <xdr:row>6</xdr:row>
      <xdr:rowOff>256736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227CCD94-2F20-46B6-9AB4-D32C8CBD5166}"/>
            </a:ext>
          </a:extLst>
        </xdr:cNvPr>
        <xdr:cNvSpPr>
          <a:spLocks noChangeShapeType="1"/>
        </xdr:cNvSpPr>
      </xdr:nvSpPr>
      <xdr:spPr bwMode="auto">
        <a:xfrm>
          <a:off x="616048" y="2095794"/>
          <a:ext cx="2043918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411480</xdr:colOff>
      <xdr:row>4</xdr:row>
      <xdr:rowOff>220980</xdr:rowOff>
    </xdr:from>
    <xdr:to>
      <xdr:col>1</xdr:col>
      <xdr:colOff>1623060</xdr:colOff>
      <xdr:row>4</xdr:row>
      <xdr:rowOff>220980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47D7CBA9-4CE7-48DC-BCE7-6B8AD53A9A52}"/>
            </a:ext>
          </a:extLst>
        </xdr:cNvPr>
        <xdr:cNvSpPr>
          <a:spLocks noChangeShapeType="1"/>
        </xdr:cNvSpPr>
      </xdr:nvSpPr>
      <xdr:spPr bwMode="auto">
        <a:xfrm>
          <a:off x="821055" y="1525905"/>
          <a:ext cx="12115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5</xdr:row>
      <xdr:rowOff>257241</xdr:rowOff>
    </xdr:from>
    <xdr:to>
      <xdr:col>2</xdr:col>
      <xdr:colOff>228600</xdr:colOff>
      <xdr:row>5</xdr:row>
      <xdr:rowOff>257241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4085FAD0-2791-416F-A330-7D2495FB79A4}"/>
            </a:ext>
          </a:extLst>
        </xdr:cNvPr>
        <xdr:cNvSpPr>
          <a:spLocks noChangeShapeType="1"/>
        </xdr:cNvSpPr>
      </xdr:nvSpPr>
      <xdr:spPr bwMode="auto">
        <a:xfrm>
          <a:off x="452996" y="1840362"/>
          <a:ext cx="204189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6</xdr:row>
      <xdr:rowOff>257241</xdr:rowOff>
    </xdr:from>
    <xdr:to>
      <xdr:col>2</xdr:col>
      <xdr:colOff>388620</xdr:colOff>
      <xdr:row>6</xdr:row>
      <xdr:rowOff>257241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0601C733-E7C6-498B-A01B-361EBBD878B8}"/>
            </a:ext>
          </a:extLst>
        </xdr:cNvPr>
        <xdr:cNvSpPr>
          <a:spLocks noChangeShapeType="1"/>
        </xdr:cNvSpPr>
      </xdr:nvSpPr>
      <xdr:spPr bwMode="auto">
        <a:xfrm>
          <a:off x="613016" y="2109689"/>
          <a:ext cx="2041897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6</xdr:row>
      <xdr:rowOff>302895</xdr:rowOff>
    </xdr:from>
    <xdr:to>
      <xdr:col>2</xdr:col>
      <xdr:colOff>0</xdr:colOff>
      <xdr:row>6</xdr:row>
      <xdr:rowOff>302895</xdr:rowOff>
    </xdr:to>
    <xdr:sp macro="" textlink="">
      <xdr:nvSpPr>
        <xdr:cNvPr id="6904" name="Line 2">
          <a:extLst>
            <a:ext uri="{FF2B5EF4-FFF2-40B4-BE49-F238E27FC236}">
              <a16:creationId xmlns:a16="http://schemas.microsoft.com/office/drawing/2014/main" id="{00000000-0008-0000-0A00-0000F81A0000}"/>
            </a:ext>
          </a:extLst>
        </xdr:cNvPr>
        <xdr:cNvSpPr>
          <a:spLocks noChangeShapeType="1"/>
        </xdr:cNvSpPr>
      </xdr:nvSpPr>
      <xdr:spPr bwMode="auto">
        <a:xfrm>
          <a:off x="455295" y="2284095"/>
          <a:ext cx="16306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7</xdr:row>
      <xdr:rowOff>264795</xdr:rowOff>
    </xdr:from>
    <xdr:to>
      <xdr:col>2</xdr:col>
      <xdr:colOff>0</xdr:colOff>
      <xdr:row>7</xdr:row>
      <xdr:rowOff>264795</xdr:rowOff>
    </xdr:to>
    <xdr:sp macro="" textlink="">
      <xdr:nvSpPr>
        <xdr:cNvPr id="6905" name="Line 12">
          <a:extLst>
            <a:ext uri="{FF2B5EF4-FFF2-40B4-BE49-F238E27FC236}">
              <a16:creationId xmlns:a16="http://schemas.microsoft.com/office/drawing/2014/main" id="{00000000-0008-0000-0A00-0000F91A0000}"/>
            </a:ext>
          </a:extLst>
        </xdr:cNvPr>
        <xdr:cNvSpPr>
          <a:spLocks noChangeShapeType="1"/>
        </xdr:cNvSpPr>
      </xdr:nvSpPr>
      <xdr:spPr bwMode="auto">
        <a:xfrm>
          <a:off x="615315" y="2569845"/>
          <a:ext cx="147066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5</xdr:row>
      <xdr:rowOff>220980</xdr:rowOff>
    </xdr:from>
    <xdr:to>
      <xdr:col>1</xdr:col>
      <xdr:colOff>1447800</xdr:colOff>
      <xdr:row>5</xdr:row>
      <xdr:rowOff>220980</xdr:rowOff>
    </xdr:to>
    <xdr:sp macro="" textlink="">
      <xdr:nvSpPr>
        <xdr:cNvPr id="6906" name="Line 22">
          <a:extLst>
            <a:ext uri="{FF2B5EF4-FFF2-40B4-BE49-F238E27FC236}">
              <a16:creationId xmlns:a16="http://schemas.microsoft.com/office/drawing/2014/main" id="{00000000-0008-0000-0A00-0000FA1A0000}"/>
            </a:ext>
          </a:extLst>
        </xdr:cNvPr>
        <xdr:cNvSpPr>
          <a:spLocks noChangeShapeType="1"/>
        </xdr:cNvSpPr>
      </xdr:nvSpPr>
      <xdr:spPr bwMode="auto">
        <a:xfrm>
          <a:off x="777240" y="1912620"/>
          <a:ext cx="10439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6</xdr:row>
      <xdr:rowOff>302895</xdr:rowOff>
    </xdr:from>
    <xdr:to>
      <xdr:col>2</xdr:col>
      <xdr:colOff>0</xdr:colOff>
      <xdr:row>6</xdr:row>
      <xdr:rowOff>302895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E78FD016-EE4B-4924-AF38-86D5C6AFBBFD}"/>
            </a:ext>
          </a:extLst>
        </xdr:cNvPr>
        <xdr:cNvSpPr>
          <a:spLocks noChangeShapeType="1"/>
        </xdr:cNvSpPr>
      </xdr:nvSpPr>
      <xdr:spPr bwMode="auto">
        <a:xfrm>
          <a:off x="455295" y="2284095"/>
          <a:ext cx="16306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205740</xdr:colOff>
      <xdr:row>7</xdr:row>
      <xdr:rowOff>264795</xdr:rowOff>
    </xdr:from>
    <xdr:to>
      <xdr:col>2</xdr:col>
      <xdr:colOff>0</xdr:colOff>
      <xdr:row>7</xdr:row>
      <xdr:rowOff>264795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138E001D-EDBA-4720-A7C4-096FEC429AB7}"/>
            </a:ext>
          </a:extLst>
        </xdr:cNvPr>
        <xdr:cNvSpPr>
          <a:spLocks noChangeShapeType="1"/>
        </xdr:cNvSpPr>
      </xdr:nvSpPr>
      <xdr:spPr bwMode="auto">
        <a:xfrm>
          <a:off x="615315" y="2569845"/>
          <a:ext cx="147066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5</xdr:row>
      <xdr:rowOff>220980</xdr:rowOff>
    </xdr:from>
    <xdr:to>
      <xdr:col>1</xdr:col>
      <xdr:colOff>1447800</xdr:colOff>
      <xdr:row>5</xdr:row>
      <xdr:rowOff>220980</xdr:rowOff>
    </xdr:to>
    <xdr:sp macro="" textlink="">
      <xdr:nvSpPr>
        <xdr:cNvPr id="4" name="Line 22">
          <a:extLst>
            <a:ext uri="{FF2B5EF4-FFF2-40B4-BE49-F238E27FC236}">
              <a16:creationId xmlns:a16="http://schemas.microsoft.com/office/drawing/2014/main" id="{88C47AD3-D619-4264-8E5B-53A966713356}"/>
            </a:ext>
          </a:extLst>
        </xdr:cNvPr>
        <xdr:cNvSpPr>
          <a:spLocks noChangeShapeType="1"/>
        </xdr:cNvSpPr>
      </xdr:nvSpPr>
      <xdr:spPr bwMode="auto">
        <a:xfrm>
          <a:off x="813435" y="1935480"/>
          <a:ext cx="10439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6</xdr:row>
      <xdr:rowOff>259080</xdr:rowOff>
    </xdr:from>
    <xdr:to>
      <xdr:col>2</xdr:col>
      <xdr:colOff>0</xdr:colOff>
      <xdr:row>6</xdr:row>
      <xdr:rowOff>259080</xdr:rowOff>
    </xdr:to>
    <xdr:sp macro="" textlink="">
      <xdr:nvSpPr>
        <xdr:cNvPr id="7825" name="Line 35">
          <a:extLst>
            <a:ext uri="{FF2B5EF4-FFF2-40B4-BE49-F238E27FC236}">
              <a16:creationId xmlns:a16="http://schemas.microsoft.com/office/drawing/2014/main" id="{00000000-0008-0000-0B00-0000911E0000}"/>
            </a:ext>
          </a:extLst>
        </xdr:cNvPr>
        <xdr:cNvSpPr>
          <a:spLocks noChangeShapeType="1"/>
        </xdr:cNvSpPr>
      </xdr:nvSpPr>
      <xdr:spPr bwMode="auto">
        <a:xfrm>
          <a:off x="304800" y="2103120"/>
          <a:ext cx="20497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426720</xdr:colOff>
      <xdr:row>5</xdr:row>
      <xdr:rowOff>220980</xdr:rowOff>
    </xdr:from>
    <xdr:to>
      <xdr:col>1</xdr:col>
      <xdr:colOff>2034540</xdr:colOff>
      <xdr:row>5</xdr:row>
      <xdr:rowOff>220980</xdr:rowOff>
    </xdr:to>
    <xdr:sp macro="" textlink="">
      <xdr:nvSpPr>
        <xdr:cNvPr id="7826" name="Line 36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SpPr>
          <a:spLocks noChangeShapeType="1"/>
        </xdr:cNvSpPr>
      </xdr:nvSpPr>
      <xdr:spPr bwMode="auto">
        <a:xfrm>
          <a:off x="685800" y="1798320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236220</xdr:colOff>
      <xdr:row>7</xdr:row>
      <xdr:rowOff>198120</xdr:rowOff>
    </xdr:from>
    <xdr:to>
      <xdr:col>1</xdr:col>
      <xdr:colOff>1844040</xdr:colOff>
      <xdr:row>7</xdr:row>
      <xdr:rowOff>198120</xdr:rowOff>
    </xdr:to>
    <xdr:sp macro="" textlink="">
      <xdr:nvSpPr>
        <xdr:cNvPr id="7827" name="Line 36">
          <a:extLst>
            <a:ext uri="{FF2B5EF4-FFF2-40B4-BE49-F238E27FC236}">
              <a16:creationId xmlns:a16="http://schemas.microsoft.com/office/drawing/2014/main" id="{00000000-0008-0000-0B00-0000931E0000}"/>
            </a:ext>
          </a:extLst>
        </xdr:cNvPr>
        <xdr:cNvSpPr>
          <a:spLocks noChangeShapeType="1"/>
        </xdr:cNvSpPr>
      </xdr:nvSpPr>
      <xdr:spPr bwMode="auto">
        <a:xfrm>
          <a:off x="495300" y="2369820"/>
          <a:ext cx="160782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541020</xdr:colOff>
      <xdr:row>5</xdr:row>
      <xdr:rowOff>220980</xdr:rowOff>
    </xdr:from>
    <xdr:to>
      <xdr:col>1</xdr:col>
      <xdr:colOff>2156460</xdr:colOff>
      <xdr:row>5</xdr:row>
      <xdr:rowOff>220980</xdr:rowOff>
    </xdr:to>
    <xdr:sp macro="" textlink="">
      <xdr:nvSpPr>
        <xdr:cNvPr id="2" name="Line 36">
          <a:extLst>
            <a:ext uri="{FF2B5EF4-FFF2-40B4-BE49-F238E27FC236}">
              <a16:creationId xmlns:a16="http://schemas.microsoft.com/office/drawing/2014/main" id="{DE539107-433C-414B-9E0E-AD258227AAB4}"/>
            </a:ext>
          </a:extLst>
        </xdr:cNvPr>
        <xdr:cNvSpPr>
          <a:spLocks noChangeShapeType="1"/>
        </xdr:cNvSpPr>
      </xdr:nvSpPr>
      <xdr:spPr bwMode="auto">
        <a:xfrm>
          <a:off x="845820" y="1821180"/>
          <a:ext cx="16154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160020</xdr:colOff>
      <xdr:row>6</xdr:row>
      <xdr:rowOff>302895</xdr:rowOff>
    </xdr:from>
    <xdr:to>
      <xdr:col>2</xdr:col>
      <xdr:colOff>114300</xdr:colOff>
      <xdr:row>6</xdr:row>
      <xdr:rowOff>302895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5373FF9-351F-4CDA-9E2F-EB4A3A574D85}"/>
            </a:ext>
          </a:extLst>
        </xdr:cNvPr>
        <xdr:cNvSpPr>
          <a:spLocks noChangeShapeType="1"/>
        </xdr:cNvSpPr>
      </xdr:nvSpPr>
      <xdr:spPr bwMode="auto">
        <a:xfrm>
          <a:off x="464820" y="2169795"/>
          <a:ext cx="230695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320040</xdr:colOff>
      <xdr:row>7</xdr:row>
      <xdr:rowOff>264795</xdr:rowOff>
    </xdr:from>
    <xdr:to>
      <xdr:col>2</xdr:col>
      <xdr:colOff>114300</xdr:colOff>
      <xdr:row>7</xdr:row>
      <xdr:rowOff>264795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C5B3137D-4AFD-4050-B459-1C439595FF79}"/>
            </a:ext>
          </a:extLst>
        </xdr:cNvPr>
        <xdr:cNvSpPr>
          <a:spLocks noChangeShapeType="1"/>
        </xdr:cNvSpPr>
      </xdr:nvSpPr>
      <xdr:spPr bwMode="auto">
        <a:xfrm>
          <a:off x="624840" y="2465070"/>
          <a:ext cx="214693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541020</xdr:colOff>
      <xdr:row>5</xdr:row>
      <xdr:rowOff>220980</xdr:rowOff>
    </xdr:from>
    <xdr:to>
      <xdr:col>1</xdr:col>
      <xdr:colOff>2156460</xdr:colOff>
      <xdr:row>5</xdr:row>
      <xdr:rowOff>220980</xdr:rowOff>
    </xdr:to>
    <xdr:sp macro="" textlink="">
      <xdr:nvSpPr>
        <xdr:cNvPr id="12739" name="Line 36">
          <a:extLst>
            <a:ext uri="{FF2B5EF4-FFF2-40B4-BE49-F238E27FC236}">
              <a16:creationId xmlns:a16="http://schemas.microsoft.com/office/drawing/2014/main" id="{00000000-0008-0000-0C00-0000C3310000}"/>
            </a:ext>
          </a:extLst>
        </xdr:cNvPr>
        <xdr:cNvSpPr>
          <a:spLocks noChangeShapeType="1"/>
        </xdr:cNvSpPr>
      </xdr:nvSpPr>
      <xdr:spPr bwMode="auto">
        <a:xfrm>
          <a:off x="845820" y="1821180"/>
          <a:ext cx="161544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160020</xdr:colOff>
      <xdr:row>6</xdr:row>
      <xdr:rowOff>302895</xdr:rowOff>
    </xdr:from>
    <xdr:to>
      <xdr:col>2</xdr:col>
      <xdr:colOff>114300</xdr:colOff>
      <xdr:row>6</xdr:row>
      <xdr:rowOff>302895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9FD996CC-CAB4-433E-99A6-9A982FBE8339}"/>
            </a:ext>
          </a:extLst>
        </xdr:cNvPr>
        <xdr:cNvSpPr>
          <a:spLocks noChangeShapeType="1"/>
        </xdr:cNvSpPr>
      </xdr:nvSpPr>
      <xdr:spPr bwMode="auto">
        <a:xfrm>
          <a:off x="464820" y="2169795"/>
          <a:ext cx="219265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320040</xdr:colOff>
      <xdr:row>7</xdr:row>
      <xdr:rowOff>264795</xdr:rowOff>
    </xdr:from>
    <xdr:to>
      <xdr:col>2</xdr:col>
      <xdr:colOff>114300</xdr:colOff>
      <xdr:row>7</xdr:row>
      <xdr:rowOff>264795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E71DF6CB-67B7-49BD-A2F9-D5D0DD6DA698}"/>
            </a:ext>
          </a:extLst>
        </xdr:cNvPr>
        <xdr:cNvSpPr>
          <a:spLocks noChangeShapeType="1"/>
        </xdr:cNvSpPr>
      </xdr:nvSpPr>
      <xdr:spPr bwMode="auto">
        <a:xfrm>
          <a:off x="624840" y="2465070"/>
          <a:ext cx="203263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</xdr:row>
      <xdr:rowOff>205740</xdr:rowOff>
    </xdr:from>
    <xdr:to>
      <xdr:col>2</xdr:col>
      <xdr:colOff>259080</xdr:colOff>
      <xdr:row>3</xdr:row>
      <xdr:rowOff>205740</xdr:rowOff>
    </xdr:to>
    <xdr:sp macro="" textlink="">
      <xdr:nvSpPr>
        <xdr:cNvPr id="9001" name="Line 10">
          <a:extLst>
            <a:ext uri="{FF2B5EF4-FFF2-40B4-BE49-F238E27FC236}">
              <a16:creationId xmlns:a16="http://schemas.microsoft.com/office/drawing/2014/main" id="{00000000-0008-0000-0D00-000029230000}"/>
            </a:ext>
          </a:extLst>
        </xdr:cNvPr>
        <xdr:cNvSpPr>
          <a:spLocks noChangeShapeType="1"/>
        </xdr:cNvSpPr>
      </xdr:nvSpPr>
      <xdr:spPr bwMode="auto">
        <a:xfrm>
          <a:off x="777240" y="1127760"/>
          <a:ext cx="189738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493395</xdr:colOff>
      <xdr:row>4</xdr:row>
      <xdr:rowOff>264795</xdr:rowOff>
    </xdr:from>
    <xdr:to>
      <xdr:col>1</xdr:col>
      <xdr:colOff>1971675</xdr:colOff>
      <xdr:row>4</xdr:row>
      <xdr:rowOff>264795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F5D0BBEF-1954-412C-919F-565323FDE4C1}"/>
            </a:ext>
          </a:extLst>
        </xdr:cNvPr>
        <xdr:cNvSpPr>
          <a:spLocks noChangeShapeType="1"/>
        </xdr:cNvSpPr>
      </xdr:nvSpPr>
      <xdr:spPr bwMode="auto">
        <a:xfrm>
          <a:off x="493395" y="1464945"/>
          <a:ext cx="204025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91440</xdr:colOff>
      <xdr:row>5</xdr:row>
      <xdr:rowOff>264795</xdr:rowOff>
    </xdr:from>
    <xdr:to>
      <xdr:col>1</xdr:col>
      <xdr:colOff>1971675</xdr:colOff>
      <xdr:row>5</xdr:row>
      <xdr:rowOff>264795</xdr:rowOff>
    </xdr:to>
    <xdr:sp macro="" textlink="">
      <xdr:nvSpPr>
        <xdr:cNvPr id="6" name="Line 12">
          <a:extLst>
            <a:ext uri="{FF2B5EF4-FFF2-40B4-BE49-F238E27FC236}">
              <a16:creationId xmlns:a16="http://schemas.microsoft.com/office/drawing/2014/main" id="{BAC70823-98C4-4BDB-8D6D-83A3FB5639DE}"/>
            </a:ext>
          </a:extLst>
        </xdr:cNvPr>
        <xdr:cNvSpPr>
          <a:spLocks noChangeShapeType="1"/>
        </xdr:cNvSpPr>
      </xdr:nvSpPr>
      <xdr:spPr bwMode="auto">
        <a:xfrm>
          <a:off x="653415" y="1731645"/>
          <a:ext cx="188023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8282</xdr:colOff>
      <xdr:row>16</xdr:row>
      <xdr:rowOff>265045</xdr:rowOff>
    </xdr:from>
    <xdr:to>
      <xdr:col>15</xdr:col>
      <xdr:colOff>16565</xdr:colOff>
      <xdr:row>16</xdr:row>
      <xdr:rowOff>277482</xdr:rowOff>
    </xdr:to>
    <xdr:cxnSp macro="">
      <xdr:nvCxnSpPr>
        <xdr:cNvPr id="7" name="ลูกศรเชื่อมต่อแบบตรง 4">
          <a:extLst>
            <a:ext uri="{FF2B5EF4-FFF2-40B4-BE49-F238E27FC236}">
              <a16:creationId xmlns:a16="http://schemas.microsoft.com/office/drawing/2014/main" id="{9A041E4F-0D25-45CA-AE0F-9220CB165CE1}"/>
            </a:ext>
          </a:extLst>
        </xdr:cNvPr>
        <xdr:cNvCxnSpPr/>
      </xdr:nvCxnSpPr>
      <xdr:spPr bwMode="auto">
        <a:xfrm flipV="1">
          <a:off x="7147891" y="5300871"/>
          <a:ext cx="3437283" cy="12437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2</xdr:col>
      <xdr:colOff>1051890</xdr:colOff>
      <xdr:row>11</xdr:row>
      <xdr:rowOff>281610</xdr:rowOff>
    </xdr:from>
    <xdr:to>
      <xdr:col>8</xdr:col>
      <xdr:colOff>571499</xdr:colOff>
      <xdr:row>11</xdr:row>
      <xdr:rowOff>294047</xdr:rowOff>
    </xdr:to>
    <xdr:cxnSp macro="">
      <xdr:nvCxnSpPr>
        <xdr:cNvPr id="10" name="ลูกศรเชื่อมต่อแบบตรง 4">
          <a:extLst>
            <a:ext uri="{FF2B5EF4-FFF2-40B4-BE49-F238E27FC236}">
              <a16:creationId xmlns:a16="http://schemas.microsoft.com/office/drawing/2014/main" id="{03197317-F40B-4C21-A418-177ED457240D}"/>
            </a:ext>
          </a:extLst>
        </xdr:cNvPr>
        <xdr:cNvCxnSpPr/>
      </xdr:nvCxnSpPr>
      <xdr:spPr bwMode="auto">
        <a:xfrm flipV="1">
          <a:off x="3702325" y="3329610"/>
          <a:ext cx="3437283" cy="12437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493395</xdr:colOff>
      <xdr:row>3</xdr:row>
      <xdr:rowOff>264795</xdr:rowOff>
    </xdr:from>
    <xdr:to>
      <xdr:col>1</xdr:col>
      <xdr:colOff>1971675</xdr:colOff>
      <xdr:row>3</xdr:row>
      <xdr:rowOff>264795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D996D75C-E72D-4AE2-BE8F-AEEED5ABBD69}"/>
            </a:ext>
          </a:extLst>
        </xdr:cNvPr>
        <xdr:cNvSpPr>
          <a:spLocks noChangeShapeType="1"/>
        </xdr:cNvSpPr>
      </xdr:nvSpPr>
      <xdr:spPr bwMode="auto">
        <a:xfrm>
          <a:off x="493395" y="1464945"/>
          <a:ext cx="204025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91440</xdr:colOff>
      <xdr:row>4</xdr:row>
      <xdr:rowOff>264795</xdr:rowOff>
    </xdr:from>
    <xdr:to>
      <xdr:col>1</xdr:col>
      <xdr:colOff>1971675</xdr:colOff>
      <xdr:row>4</xdr:row>
      <xdr:rowOff>264795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CA10DD97-3E6A-401A-88D4-731166BB5213}"/>
            </a:ext>
          </a:extLst>
        </xdr:cNvPr>
        <xdr:cNvSpPr>
          <a:spLocks noChangeShapeType="1"/>
        </xdr:cNvSpPr>
      </xdr:nvSpPr>
      <xdr:spPr bwMode="auto">
        <a:xfrm>
          <a:off x="653415" y="1731645"/>
          <a:ext cx="188023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493395</xdr:colOff>
      <xdr:row>5</xdr:row>
      <xdr:rowOff>331470</xdr:rowOff>
    </xdr:from>
    <xdr:to>
      <xdr:col>1</xdr:col>
      <xdr:colOff>1971675</xdr:colOff>
      <xdr:row>5</xdr:row>
      <xdr:rowOff>331470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8D333DEE-C29F-418F-99F2-E864DA3A7393}"/>
            </a:ext>
          </a:extLst>
        </xdr:cNvPr>
        <xdr:cNvSpPr>
          <a:spLocks noChangeShapeType="1"/>
        </xdr:cNvSpPr>
      </xdr:nvSpPr>
      <xdr:spPr bwMode="auto">
        <a:xfrm>
          <a:off x="493395" y="2065020"/>
          <a:ext cx="214503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91440</xdr:colOff>
      <xdr:row>6</xdr:row>
      <xdr:rowOff>331470</xdr:rowOff>
    </xdr:from>
    <xdr:to>
      <xdr:col>1</xdr:col>
      <xdr:colOff>1971675</xdr:colOff>
      <xdr:row>6</xdr:row>
      <xdr:rowOff>331470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858F8CC8-3738-430E-BA6D-11DE19FCB52C}"/>
            </a:ext>
          </a:extLst>
        </xdr:cNvPr>
        <xdr:cNvSpPr>
          <a:spLocks noChangeShapeType="1"/>
        </xdr:cNvSpPr>
      </xdr:nvSpPr>
      <xdr:spPr bwMode="auto">
        <a:xfrm>
          <a:off x="758190" y="2407920"/>
          <a:ext cx="1880235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91;&#3634;&#3609;%20&#3585;&#3592;&#3585;/&#3623;&#3636;&#3607;&#3618;&#3609;&#3633;&#3609;&#3607;&#3660;/03%20-%20&#3649;&#3612;&#3609;&#3626;&#3609;&#3633;&#3610;&#3626;&#3609;&#3640;&#3609;&#3585;&#3634;&#3619;&#3604;&#3635;&#3648;&#3609;&#3636;&#3609;&#3591;&#3634;&#3609;%20&#3619;&#3632;&#3618;&#3632;&#3607;&#3637;&#3656;%206/03%20-%20&#3586;&#3657;&#3629;&#3617;&#3641;&#3621;&#3629;&#3609;&#3640;&#3617;&#3633;&#3605;&#3636;&#3649;&#3612;&#3609;%206/00%20-%20&#3586;&#3657;&#3629;&#3617;&#3641;&#3621;&#3605;&#3633;&#3657;&#3591;&#3591;&#3610;&#3611;&#3619;&#3632;&#3617;&#3634;&#3603;%201909256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0%20-%20&#3586;&#3657;&#3629;&#3617;&#3641;&#3621;&#3605;&#3633;&#3657;&#3591;&#3591;&#3610;&#3611;&#3619;&#3632;&#3617;&#3634;&#3603;%20REV%201%20161125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งเงิน Final"/>
      <sheetName val="สรุปรวม (ที่ดิน+สิ่งก่อสร้าง)"/>
      <sheetName val="สรุปด้านจัดหาที่ดิน"/>
      <sheetName val="รายละเอียดด้านจัดหาที่ดิน"/>
      <sheetName val="สรุปด้านสิ่งก่อสร้าง"/>
      <sheetName val="รายละเอียดสิ่งก่อสร้าง"/>
      <sheetName val="รวมทุกปีเครื่องมือ (ส่วนกลาง)"/>
      <sheetName val="สรุปแผนงาน (ยานพาหนะ)"/>
      <sheetName val="ประมาณเบิกจ่าย (ยานพาหนะ)"/>
      <sheetName val="ปี 2568 (ส่วนกลาง)"/>
      <sheetName val="ปี 2569 (ส่วนกลาง)"/>
      <sheetName val="ปี 2570 (ส่วนกลาง)"/>
      <sheetName val="รวมทุกปีเครื่องมือ (ภูมิภาค)"/>
      <sheetName val="ปี 2568 (ภูมิภาค)"/>
      <sheetName val="ปี 2569 (ภูมิภาค)"/>
      <sheetName val="ปี 2570 (ภูมิภาค)"/>
      <sheetName val="วงเงิน ตาราง 1"/>
      <sheetName val="01สรุป12เขต"/>
      <sheetName val="05รายละเอียดสิ่งก่อสร้าง"/>
      <sheetName val="07อาคารอเนกประสงค์"/>
      <sheetName val="08เหตุผลการขอโรงเก็บมิเตอร์"/>
    </sheetNames>
    <sheetDataSet>
      <sheetData sheetId="0"/>
      <sheetData sheetId="1">
        <row r="8">
          <cell r="C8">
            <v>56</v>
          </cell>
          <cell r="D8">
            <v>491.3</v>
          </cell>
          <cell r="E8" t="str">
            <v>-</v>
          </cell>
          <cell r="F8" t="str">
            <v>-</v>
          </cell>
        </row>
        <row r="10">
          <cell r="C10">
            <v>79</v>
          </cell>
          <cell r="D10">
            <v>793.30000000000007</v>
          </cell>
          <cell r="E10">
            <v>632.29999999999995</v>
          </cell>
          <cell r="F10">
            <v>491.99999999999994</v>
          </cell>
        </row>
        <row r="12">
          <cell r="D12">
            <v>23.8</v>
          </cell>
          <cell r="E12">
            <v>18.97</v>
          </cell>
          <cell r="F12">
            <v>14.76</v>
          </cell>
        </row>
      </sheetData>
      <sheetData sheetId="2"/>
      <sheetData sheetId="3"/>
      <sheetData sheetId="4"/>
      <sheetData sheetId="5"/>
      <sheetData sheetId="6">
        <row r="254">
          <cell r="AD254">
            <v>266</v>
          </cell>
          <cell r="AE254">
            <v>104</v>
          </cell>
        </row>
      </sheetData>
      <sheetData sheetId="7">
        <row r="16">
          <cell r="AE16">
            <v>264</v>
          </cell>
          <cell r="AG16">
            <v>1036780000</v>
          </cell>
        </row>
        <row r="37">
          <cell r="AE37">
            <v>255</v>
          </cell>
          <cell r="AG37">
            <v>1057965000</v>
          </cell>
        </row>
      </sheetData>
      <sheetData sheetId="8"/>
      <sheetData sheetId="9">
        <row r="254">
          <cell r="BH254">
            <v>163960000</v>
          </cell>
        </row>
      </sheetData>
      <sheetData sheetId="10">
        <row r="254">
          <cell r="BH254">
            <v>108371000</v>
          </cell>
        </row>
      </sheetData>
      <sheetData sheetId="11">
        <row r="254">
          <cell r="BH254">
            <v>134540000</v>
          </cell>
        </row>
      </sheetData>
      <sheetData sheetId="12">
        <row r="262">
          <cell r="AB262">
            <v>1421</v>
          </cell>
          <cell r="AC262">
            <v>831</v>
          </cell>
        </row>
      </sheetData>
      <sheetData sheetId="13">
        <row r="262">
          <cell r="BD262">
            <v>358970000</v>
          </cell>
        </row>
      </sheetData>
      <sheetData sheetId="14">
        <row r="262">
          <cell r="BD262">
            <v>387255000</v>
          </cell>
        </row>
      </sheetData>
      <sheetData sheetId="15">
        <row r="262">
          <cell r="BD262">
            <v>210500000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งเงิน Final"/>
      <sheetName val="วงเงิน Final (rev1)"/>
      <sheetName val="สรุปรวม (ที่ดิน+สิ่งก่อสร้าง)"/>
      <sheetName val="สรุปด้านจัดหาที่ดิน"/>
      <sheetName val="รายละเอียดด้านจัดหาที่ดิน(เดิม)"/>
      <sheetName val="งานด้านจัดหาที่ดิน 15 พย.66"/>
      <sheetName val="สรุปด้านสิ่งก่อสร้าง"/>
      <sheetName val="รายละเอียดสิ่งก่อสร้าง"/>
      <sheetName val="รวมทุกปีเครื่องมือ (ส่วนกลาง)"/>
      <sheetName val="สรุปแผนงาน (ยานพาหนะ)"/>
      <sheetName val="ประมาณเบิกจ่าย (ยานพาหนะ)"/>
      <sheetName val="ปี 2568 (ส่วนกลาง)"/>
      <sheetName val="ปี 2569 (ส่วนกลาง)"/>
      <sheetName val="ปี 2570 (ส่วนกลาง)"/>
      <sheetName val="รวมทุกปีเครื่องมือ (ภูมิภาค)"/>
      <sheetName val="ปี 2568 (ภูมิภาค)"/>
      <sheetName val="ปี 2569 (ภูมิภาค)"/>
      <sheetName val="ปี 2570 (ภูมิภาค)"/>
      <sheetName val="วงเงิน ตาราง 1"/>
      <sheetName val="01สรุป12เขต"/>
      <sheetName val="05รายละเอียดสิ่งก่อสร้าง"/>
      <sheetName val="07อาคารอเนกประสงค์"/>
      <sheetName val="08เหตุผลการขอโรงเก็บมิเตอร์"/>
    </sheetNames>
    <sheetDataSet>
      <sheetData sheetId="0"/>
      <sheetData sheetId="1"/>
      <sheetData sheetId="2"/>
      <sheetData sheetId="3"/>
      <sheetData sheetId="4"/>
      <sheetData sheetId="5">
        <row r="79">
          <cell r="N79">
            <v>92.5</v>
          </cell>
          <cell r="O79">
            <v>193.9</v>
          </cell>
          <cell r="P79">
            <v>204.9</v>
          </cell>
          <cell r="Q79">
            <v>0</v>
          </cell>
        </row>
      </sheetData>
      <sheetData sheetId="6"/>
      <sheetData sheetId="7">
        <row r="179">
          <cell r="G179">
            <v>56.820000000000007</v>
          </cell>
          <cell r="H179">
            <v>439.79999999999995</v>
          </cell>
          <cell r="I179">
            <v>670.43000000000006</v>
          </cell>
          <cell r="J179">
            <v>539.79999999999995</v>
          </cell>
          <cell r="K179">
            <v>210.75</v>
          </cell>
        </row>
      </sheetData>
      <sheetData sheetId="8"/>
      <sheetData sheetId="9"/>
      <sheetData sheetId="10">
        <row r="29">
          <cell r="BO29">
            <v>67520000</v>
          </cell>
          <cell r="BP29">
            <v>324740000</v>
          </cell>
          <cell r="BQ29">
            <v>893520000</v>
          </cell>
          <cell r="BR29">
            <v>808965000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5:J12"/>
  <sheetViews>
    <sheetView showGridLines="0" view="pageBreakPreview" zoomScale="115" zoomScaleNormal="100" zoomScaleSheetLayoutView="115" workbookViewId="0">
      <selection activeCell="E5" sqref="E5"/>
    </sheetView>
  </sheetViews>
  <sheetFormatPr defaultColWidth="9" defaultRowHeight="18.75"/>
  <cols>
    <col min="1" max="9" width="9" style="18"/>
    <col min="10" max="10" width="12.140625" style="18" customWidth="1"/>
    <col min="11" max="16384" width="9" style="18"/>
  </cols>
  <sheetData>
    <row r="5" spans="1:10" ht="68.45" customHeight="1"/>
    <row r="10" spans="1:10" ht="53.25">
      <c r="A10" s="594" t="s">
        <v>0</v>
      </c>
      <c r="B10" s="594"/>
      <c r="C10" s="594"/>
      <c r="D10" s="594"/>
      <c r="E10" s="594"/>
      <c r="F10" s="594"/>
      <c r="G10" s="594"/>
      <c r="H10" s="594"/>
      <c r="I10" s="594"/>
      <c r="J10" s="594"/>
    </row>
    <row r="11" spans="1:10" ht="53.25">
      <c r="A11" s="594" t="s">
        <v>1</v>
      </c>
      <c r="B11" s="594"/>
      <c r="C11" s="594"/>
      <c r="D11" s="594"/>
      <c r="E11" s="594"/>
      <c r="F11" s="594"/>
      <c r="G11" s="594"/>
      <c r="H11" s="594"/>
      <c r="I11" s="594"/>
      <c r="J11" s="594"/>
    </row>
    <row r="12" spans="1:10" ht="63.75">
      <c r="A12" s="595"/>
      <c r="B12" s="595"/>
      <c r="C12" s="595"/>
      <c r="D12" s="595"/>
      <c r="E12" s="595"/>
      <c r="F12" s="595"/>
      <c r="G12" s="595"/>
      <c r="H12" s="595"/>
      <c r="I12" s="595"/>
      <c r="J12" s="595"/>
    </row>
  </sheetData>
  <mergeCells count="3">
    <mergeCell ref="A11:J11"/>
    <mergeCell ref="A12:J12"/>
    <mergeCell ref="A10:J10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I26"/>
  <sheetViews>
    <sheetView showGridLines="0" view="pageBreakPreview" zoomScaleNormal="100" zoomScaleSheetLayoutView="100" workbookViewId="0">
      <selection activeCell="F17" sqref="F17"/>
    </sheetView>
  </sheetViews>
  <sheetFormatPr defaultColWidth="9" defaultRowHeight="21"/>
  <cols>
    <col min="1" max="1" width="4" style="6" customWidth="1"/>
    <col min="2" max="2" width="26.28515625" style="6" customWidth="1"/>
    <col min="3" max="7" width="9" style="6"/>
    <col min="8" max="8" width="19.85546875" style="6" customWidth="1"/>
    <col min="9" max="9" width="14.42578125" style="6" customWidth="1"/>
    <col min="10" max="16384" width="9" style="6"/>
  </cols>
  <sheetData>
    <row r="1" spans="1:9">
      <c r="A1" s="596" t="s">
        <v>0</v>
      </c>
      <c r="B1" s="596"/>
      <c r="C1" s="596"/>
      <c r="D1" s="596"/>
      <c r="E1" s="596"/>
      <c r="F1" s="596"/>
      <c r="G1" s="596"/>
      <c r="H1" s="596"/>
      <c r="I1" s="10"/>
    </row>
    <row r="2" spans="1:9">
      <c r="A2" s="596" t="s">
        <v>1</v>
      </c>
      <c r="B2" s="596"/>
      <c r="C2" s="596"/>
      <c r="D2" s="596"/>
      <c r="E2" s="596"/>
      <c r="F2" s="596"/>
      <c r="G2" s="596"/>
      <c r="H2" s="596"/>
      <c r="I2" s="10"/>
    </row>
    <row r="4" spans="1:9">
      <c r="A4" s="39" t="s">
        <v>2</v>
      </c>
      <c r="B4" s="6" t="s">
        <v>3</v>
      </c>
      <c r="C4" s="6" t="s">
        <v>4</v>
      </c>
    </row>
    <row r="5" spans="1:9">
      <c r="A5" s="39" t="s">
        <v>5</v>
      </c>
      <c r="B5" s="6" t="s">
        <v>6</v>
      </c>
      <c r="C5" s="6" t="s">
        <v>7</v>
      </c>
    </row>
    <row r="6" spans="1:9">
      <c r="A6" s="39" t="s">
        <v>8</v>
      </c>
      <c r="B6" s="6" t="s">
        <v>9</v>
      </c>
      <c r="C6" s="6" t="s">
        <v>10</v>
      </c>
    </row>
    <row r="7" spans="1:9">
      <c r="A7" s="39" t="s">
        <v>11</v>
      </c>
      <c r="B7" s="6" t="s">
        <v>12</v>
      </c>
      <c r="C7" s="6" t="s">
        <v>13</v>
      </c>
    </row>
    <row r="8" spans="1:9">
      <c r="A8" s="39" t="s">
        <v>14</v>
      </c>
      <c r="B8" s="6" t="s">
        <v>15</v>
      </c>
      <c r="C8" s="6" t="s">
        <v>16</v>
      </c>
    </row>
    <row r="9" spans="1:9">
      <c r="A9" s="39" t="s">
        <v>17</v>
      </c>
      <c r="B9" s="6" t="s">
        <v>18</v>
      </c>
      <c r="C9" s="6" t="s">
        <v>19</v>
      </c>
    </row>
    <row r="10" spans="1:9">
      <c r="A10" s="39"/>
      <c r="C10" s="6" t="s">
        <v>20</v>
      </c>
    </row>
    <row r="11" spans="1:9">
      <c r="A11" s="39" t="s">
        <v>21</v>
      </c>
      <c r="B11" s="6" t="s">
        <v>22</v>
      </c>
      <c r="C11" s="6" t="s">
        <v>23</v>
      </c>
    </row>
    <row r="12" spans="1:9">
      <c r="A12" s="39" t="s">
        <v>24</v>
      </c>
      <c r="B12" s="6" t="s">
        <v>25</v>
      </c>
      <c r="C12" s="6" t="s">
        <v>26</v>
      </c>
    </row>
    <row r="13" spans="1:9">
      <c r="A13" s="39" t="s">
        <v>27</v>
      </c>
      <c r="B13" s="6" t="s">
        <v>28</v>
      </c>
      <c r="C13" s="6" t="s">
        <v>29</v>
      </c>
    </row>
    <row r="14" spans="1:9">
      <c r="A14" s="39" t="s">
        <v>30</v>
      </c>
      <c r="B14" s="6" t="s">
        <v>31</v>
      </c>
      <c r="C14" s="6" t="s">
        <v>32</v>
      </c>
    </row>
    <row r="15" spans="1:9">
      <c r="A15" s="44" t="s">
        <v>33</v>
      </c>
      <c r="B15" s="6" t="s">
        <v>34</v>
      </c>
      <c r="C15" s="6" t="s">
        <v>35</v>
      </c>
    </row>
    <row r="16" spans="1:9">
      <c r="A16" s="44" t="s">
        <v>36</v>
      </c>
      <c r="B16" s="6" t="s">
        <v>37</v>
      </c>
      <c r="C16" s="6" t="s">
        <v>38</v>
      </c>
    </row>
    <row r="17" spans="1:9">
      <c r="A17" s="44" t="s">
        <v>39</v>
      </c>
      <c r="B17" s="6" t="s">
        <v>40</v>
      </c>
      <c r="C17" s="6" t="s">
        <v>41</v>
      </c>
    </row>
    <row r="18" spans="1:9">
      <c r="A18" s="44" t="s">
        <v>42</v>
      </c>
      <c r="B18" s="6" t="s">
        <v>43</v>
      </c>
      <c r="C18" s="6" t="s">
        <v>44</v>
      </c>
    </row>
    <row r="19" spans="1:9">
      <c r="A19" s="44" t="s">
        <v>45</v>
      </c>
      <c r="B19" s="6" t="s">
        <v>46</v>
      </c>
      <c r="C19" s="6" t="s">
        <v>47</v>
      </c>
    </row>
    <row r="20" spans="1:9">
      <c r="A20" s="122" t="s">
        <v>48</v>
      </c>
      <c r="B20" s="6" t="s">
        <v>49</v>
      </c>
      <c r="C20" s="6" t="s">
        <v>50</v>
      </c>
    </row>
    <row r="21" spans="1:9">
      <c r="A21" s="44"/>
    </row>
    <row r="22" spans="1:9">
      <c r="A22" s="596"/>
      <c r="B22" s="596"/>
      <c r="C22" s="596"/>
      <c r="D22" s="596"/>
      <c r="E22" s="596"/>
      <c r="F22" s="596"/>
      <c r="G22" s="596"/>
      <c r="H22" s="596"/>
      <c r="I22" s="10"/>
    </row>
    <row r="23" spans="1:9">
      <c r="A23" s="596"/>
      <c r="B23" s="596"/>
      <c r="C23" s="596"/>
      <c r="D23" s="596"/>
      <c r="E23" s="596"/>
      <c r="F23" s="596"/>
      <c r="G23" s="596"/>
      <c r="H23" s="596"/>
      <c r="I23" s="10"/>
    </row>
    <row r="24" spans="1:9">
      <c r="A24" s="596"/>
      <c r="B24" s="596"/>
      <c r="C24" s="596"/>
      <c r="D24" s="596"/>
      <c r="E24" s="596"/>
      <c r="F24" s="596"/>
      <c r="G24" s="596"/>
      <c r="H24" s="596"/>
      <c r="I24" s="10"/>
    </row>
    <row r="25" spans="1:9">
      <c r="A25" s="10"/>
      <c r="B25" s="10"/>
      <c r="C25" s="10"/>
      <c r="D25" s="10"/>
      <c r="E25" s="10"/>
      <c r="F25" s="10"/>
      <c r="G25" s="10"/>
      <c r="H25" s="10"/>
      <c r="I25" s="10"/>
    </row>
    <row r="26" spans="1:9">
      <c r="A26" s="39"/>
    </row>
  </sheetData>
  <mergeCells count="5">
    <mergeCell ref="A1:H1"/>
    <mergeCell ref="A2:H2"/>
    <mergeCell ref="A22:H22"/>
    <mergeCell ref="A23:H23"/>
    <mergeCell ref="A24:H24"/>
  </mergeCells>
  <pageMargins left="0.6692913385826772" right="0.19685039370078741" top="0.78740157480314965" bottom="0.39370078740157483" header="0.51181102362204722" footer="0.51181102362204722"/>
  <pageSetup paperSize="9" orientation="portrait" r:id="rId1"/>
  <ignoredErrors>
    <ignoredError sqref="A4:A9 A21 A11:A14 A15:A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G33"/>
  <sheetViews>
    <sheetView showGridLines="0" view="pageBreakPreview" topLeftCell="A4" zoomScaleNormal="100" zoomScaleSheetLayoutView="100" workbookViewId="0">
      <selection activeCell="C13" sqref="C13"/>
    </sheetView>
  </sheetViews>
  <sheetFormatPr defaultColWidth="9.140625" defaultRowHeight="21"/>
  <cols>
    <col min="1" max="1" width="10" style="6" customWidth="1"/>
    <col min="2" max="2" width="16.140625" style="6" customWidth="1"/>
    <col min="3" max="3" width="54.28515625" style="6" customWidth="1"/>
    <col min="4" max="4" width="17.85546875" style="6" bestFit="1" customWidth="1"/>
    <col min="5" max="16384" width="9.140625" style="6"/>
  </cols>
  <sheetData>
    <row r="1" spans="1:4">
      <c r="D1" s="13" t="s">
        <v>3</v>
      </c>
    </row>
    <row r="2" spans="1:4" ht="28.5">
      <c r="A2" s="600" t="s">
        <v>51</v>
      </c>
      <c r="B2" s="600"/>
      <c r="C2" s="600"/>
      <c r="D2" s="600"/>
    </row>
    <row r="3" spans="1:4" ht="28.5">
      <c r="A3" s="600" t="s">
        <v>52</v>
      </c>
      <c r="B3" s="600"/>
      <c r="C3" s="600"/>
      <c r="D3" s="600"/>
    </row>
    <row r="4" spans="1:4" ht="31.5" customHeight="1">
      <c r="A4" s="607" t="s">
        <v>53</v>
      </c>
      <c r="B4" s="607"/>
      <c r="C4" s="607"/>
      <c r="D4" s="607"/>
    </row>
    <row r="5" spans="1:4" ht="34.5" customHeight="1">
      <c r="A5" s="596" t="s">
        <v>54</v>
      </c>
      <c r="B5" s="596"/>
      <c r="C5" s="596"/>
      <c r="D5" s="596"/>
    </row>
    <row r="6" spans="1:4" ht="35.1" customHeight="1">
      <c r="B6" s="8"/>
      <c r="D6" s="13" t="s">
        <v>55</v>
      </c>
    </row>
    <row r="7" spans="1:4" ht="29.1" customHeight="1">
      <c r="A7" s="601" t="s">
        <v>56</v>
      </c>
      <c r="B7" s="603" t="s">
        <v>57</v>
      </c>
      <c r="C7" s="604"/>
      <c r="D7" s="541" t="s">
        <v>58</v>
      </c>
    </row>
    <row r="8" spans="1:4" ht="27" customHeight="1">
      <c r="A8" s="602"/>
      <c r="B8" s="605"/>
      <c r="C8" s="606"/>
      <c r="D8" s="14" t="s">
        <v>59</v>
      </c>
    </row>
    <row r="9" spans="1:4">
      <c r="A9" s="67">
        <v>1</v>
      </c>
      <c r="B9" s="417" t="s">
        <v>60</v>
      </c>
      <c r="C9" s="17"/>
      <c r="D9" s="258">
        <f>'004-4'!M23</f>
        <v>2868110000</v>
      </c>
    </row>
    <row r="10" spans="1:4">
      <c r="A10" s="15"/>
      <c r="B10" s="417"/>
      <c r="C10" s="17"/>
      <c r="D10" s="15"/>
    </row>
    <row r="11" spans="1:4">
      <c r="A11" s="15"/>
      <c r="B11" s="417"/>
      <c r="C11" s="17"/>
      <c r="D11" s="15"/>
    </row>
    <row r="12" spans="1:4">
      <c r="A12" s="15"/>
      <c r="B12" s="417"/>
      <c r="C12" s="17"/>
      <c r="D12" s="15"/>
    </row>
    <row r="13" spans="1:4">
      <c r="A13" s="15"/>
      <c r="B13" s="417"/>
      <c r="C13" s="17"/>
      <c r="D13" s="15"/>
    </row>
    <row r="14" spans="1:4">
      <c r="A14" s="15"/>
      <c r="B14" s="417"/>
      <c r="C14" s="17"/>
      <c r="D14" s="15"/>
    </row>
    <row r="15" spans="1:4">
      <c r="A15" s="15"/>
      <c r="B15" s="417"/>
      <c r="C15" s="17"/>
      <c r="D15" s="15"/>
    </row>
    <row r="16" spans="1:4">
      <c r="A16" s="15"/>
      <c r="B16" s="417"/>
      <c r="C16" s="17"/>
      <c r="D16" s="15"/>
    </row>
    <row r="17" spans="1:4">
      <c r="A17" s="15"/>
      <c r="B17" s="417"/>
      <c r="C17" s="17"/>
      <c r="D17" s="15"/>
    </row>
    <row r="18" spans="1:4">
      <c r="A18" s="15"/>
      <c r="B18" s="417"/>
      <c r="C18" s="17"/>
      <c r="D18" s="15"/>
    </row>
    <row r="19" spans="1:4">
      <c r="A19" s="15"/>
      <c r="B19" s="417"/>
      <c r="C19" s="17"/>
      <c r="D19" s="15"/>
    </row>
    <row r="20" spans="1:4">
      <c r="A20" s="15"/>
      <c r="B20" s="417"/>
      <c r="C20" s="17"/>
      <c r="D20" s="15"/>
    </row>
    <row r="21" spans="1:4">
      <c r="A21" s="15"/>
      <c r="B21" s="417"/>
      <c r="C21" s="17"/>
      <c r="D21" s="15"/>
    </row>
    <row r="22" spans="1:4">
      <c r="A22" s="15"/>
      <c r="B22" s="417"/>
      <c r="C22" s="17"/>
      <c r="D22" s="15"/>
    </row>
    <row r="23" spans="1:4">
      <c r="A23" s="15"/>
      <c r="B23" s="417"/>
      <c r="C23" s="17"/>
      <c r="D23" s="15"/>
    </row>
    <row r="24" spans="1:4">
      <c r="A24" s="15"/>
      <c r="B24" s="417"/>
      <c r="C24" s="17"/>
      <c r="D24" s="15"/>
    </row>
    <row r="25" spans="1:4">
      <c r="A25" s="15"/>
      <c r="B25" s="417"/>
      <c r="C25" s="17"/>
      <c r="D25" s="15"/>
    </row>
    <row r="26" spans="1:4">
      <c r="A26" s="15"/>
      <c r="B26" s="417"/>
      <c r="C26" s="17"/>
      <c r="D26" s="15"/>
    </row>
    <row r="27" spans="1:4">
      <c r="A27" s="15"/>
      <c r="B27" s="417"/>
      <c r="C27" s="17"/>
      <c r="D27" s="15"/>
    </row>
    <row r="28" spans="1:4">
      <c r="A28" s="15"/>
      <c r="B28" s="417"/>
      <c r="C28" s="17"/>
      <c r="D28" s="15"/>
    </row>
    <row r="29" spans="1:4">
      <c r="A29" s="15"/>
      <c r="B29" s="417"/>
      <c r="C29" s="17"/>
      <c r="D29" s="15"/>
    </row>
    <row r="30" spans="1:4">
      <c r="A30" s="15"/>
      <c r="B30" s="417"/>
      <c r="C30" s="17"/>
      <c r="D30" s="15"/>
    </row>
    <row r="31" spans="1:4">
      <c r="A31" s="15"/>
      <c r="B31" s="417"/>
      <c r="C31" s="17"/>
      <c r="D31" s="15"/>
    </row>
    <row r="32" spans="1:4">
      <c r="A32" s="597" t="s">
        <v>61</v>
      </c>
      <c r="B32" s="598"/>
      <c r="C32" s="599"/>
      <c r="D32" s="507">
        <f>D9</f>
        <v>2868110000</v>
      </c>
    </row>
    <row r="33" spans="1:7" ht="34.5" customHeight="1">
      <c r="A33" s="19" t="s">
        <v>62</v>
      </c>
      <c r="B33" s="18" t="s">
        <v>63</v>
      </c>
      <c r="C33" s="18"/>
      <c r="D33" s="18"/>
      <c r="E33" s="18"/>
      <c r="F33" s="18"/>
      <c r="G33" s="18"/>
    </row>
  </sheetData>
  <mergeCells count="7">
    <mergeCell ref="A32:C32"/>
    <mergeCell ref="A2:D2"/>
    <mergeCell ref="A3:D3"/>
    <mergeCell ref="A7:A8"/>
    <mergeCell ref="B7:C8"/>
    <mergeCell ref="A4:D4"/>
    <mergeCell ref="A5:D5"/>
  </mergeCells>
  <phoneticPr fontId="0" type="noConversion"/>
  <printOptions horizontalCentered="1"/>
  <pageMargins left="0.6692913385826772" right="0.39370078740157483" top="0.39370078740157483" bottom="0.19685039370078741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  <pageSetUpPr fitToPage="1"/>
  </sheetPr>
  <dimension ref="A1:T31"/>
  <sheetViews>
    <sheetView showGridLines="0" view="pageBreakPreview" topLeftCell="A9" zoomScaleNormal="160" zoomScaleSheetLayoutView="100" workbookViewId="0">
      <selection activeCell="H21" sqref="H21"/>
    </sheetView>
  </sheetViews>
  <sheetFormatPr defaultColWidth="9.140625" defaultRowHeight="25.9" customHeight="1"/>
  <cols>
    <col min="1" max="1" width="2.85546875" style="87" customWidth="1"/>
    <col min="2" max="2" width="9.28515625" style="87" customWidth="1"/>
    <col min="3" max="3" width="6.28515625" style="88" customWidth="1"/>
    <col min="4" max="4" width="8.140625" style="87" customWidth="1"/>
    <col min="5" max="5" width="6" style="87" customWidth="1"/>
    <col min="6" max="6" width="14.28515625" style="87" customWidth="1"/>
    <col min="7" max="10" width="8.7109375" style="87" customWidth="1"/>
    <col min="11" max="11" width="4.5703125" style="87" bestFit="1" customWidth="1"/>
    <col min="12" max="12" width="16" style="87" customWidth="1"/>
    <col min="13" max="13" width="35.85546875" style="87" bestFit="1" customWidth="1"/>
    <col min="14" max="14" width="49" style="87" customWidth="1"/>
    <col min="15" max="15" width="40.5703125" style="87" customWidth="1"/>
    <col min="16" max="16" width="28.140625" style="87" customWidth="1"/>
    <col min="17" max="16384" width="9.140625" style="87"/>
  </cols>
  <sheetData>
    <row r="1" spans="1:20" ht="25.9" customHeight="1">
      <c r="K1" s="90"/>
      <c r="L1" s="126" t="s">
        <v>64</v>
      </c>
    </row>
    <row r="2" spans="1:20" ht="25.9" customHeight="1">
      <c r="A2" s="608" t="s">
        <v>7</v>
      </c>
      <c r="B2" s="608"/>
      <c r="C2" s="608"/>
      <c r="D2" s="608"/>
      <c r="E2" s="608"/>
      <c r="F2" s="608"/>
      <c r="G2" s="608"/>
      <c r="H2" s="608"/>
      <c r="I2" s="608"/>
      <c r="J2" s="608"/>
      <c r="K2" s="608"/>
    </row>
    <row r="3" spans="1:20" ht="25.9" customHeight="1">
      <c r="A3" s="608" t="s">
        <v>65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</row>
    <row r="4" spans="1:20" ht="25.9" customHeight="1">
      <c r="A4" s="88"/>
      <c r="B4" s="88"/>
      <c r="D4" s="88"/>
      <c r="E4" s="88"/>
      <c r="F4" s="88"/>
      <c r="G4" s="88"/>
      <c r="H4" s="88"/>
      <c r="I4" s="88"/>
      <c r="J4" s="88"/>
      <c r="K4" s="88"/>
    </row>
    <row r="5" spans="1:20" ht="25.9" customHeight="1">
      <c r="A5" s="89" t="s">
        <v>2</v>
      </c>
      <c r="B5" s="90" t="s">
        <v>66</v>
      </c>
      <c r="D5" s="91" t="s">
        <v>60</v>
      </c>
      <c r="E5" s="88"/>
      <c r="F5" s="88"/>
      <c r="G5" s="88"/>
      <c r="H5" s="88"/>
      <c r="I5" s="88"/>
      <c r="J5" s="88"/>
      <c r="K5" s="88"/>
    </row>
    <row r="6" spans="1:20" ht="25.9" customHeight="1">
      <c r="A6" s="90" t="s">
        <v>67</v>
      </c>
      <c r="C6" s="87"/>
      <c r="F6" s="90"/>
      <c r="H6" s="88"/>
      <c r="I6" s="88"/>
      <c r="J6" s="88"/>
      <c r="K6" s="88"/>
    </row>
    <row r="7" spans="1:20" ht="25.9" customHeight="1">
      <c r="A7" s="90"/>
      <c r="B7" s="90" t="s">
        <v>68</v>
      </c>
      <c r="C7" s="87"/>
      <c r="D7" s="87" t="s">
        <v>69</v>
      </c>
      <c r="H7" s="88"/>
      <c r="I7" s="88"/>
      <c r="J7" s="88"/>
      <c r="K7" s="88"/>
    </row>
    <row r="8" spans="1:20" ht="25.9" customHeight="1">
      <c r="A8" s="90"/>
      <c r="C8" s="87"/>
      <c r="D8" s="87" t="s">
        <v>70</v>
      </c>
      <c r="F8" s="91"/>
      <c r="G8" s="87" t="s">
        <v>71</v>
      </c>
      <c r="H8" s="88"/>
      <c r="I8" s="88"/>
      <c r="J8" s="88"/>
      <c r="K8" s="88"/>
    </row>
    <row r="9" spans="1:20" ht="25.9" customHeight="1">
      <c r="A9" s="90"/>
      <c r="C9" s="87"/>
      <c r="D9" s="87" t="s">
        <v>72</v>
      </c>
      <c r="F9" s="91"/>
      <c r="H9" s="88"/>
      <c r="I9" s="88"/>
      <c r="J9" s="88"/>
      <c r="K9" s="88"/>
      <c r="L9"/>
      <c r="M9"/>
      <c r="N9"/>
      <c r="O9"/>
      <c r="P9"/>
      <c r="Q9"/>
      <c r="R9"/>
      <c r="S9"/>
      <c r="T9"/>
    </row>
    <row r="10" spans="1:20" ht="25.9" customHeight="1">
      <c r="B10" s="90" t="s">
        <v>73</v>
      </c>
      <c r="C10" s="93"/>
      <c r="D10" s="93"/>
      <c r="E10" s="93"/>
    </row>
    <row r="11" spans="1:20" ht="25.9" customHeight="1">
      <c r="B11" s="90"/>
      <c r="C11" s="88" t="s">
        <v>74</v>
      </c>
      <c r="D11" s="93" t="s">
        <v>75</v>
      </c>
      <c r="E11" s="93"/>
      <c r="I11" s="88" t="s">
        <v>74</v>
      </c>
      <c r="J11" s="87" t="s">
        <v>76</v>
      </c>
    </row>
    <row r="12" spans="1:20" ht="25.9" customHeight="1">
      <c r="B12" s="92"/>
      <c r="C12" s="7" t="s">
        <v>77</v>
      </c>
      <c r="D12" s="87" t="s">
        <v>78</v>
      </c>
      <c r="I12" s="88" t="s">
        <v>74</v>
      </c>
      <c r="J12" s="87" t="s">
        <v>79</v>
      </c>
      <c r="N12" s="90"/>
    </row>
    <row r="13" spans="1:20" ht="25.9" customHeight="1">
      <c r="B13" s="90" t="s">
        <v>80</v>
      </c>
    </row>
    <row r="14" spans="1:20" ht="25.9" customHeight="1">
      <c r="C14" s="136" t="s">
        <v>81</v>
      </c>
      <c r="I14" s="88" t="s">
        <v>82</v>
      </c>
      <c r="J14" s="87" t="s">
        <v>83</v>
      </c>
    </row>
    <row r="15" spans="1:20" ht="25.9" customHeight="1">
      <c r="C15" s="136" t="s">
        <v>84</v>
      </c>
      <c r="I15" s="88" t="s">
        <v>74</v>
      </c>
      <c r="J15" s="87" t="s">
        <v>85</v>
      </c>
      <c r="M15" s="143"/>
    </row>
    <row r="16" spans="1:20" ht="25.5" customHeight="1">
      <c r="C16" s="7" t="s">
        <v>86</v>
      </c>
      <c r="I16" s="88" t="s">
        <v>74</v>
      </c>
      <c r="J16" s="87" t="s">
        <v>87</v>
      </c>
    </row>
    <row r="17" spans="1:11" ht="21.75" customHeight="1">
      <c r="D17" s="86" t="s">
        <v>88</v>
      </c>
    </row>
    <row r="18" spans="1:11" ht="25.9" customHeight="1">
      <c r="A18" s="139" t="s">
        <v>89</v>
      </c>
      <c r="B18" s="140"/>
      <c r="C18" s="6"/>
      <c r="D18" s="6"/>
      <c r="E18" s="29" t="s">
        <v>90</v>
      </c>
      <c r="F18" s="6" t="s">
        <v>91</v>
      </c>
      <c r="G18" s="6"/>
      <c r="H18" s="6"/>
      <c r="I18" s="7" t="s">
        <v>92</v>
      </c>
      <c r="J18" s="87" t="s">
        <v>93</v>
      </c>
      <c r="K18" s="13"/>
    </row>
    <row r="19" spans="1:11" ht="25.9" customHeight="1">
      <c r="A19" s="139" t="s">
        <v>94</v>
      </c>
      <c r="B19" s="143"/>
      <c r="C19" s="5"/>
      <c r="D19" s="6"/>
      <c r="E19" s="7" t="s">
        <v>95</v>
      </c>
      <c r="F19" s="6" t="s">
        <v>96</v>
      </c>
      <c r="G19" s="6"/>
      <c r="H19" s="6"/>
      <c r="I19" s="6"/>
      <c r="J19" s="6"/>
      <c r="K19" s="13"/>
    </row>
    <row r="20" spans="1:11" ht="25.9" customHeight="1">
      <c r="A20" s="139"/>
      <c r="B20" s="139"/>
      <c r="C20" s="5"/>
      <c r="D20" s="6"/>
      <c r="E20" s="29" t="s">
        <v>90</v>
      </c>
      <c r="F20" s="6" t="s">
        <v>97</v>
      </c>
      <c r="G20" s="6"/>
      <c r="H20" s="6"/>
      <c r="I20" s="6"/>
      <c r="J20" s="6"/>
      <c r="K20" s="6"/>
    </row>
    <row r="21" spans="1:11" ht="25.9" customHeight="1">
      <c r="A21" s="141"/>
      <c r="B21" s="141"/>
      <c r="C21" s="6"/>
      <c r="D21" s="6"/>
      <c r="E21" s="29" t="s">
        <v>90</v>
      </c>
      <c r="F21" s="6" t="s">
        <v>98</v>
      </c>
      <c r="G21" s="6"/>
      <c r="H21" s="6"/>
      <c r="I21" s="6"/>
      <c r="J21" s="6"/>
      <c r="K21" s="6"/>
    </row>
    <row r="22" spans="1:11" ht="25.9" customHeight="1">
      <c r="A22" s="139" t="s">
        <v>99</v>
      </c>
      <c r="B22" s="141"/>
      <c r="C22" s="6"/>
      <c r="D22" s="6"/>
      <c r="E22" s="6"/>
      <c r="F22" s="6"/>
      <c r="G22" s="6"/>
      <c r="H22" s="6"/>
      <c r="I22" s="6"/>
      <c r="J22" s="6"/>
      <c r="K22" s="6"/>
    </row>
    <row r="23" spans="1:11" ht="25.9" customHeight="1">
      <c r="A23" s="139" t="s">
        <v>100</v>
      </c>
      <c r="B23" s="141"/>
      <c r="C23" s="6"/>
      <c r="D23" s="6"/>
      <c r="E23" s="6"/>
      <c r="F23" s="6"/>
      <c r="G23" s="6"/>
      <c r="H23" s="6"/>
      <c r="I23" s="6"/>
      <c r="J23" s="6"/>
      <c r="K23" s="6"/>
    </row>
    <row r="24" spans="1:11" ht="25.9" customHeight="1">
      <c r="A24" s="139" t="s">
        <v>101</v>
      </c>
      <c r="B24" s="141"/>
      <c r="C24" s="5"/>
      <c r="D24" s="6"/>
      <c r="E24" s="6"/>
      <c r="F24" s="6"/>
      <c r="G24" s="6" t="s">
        <v>102</v>
      </c>
      <c r="H24" s="6"/>
      <c r="I24" s="6"/>
      <c r="K24" s="5" t="s">
        <v>103</v>
      </c>
    </row>
    <row r="25" spans="1:11" ht="25.9" customHeight="1">
      <c r="A25" s="139" t="s">
        <v>104</v>
      </c>
      <c r="B25" s="139"/>
      <c r="C25" s="6"/>
      <c r="D25" s="6"/>
      <c r="E25" s="6"/>
      <c r="F25" s="6"/>
      <c r="G25" s="6" t="s">
        <v>105</v>
      </c>
      <c r="H25" s="6"/>
      <c r="I25" s="6"/>
      <c r="K25" s="5" t="s">
        <v>103</v>
      </c>
    </row>
    <row r="26" spans="1:11" ht="25.9" customHeight="1">
      <c r="A26" s="139" t="s">
        <v>106</v>
      </c>
      <c r="B26" s="141"/>
      <c r="C26" s="6"/>
      <c r="D26" s="5"/>
      <c r="E26" s="6"/>
      <c r="F26" s="7"/>
      <c r="G26" s="6" t="s">
        <v>107</v>
      </c>
      <c r="H26" s="6"/>
      <c r="I26" s="6"/>
      <c r="K26" s="5" t="s">
        <v>103</v>
      </c>
    </row>
    <row r="27" spans="1:11" ht="25.9" customHeight="1">
      <c r="A27" s="139" t="s">
        <v>108</v>
      </c>
      <c r="B27" s="141"/>
      <c r="C27" s="6"/>
      <c r="D27" s="6"/>
      <c r="E27" s="6"/>
      <c r="F27" s="6"/>
      <c r="G27" s="6" t="s">
        <v>109</v>
      </c>
      <c r="H27" s="6"/>
      <c r="I27" s="6"/>
      <c r="K27" s="5" t="s">
        <v>103</v>
      </c>
    </row>
    <row r="28" spans="1:11" ht="25.9" customHeight="1">
      <c r="A28" s="90" t="s">
        <v>110</v>
      </c>
      <c r="B28" s="92"/>
    </row>
    <row r="29" spans="1:11" ht="25.9" customHeight="1">
      <c r="C29" s="94" t="s">
        <v>111</v>
      </c>
    </row>
    <row r="30" spans="1:11" ht="25.9" customHeight="1">
      <c r="B30" s="87" t="s">
        <v>112</v>
      </c>
    </row>
    <row r="31" spans="1:11" ht="25.9" customHeight="1">
      <c r="B31" s="87" t="s">
        <v>113</v>
      </c>
    </row>
  </sheetData>
  <mergeCells count="2">
    <mergeCell ref="A2:K2"/>
    <mergeCell ref="A3:K3"/>
  </mergeCells>
  <phoneticPr fontId="0" type="noConversion"/>
  <printOptions horizontalCentered="1"/>
  <pageMargins left="0.7" right="0.7" top="0.75" bottom="0.75" header="0.3" footer="0.3"/>
  <pageSetup paperSize="9" scale="93" orientation="portrait" r:id="rId1"/>
  <headerFooter alignWithMargins="0"/>
  <ignoredErrors>
    <ignoredError sqref="A5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92D050"/>
  </sheetPr>
  <dimension ref="A1:M42"/>
  <sheetViews>
    <sheetView showGridLines="0" view="pageBreakPreview" topLeftCell="A11" zoomScale="115" zoomScaleNormal="130" zoomScaleSheetLayoutView="115" workbookViewId="0">
      <selection activeCell="G15" sqref="G15"/>
    </sheetView>
  </sheetViews>
  <sheetFormatPr defaultColWidth="9.140625" defaultRowHeight="21"/>
  <cols>
    <col min="1" max="1" width="3.42578125" style="6" customWidth="1"/>
    <col min="2" max="2" width="2.7109375" style="6" customWidth="1"/>
    <col min="3" max="3" width="5.28515625" style="6" customWidth="1"/>
    <col min="4" max="4" width="5.42578125" style="6" customWidth="1"/>
    <col min="5" max="6" width="14.85546875" style="6" customWidth="1"/>
    <col min="7" max="7" width="18.140625" style="6" customWidth="1"/>
    <col min="8" max="8" width="11.7109375" style="6" customWidth="1"/>
    <col min="9" max="9" width="20.42578125" style="6" customWidth="1"/>
    <col min="10" max="10" width="12.7109375" style="6" customWidth="1"/>
    <col min="11" max="11" width="11" style="6" customWidth="1"/>
    <col min="12" max="12" width="14" style="6" customWidth="1"/>
    <col min="13" max="16384" width="9.140625" style="6"/>
  </cols>
  <sheetData>
    <row r="1" spans="2:13">
      <c r="H1" s="609" t="s">
        <v>114</v>
      </c>
      <c r="I1" s="609"/>
      <c r="L1" s="5"/>
    </row>
    <row r="2" spans="2:13" ht="10.5" customHeight="1">
      <c r="B2" s="5"/>
      <c r="C2" s="5"/>
      <c r="D2" s="5"/>
      <c r="E2" s="5"/>
      <c r="F2" s="5"/>
      <c r="G2" s="5"/>
      <c r="H2" s="5"/>
      <c r="I2" s="5"/>
      <c r="J2" s="10"/>
      <c r="K2" s="13"/>
      <c r="L2" s="13"/>
      <c r="M2" s="13"/>
    </row>
    <row r="3" spans="2:13">
      <c r="C3" s="5" t="s">
        <v>115</v>
      </c>
      <c r="D3" s="5"/>
      <c r="E3" s="5"/>
      <c r="F3" s="5"/>
      <c r="G3" s="5"/>
      <c r="H3" s="5"/>
      <c r="I3" s="5"/>
      <c r="J3" s="5"/>
      <c r="K3" s="13"/>
      <c r="L3" s="13"/>
      <c r="M3" s="13"/>
    </row>
    <row r="4" spans="2:13">
      <c r="C4" s="5"/>
      <c r="D4" s="5" t="s">
        <v>116</v>
      </c>
      <c r="F4" s="5"/>
      <c r="G4" s="5"/>
      <c r="H4" s="5"/>
      <c r="I4" s="5"/>
      <c r="J4" s="5"/>
      <c r="L4" s="13"/>
      <c r="M4" s="13"/>
    </row>
    <row r="5" spans="2:13">
      <c r="C5" s="5"/>
      <c r="D5" s="5" t="s">
        <v>117</v>
      </c>
      <c r="F5" s="5"/>
      <c r="G5" s="5"/>
      <c r="H5" s="5"/>
      <c r="I5" s="5"/>
      <c r="J5" s="5"/>
      <c r="L5" s="13"/>
      <c r="M5" s="13"/>
    </row>
    <row r="6" spans="2:13">
      <c r="C6" s="5"/>
      <c r="D6" s="5"/>
      <c r="E6" s="6" t="s">
        <v>118</v>
      </c>
      <c r="F6" s="5"/>
      <c r="G6" s="30" t="s">
        <v>119</v>
      </c>
      <c r="H6" s="30">
        <v>56</v>
      </c>
      <c r="I6" s="8" t="s">
        <v>120</v>
      </c>
      <c r="J6" s="5"/>
      <c r="L6" s="13"/>
      <c r="M6" s="13"/>
    </row>
    <row r="7" spans="2:13">
      <c r="C7" s="5"/>
      <c r="D7" s="5"/>
      <c r="E7" s="8" t="s">
        <v>121</v>
      </c>
      <c r="F7" s="1"/>
      <c r="G7" s="30" t="s">
        <v>119</v>
      </c>
      <c r="H7" s="30">
        <v>31</v>
      </c>
      <c r="I7" s="8" t="s">
        <v>120</v>
      </c>
      <c r="J7" s="5"/>
      <c r="L7" s="13"/>
      <c r="M7" s="13"/>
    </row>
    <row r="8" spans="2:13">
      <c r="C8" s="5"/>
      <c r="D8" s="5"/>
      <c r="E8" s="8" t="s">
        <v>122</v>
      </c>
      <c r="F8" s="1"/>
      <c r="G8" s="30" t="s">
        <v>119</v>
      </c>
      <c r="H8" s="30">
        <v>970</v>
      </c>
      <c r="I8" s="8" t="s">
        <v>120</v>
      </c>
      <c r="J8" s="5"/>
      <c r="L8" s="13"/>
      <c r="M8" s="13"/>
    </row>
    <row r="9" spans="2:13">
      <c r="C9" s="5"/>
      <c r="D9" s="5"/>
      <c r="E9" s="8" t="s">
        <v>123</v>
      </c>
      <c r="F9" s="1"/>
      <c r="G9" s="30" t="s">
        <v>119</v>
      </c>
      <c r="H9" s="30">
        <v>264</v>
      </c>
      <c r="I9" s="8" t="s">
        <v>120</v>
      </c>
      <c r="J9" s="5"/>
      <c r="L9" s="13"/>
      <c r="M9" s="13"/>
    </row>
    <row r="10" spans="2:13" ht="24">
      <c r="C10" s="5"/>
      <c r="D10" s="539" t="s">
        <v>124</v>
      </c>
      <c r="F10" s="5"/>
      <c r="G10" s="5"/>
      <c r="H10" s="5"/>
      <c r="I10" s="5"/>
      <c r="J10" s="5"/>
      <c r="L10" s="13"/>
      <c r="M10" s="13"/>
    </row>
    <row r="11" spans="2:13" ht="17.25" customHeight="1">
      <c r="C11" s="5"/>
      <c r="D11" s="6" t="s">
        <v>125</v>
      </c>
      <c r="F11" s="5"/>
      <c r="G11" s="5"/>
      <c r="H11" s="5"/>
      <c r="I11" s="5"/>
      <c r="J11" s="5"/>
      <c r="L11" s="13"/>
      <c r="M11" s="13"/>
    </row>
    <row r="12" spans="2:13" ht="17.25" customHeight="1">
      <c r="C12" s="5"/>
      <c r="D12" s="6" t="s">
        <v>126</v>
      </c>
      <c r="F12" s="5"/>
      <c r="G12" s="5"/>
      <c r="H12" s="5"/>
      <c r="I12" s="5"/>
      <c r="J12" s="5"/>
      <c r="L12" s="13"/>
      <c r="M12" s="13"/>
    </row>
    <row r="13" spans="2:13">
      <c r="B13" s="5"/>
      <c r="C13" s="5"/>
      <c r="D13" s="5" t="s">
        <v>127</v>
      </c>
      <c r="F13" s="5"/>
      <c r="G13" s="5"/>
      <c r="H13" s="5"/>
      <c r="I13" s="5"/>
      <c r="J13" s="10"/>
      <c r="K13" s="13"/>
      <c r="L13" s="13"/>
      <c r="M13" s="13"/>
    </row>
    <row r="14" spans="2:13">
      <c r="D14" s="5" t="s">
        <v>128</v>
      </c>
      <c r="J14" s="10"/>
      <c r="K14" s="13"/>
      <c r="L14" s="13"/>
      <c r="M14" s="13"/>
    </row>
    <row r="15" spans="2:13" ht="15" customHeight="1">
      <c r="D15" s="6" t="s">
        <v>129</v>
      </c>
      <c r="J15" s="10"/>
      <c r="K15" s="13"/>
      <c r="L15" s="13"/>
      <c r="M15" s="13"/>
    </row>
    <row r="16" spans="2:13">
      <c r="D16" s="5" t="s">
        <v>130</v>
      </c>
      <c r="J16" s="10"/>
      <c r="K16" s="13"/>
      <c r="L16" s="13"/>
      <c r="M16" s="13"/>
    </row>
    <row r="17" spans="3:13" ht="13.5" customHeight="1">
      <c r="D17" s="6" t="s">
        <v>129</v>
      </c>
      <c r="J17" s="10"/>
      <c r="K17" s="13"/>
      <c r="L17" s="13"/>
      <c r="M17" s="13"/>
    </row>
    <row r="18" spans="3:13">
      <c r="C18" s="11" t="s">
        <v>131</v>
      </c>
      <c r="D18" s="5"/>
    </row>
    <row r="19" spans="3:13">
      <c r="C19" s="11"/>
      <c r="D19" s="1" t="s">
        <v>132</v>
      </c>
      <c r="F19" s="1"/>
      <c r="G19" s="1"/>
      <c r="H19" s="1"/>
      <c r="I19" s="37"/>
    </row>
    <row r="20" spans="3:13" ht="13.5" customHeight="1">
      <c r="E20" s="6" t="s">
        <v>133</v>
      </c>
      <c r="F20" s="25"/>
      <c r="G20" s="25"/>
      <c r="H20" s="25"/>
      <c r="I20" s="37"/>
    </row>
    <row r="21" spans="3:13" ht="15" customHeight="1">
      <c r="D21" s="6" t="s">
        <v>129</v>
      </c>
    </row>
    <row r="22" spans="3:13">
      <c r="C22" s="11"/>
      <c r="D22" s="5" t="s">
        <v>134</v>
      </c>
    </row>
    <row r="23" spans="3:13" ht="15" customHeight="1">
      <c r="E23" s="6" t="s">
        <v>135</v>
      </c>
    </row>
    <row r="24" spans="3:13" ht="15.75" customHeight="1">
      <c r="D24" s="6" t="s">
        <v>129</v>
      </c>
    </row>
    <row r="25" spans="3:13">
      <c r="C25" s="5" t="s">
        <v>136</v>
      </c>
      <c r="J25" s="10"/>
      <c r="K25" s="13"/>
      <c r="L25" s="13"/>
      <c r="M25" s="13"/>
    </row>
    <row r="26" spans="3:13">
      <c r="D26" s="20" t="s">
        <v>137</v>
      </c>
      <c r="J26" s="10"/>
      <c r="K26" s="13"/>
      <c r="L26" s="13"/>
      <c r="M26" s="13"/>
    </row>
    <row r="27" spans="3:13">
      <c r="C27" s="6" t="s">
        <v>138</v>
      </c>
      <c r="D27" s="9"/>
      <c r="J27" s="10"/>
      <c r="K27" s="13"/>
      <c r="L27" s="13"/>
      <c r="M27" s="13"/>
    </row>
    <row r="28" spans="3:13">
      <c r="C28" s="5" t="s">
        <v>139</v>
      </c>
      <c r="J28" s="10"/>
      <c r="K28" s="13"/>
      <c r="L28" s="13"/>
      <c r="M28" s="13"/>
    </row>
    <row r="29" spans="3:13" ht="13.5" customHeight="1">
      <c r="D29" s="20" t="s">
        <v>140</v>
      </c>
      <c r="J29" s="10"/>
      <c r="K29" s="13"/>
      <c r="L29" s="13"/>
      <c r="M29" s="13"/>
    </row>
    <row r="30" spans="3:13" ht="16.5" customHeight="1">
      <c r="C30" s="6" t="s">
        <v>141</v>
      </c>
      <c r="D30" s="9"/>
      <c r="J30" s="10"/>
      <c r="K30" s="13"/>
      <c r="L30" s="13"/>
      <c r="M30" s="13"/>
    </row>
    <row r="31" spans="3:13">
      <c r="C31" s="5" t="s">
        <v>142</v>
      </c>
      <c r="J31" s="10"/>
      <c r="K31" s="13"/>
      <c r="L31" s="13"/>
      <c r="M31" s="13"/>
    </row>
    <row r="32" spans="3:13">
      <c r="C32" s="5" t="s">
        <v>143</v>
      </c>
      <c r="J32" s="10"/>
      <c r="K32" s="13"/>
      <c r="L32" s="13"/>
      <c r="M32" s="13"/>
    </row>
    <row r="33" spans="1:13" ht="23.25">
      <c r="C33" s="5"/>
      <c r="D33" s="5" t="s">
        <v>144</v>
      </c>
      <c r="E33"/>
      <c r="F33"/>
      <c r="G33"/>
      <c r="H33"/>
      <c r="I33"/>
      <c r="J33" s="10"/>
      <c r="K33" s="13"/>
      <c r="L33" s="13"/>
      <c r="M33" s="13"/>
    </row>
    <row r="34" spans="1:13" ht="23.25">
      <c r="C34" s="125" t="s">
        <v>145</v>
      </c>
      <c r="D34" s="5"/>
      <c r="E34"/>
      <c r="F34"/>
      <c r="G34"/>
      <c r="H34"/>
      <c r="I34"/>
      <c r="J34" s="10"/>
      <c r="K34" s="13"/>
      <c r="L34" s="13"/>
      <c r="M34" s="13"/>
    </row>
    <row r="35" spans="1:13">
      <c r="C35" s="5" t="s">
        <v>146</v>
      </c>
      <c r="J35" s="10"/>
      <c r="K35" s="13"/>
      <c r="L35" s="13"/>
      <c r="M35" s="13"/>
    </row>
    <row r="36" spans="1:13" ht="28.5" customHeight="1">
      <c r="A36" s="11" t="s">
        <v>36</v>
      </c>
      <c r="B36" s="5" t="s">
        <v>147</v>
      </c>
      <c r="J36" s="10"/>
      <c r="K36" s="13"/>
      <c r="L36" s="13"/>
      <c r="M36" s="13"/>
    </row>
    <row r="37" spans="1:13">
      <c r="C37" s="28" t="s">
        <v>148</v>
      </c>
      <c r="D37" s="5" t="s">
        <v>149</v>
      </c>
      <c r="J37" s="10"/>
      <c r="K37" s="13"/>
      <c r="L37" s="13"/>
      <c r="M37" s="13"/>
    </row>
    <row r="38" spans="1:13">
      <c r="F38" s="38" t="s">
        <v>150</v>
      </c>
      <c r="G38" s="6" t="s">
        <v>151</v>
      </c>
      <c r="H38" s="8" t="s">
        <v>152</v>
      </c>
      <c r="J38" s="10"/>
      <c r="K38" s="13"/>
      <c r="L38" s="13"/>
      <c r="M38" s="13"/>
    </row>
    <row r="39" spans="1:13">
      <c r="F39" s="38" t="s">
        <v>153</v>
      </c>
      <c r="G39" s="6" t="s">
        <v>151</v>
      </c>
      <c r="H39" s="8" t="s">
        <v>154</v>
      </c>
      <c r="J39" s="10"/>
      <c r="K39" s="13"/>
      <c r="L39" s="13"/>
      <c r="M39" s="13"/>
    </row>
    <row r="40" spans="1:13">
      <c r="F40" s="38" t="s">
        <v>155</v>
      </c>
      <c r="G40" s="6" t="s">
        <v>151</v>
      </c>
      <c r="H40" s="8" t="s">
        <v>156</v>
      </c>
      <c r="J40" s="10"/>
      <c r="K40" s="13"/>
      <c r="L40" s="13"/>
      <c r="M40" s="13"/>
    </row>
    <row r="41" spans="1:13">
      <c r="F41" s="38" t="s">
        <v>157</v>
      </c>
      <c r="G41" s="6" t="s">
        <v>151</v>
      </c>
      <c r="H41" s="8" t="s">
        <v>154</v>
      </c>
      <c r="J41" s="10"/>
      <c r="K41" s="13"/>
      <c r="L41" s="13"/>
      <c r="M41" s="13"/>
    </row>
    <row r="42" spans="1:13">
      <c r="F42" s="38" t="s">
        <v>158</v>
      </c>
      <c r="G42" s="6" t="s">
        <v>151</v>
      </c>
      <c r="H42" s="8" t="s">
        <v>154</v>
      </c>
      <c r="J42" s="10"/>
      <c r="K42" s="13"/>
      <c r="L42" s="13"/>
      <c r="M42" s="13"/>
    </row>
  </sheetData>
  <mergeCells count="1">
    <mergeCell ref="H1:I1"/>
  </mergeCells>
  <printOptions horizontalCentered="1"/>
  <pageMargins left="0.6692913385826772" right="0.39370078740157483" top="0.39370078740157483" bottom="0.19685039370078741" header="0.51181102362204722" footer="0.51181102362204722"/>
  <pageSetup paperSize="9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9" tint="-0.499984740745262"/>
  </sheetPr>
  <dimension ref="A1:H45"/>
  <sheetViews>
    <sheetView topLeftCell="A31" zoomScale="120" zoomScaleNormal="120" workbookViewId="0">
      <selection activeCell="B44" sqref="B44:B45"/>
    </sheetView>
  </sheetViews>
  <sheetFormatPr defaultColWidth="9.140625" defaultRowHeight="21"/>
  <cols>
    <col min="1" max="1" width="5.140625" style="6" customWidth="1"/>
    <col min="2" max="2" width="151.140625" style="6" bestFit="1" customWidth="1"/>
    <col min="3" max="3" width="24.85546875" style="6" customWidth="1"/>
    <col min="4" max="4" width="24.85546875" style="6" bestFit="1" customWidth="1"/>
    <col min="5" max="5" width="34.5703125" style="6" customWidth="1"/>
    <col min="6" max="16384" width="9.140625" style="6"/>
  </cols>
  <sheetData>
    <row r="1" spans="1:8" s="25" customFormat="1">
      <c r="B1" s="25" t="s">
        <v>159</v>
      </c>
      <c r="C1" s="25" t="s">
        <v>160</v>
      </c>
      <c r="D1" s="25" t="s">
        <v>161</v>
      </c>
      <c r="H1" s="25" t="s">
        <v>162</v>
      </c>
    </row>
    <row r="2" spans="1:8">
      <c r="A2" s="8" t="s">
        <v>163</v>
      </c>
      <c r="B2" s="8" t="s">
        <v>163</v>
      </c>
      <c r="C2" s="82" t="s">
        <v>164</v>
      </c>
      <c r="H2" s="6" t="s">
        <v>165</v>
      </c>
    </row>
    <row r="3" spans="1:8">
      <c r="A3" s="8" t="s">
        <v>166</v>
      </c>
      <c r="B3" s="8" t="s">
        <v>163</v>
      </c>
      <c r="C3" s="82" t="s">
        <v>167</v>
      </c>
      <c r="H3" s="6" t="s">
        <v>168</v>
      </c>
    </row>
    <row r="4" spans="1:8">
      <c r="A4" s="8" t="s">
        <v>169</v>
      </c>
      <c r="B4" s="8" t="s">
        <v>163</v>
      </c>
      <c r="C4" s="82" t="s">
        <v>170</v>
      </c>
      <c r="H4" s="6" t="s">
        <v>171</v>
      </c>
    </row>
    <row r="5" spans="1:8">
      <c r="A5" s="8" t="s">
        <v>172</v>
      </c>
      <c r="B5" s="8" t="s">
        <v>163</v>
      </c>
      <c r="C5" s="82" t="s">
        <v>173</v>
      </c>
      <c r="H5" s="6" t="s">
        <v>174</v>
      </c>
    </row>
    <row r="6" spans="1:8">
      <c r="B6" s="8" t="s">
        <v>166</v>
      </c>
      <c r="C6" s="83" t="s">
        <v>175</v>
      </c>
    </row>
    <row r="7" spans="1:8">
      <c r="A7" s="8"/>
      <c r="B7" s="8" t="s">
        <v>166</v>
      </c>
      <c r="C7" s="83" t="s">
        <v>176</v>
      </c>
    </row>
    <row r="8" spans="1:8" ht="23.25">
      <c r="B8" s="8" t="s">
        <v>169</v>
      </c>
      <c r="C8" s="84" t="s">
        <v>177</v>
      </c>
      <c r="H8"/>
    </row>
    <row r="9" spans="1:8">
      <c r="A9" s="8"/>
      <c r="B9" s="8" t="s">
        <v>169</v>
      </c>
      <c r="C9" s="84" t="s">
        <v>178</v>
      </c>
    </row>
    <row r="10" spans="1:8">
      <c r="B10" s="8" t="s">
        <v>172</v>
      </c>
      <c r="C10" s="85" t="s">
        <v>179</v>
      </c>
    </row>
    <row r="11" spans="1:8">
      <c r="B11" s="8" t="s">
        <v>172</v>
      </c>
      <c r="C11" s="85" t="s">
        <v>180</v>
      </c>
    </row>
    <row r="12" spans="1:8">
      <c r="B12" s="8" t="s">
        <v>172</v>
      </c>
      <c r="C12" s="85" t="s">
        <v>181</v>
      </c>
    </row>
    <row r="13" spans="1:8">
      <c r="B13" s="82" t="s">
        <v>164</v>
      </c>
      <c r="C13" s="82" t="s">
        <v>182</v>
      </c>
    </row>
    <row r="14" spans="1:8">
      <c r="B14" s="82" t="s">
        <v>164</v>
      </c>
      <c r="C14" s="82" t="s">
        <v>183</v>
      </c>
    </row>
    <row r="15" spans="1:8">
      <c r="B15" s="82" t="s">
        <v>167</v>
      </c>
      <c r="C15" s="82" t="s">
        <v>184</v>
      </c>
    </row>
    <row r="16" spans="1:8">
      <c r="B16" s="82" t="s">
        <v>167</v>
      </c>
      <c r="C16" s="82" t="s">
        <v>185</v>
      </c>
    </row>
    <row r="17" spans="2:3">
      <c r="B17" s="82" t="s">
        <v>170</v>
      </c>
      <c r="C17" s="82" t="s">
        <v>186</v>
      </c>
    </row>
    <row r="18" spans="2:3">
      <c r="B18" s="82" t="s">
        <v>170</v>
      </c>
      <c r="C18" s="82" t="s">
        <v>187</v>
      </c>
    </row>
    <row r="19" spans="2:3">
      <c r="B19" s="82" t="s">
        <v>173</v>
      </c>
      <c r="C19" s="82" t="s">
        <v>188</v>
      </c>
    </row>
    <row r="20" spans="2:3">
      <c r="B20" s="83" t="s">
        <v>175</v>
      </c>
      <c r="C20" s="83" t="s">
        <v>189</v>
      </c>
    </row>
    <row r="21" spans="2:3">
      <c r="B21" s="83" t="s">
        <v>175</v>
      </c>
      <c r="C21" s="83" t="s">
        <v>190</v>
      </c>
    </row>
    <row r="22" spans="2:3">
      <c r="B22" s="83" t="s">
        <v>176</v>
      </c>
      <c r="C22" s="83" t="s">
        <v>191</v>
      </c>
    </row>
    <row r="23" spans="2:3">
      <c r="B23" s="83" t="s">
        <v>176</v>
      </c>
      <c r="C23" s="83" t="s">
        <v>192</v>
      </c>
    </row>
    <row r="24" spans="2:3">
      <c r="B24" s="83" t="s">
        <v>176</v>
      </c>
      <c r="C24" s="83" t="s">
        <v>193</v>
      </c>
    </row>
    <row r="25" spans="2:3">
      <c r="B25" s="84" t="s">
        <v>177</v>
      </c>
      <c r="C25" s="84" t="s">
        <v>194</v>
      </c>
    </row>
    <row r="26" spans="2:3">
      <c r="B26" s="84" t="s">
        <v>178</v>
      </c>
      <c r="C26" s="84" t="s">
        <v>195</v>
      </c>
    </row>
    <row r="27" spans="2:3">
      <c r="B27" s="85" t="s">
        <v>179</v>
      </c>
      <c r="C27" s="85" t="s">
        <v>196</v>
      </c>
    </row>
    <row r="28" spans="2:3">
      <c r="B28" s="85" t="s">
        <v>180</v>
      </c>
      <c r="C28" s="85" t="s">
        <v>197</v>
      </c>
    </row>
    <row r="29" spans="2:3">
      <c r="B29" s="85" t="s">
        <v>180</v>
      </c>
      <c r="C29" s="85" t="s">
        <v>198</v>
      </c>
    </row>
    <row r="30" spans="2:3">
      <c r="B30" s="85" t="s">
        <v>180</v>
      </c>
      <c r="C30" s="85" t="s">
        <v>199</v>
      </c>
    </row>
    <row r="31" spans="2:3">
      <c r="B31" s="85" t="s">
        <v>181</v>
      </c>
      <c r="C31" s="85" t="s">
        <v>200</v>
      </c>
    </row>
    <row r="35" spans="2:2" ht="21" customHeight="1">
      <c r="B35" s="127" t="s">
        <v>201</v>
      </c>
    </row>
    <row r="36" spans="2:2" ht="21" customHeight="1">
      <c r="B36" s="127" t="s">
        <v>202</v>
      </c>
    </row>
    <row r="37" spans="2:2" ht="21" customHeight="1">
      <c r="B37" s="127" t="s">
        <v>203</v>
      </c>
    </row>
    <row r="38" spans="2:2" ht="21" customHeight="1">
      <c r="B38" s="6" t="s">
        <v>204</v>
      </c>
    </row>
    <row r="39" spans="2:2">
      <c r="B39" s="6" t="s">
        <v>205</v>
      </c>
    </row>
    <row r="40" spans="2:2">
      <c r="B40" s="127" t="s">
        <v>206</v>
      </c>
    </row>
    <row r="41" spans="2:2">
      <c r="B41" s="127" t="s">
        <v>207</v>
      </c>
    </row>
    <row r="42" spans="2:2">
      <c r="B42" s="127" t="s">
        <v>208</v>
      </c>
    </row>
    <row r="43" spans="2:2">
      <c r="B43" s="127" t="s">
        <v>209</v>
      </c>
    </row>
    <row r="44" spans="2:2">
      <c r="B44" s="6" t="s">
        <v>210</v>
      </c>
    </row>
    <row r="45" spans="2:2">
      <c r="B45" s="6" t="s">
        <v>211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92D050"/>
    <pageSetUpPr fitToPage="1"/>
  </sheetPr>
  <dimension ref="A1:AH27"/>
  <sheetViews>
    <sheetView showGridLines="0" view="pageBreakPreview" zoomScaleNormal="130" zoomScaleSheetLayoutView="100" workbookViewId="0">
      <selection activeCell="J8" sqref="J8:N8"/>
    </sheetView>
  </sheetViews>
  <sheetFormatPr defaultColWidth="9.140625" defaultRowHeight="25.9" customHeight="1"/>
  <cols>
    <col min="1" max="1" width="4.140625" style="88" customWidth="1"/>
    <col min="2" max="2" width="27" style="128" customWidth="1"/>
    <col min="3" max="3" width="6.85546875" style="128" customWidth="1"/>
    <col min="4" max="4" width="4.85546875" style="128" customWidth="1"/>
    <col min="5" max="5" width="21" style="128" customWidth="1"/>
    <col min="6" max="10" width="5.28515625" style="128" customWidth="1"/>
    <col min="11" max="11" width="4.5703125" style="128" customWidth="1"/>
    <col min="12" max="12" width="5.28515625" style="128" customWidth="1"/>
    <col min="13" max="13" width="3.85546875" style="128" customWidth="1"/>
    <col min="14" max="14" width="3.7109375" style="128" customWidth="1"/>
    <col min="15" max="15" width="3.28515625" style="128" customWidth="1"/>
    <col min="16" max="17" width="5.28515625" style="128" customWidth="1"/>
    <col min="18" max="18" width="3.42578125" style="128" customWidth="1"/>
    <col min="19" max="19" width="4.140625" style="128" customWidth="1"/>
    <col min="20" max="20" width="3.7109375" style="128" customWidth="1"/>
    <col min="21" max="21" width="4.42578125" style="128" customWidth="1"/>
    <col min="22" max="22" width="3.5703125" style="128" customWidth="1"/>
    <col min="23" max="23" width="6.28515625" style="128" customWidth="1"/>
    <col min="24" max="24" width="7.140625" style="128" bestFit="1" customWidth="1"/>
    <col min="25" max="16384" width="9.140625" style="87"/>
  </cols>
  <sheetData>
    <row r="1" spans="1:27" ht="21">
      <c r="W1" s="123" t="s">
        <v>212</v>
      </c>
    </row>
    <row r="2" spans="1:27" ht="21">
      <c r="A2" s="90" t="s">
        <v>213</v>
      </c>
      <c r="B2" s="87"/>
      <c r="C2" s="87"/>
      <c r="F2" s="87"/>
      <c r="G2" s="87"/>
      <c r="H2" s="87"/>
      <c r="O2" s="87"/>
      <c r="P2" s="87"/>
      <c r="W2" s="123"/>
      <c r="X2" s="87"/>
    </row>
    <row r="3" spans="1:27" s="86" customFormat="1" ht="29.25" customHeight="1">
      <c r="A3" s="128"/>
      <c r="B3" s="124" t="s">
        <v>214</v>
      </c>
      <c r="C3" s="124"/>
      <c r="D3" s="128"/>
      <c r="E3" s="128"/>
      <c r="F3" s="124"/>
      <c r="G3" s="124"/>
      <c r="H3" s="124"/>
      <c r="I3" s="128"/>
      <c r="J3" s="128"/>
      <c r="K3" s="128"/>
      <c r="L3" s="128"/>
      <c r="M3" s="128"/>
      <c r="N3" s="128"/>
      <c r="O3" s="124"/>
      <c r="P3" s="124"/>
      <c r="Q3" s="128"/>
      <c r="R3" s="128"/>
      <c r="S3" s="128"/>
      <c r="T3" s="128"/>
      <c r="U3" s="128"/>
      <c r="V3" s="128"/>
      <c r="W3" s="123"/>
      <c r="X3" s="124"/>
    </row>
    <row r="4" spans="1:27" ht="25.9" customHeight="1">
      <c r="A4" s="657" t="s">
        <v>215</v>
      </c>
      <c r="B4" s="658"/>
      <c r="C4" s="659"/>
      <c r="D4" s="657" t="s">
        <v>216</v>
      </c>
      <c r="E4" s="658"/>
      <c r="F4" s="658"/>
      <c r="G4" s="658"/>
      <c r="H4" s="659"/>
      <c r="I4" s="657" t="s">
        <v>217</v>
      </c>
      <c r="J4" s="658"/>
      <c r="K4" s="658"/>
      <c r="L4" s="658"/>
      <c r="M4" s="658"/>
      <c r="N4" s="658"/>
      <c r="O4" s="658"/>
      <c r="P4" s="659"/>
      <c r="Q4" s="657" t="s">
        <v>218</v>
      </c>
      <c r="R4" s="658"/>
      <c r="S4" s="658"/>
      <c r="T4" s="658"/>
      <c r="U4" s="658"/>
      <c r="V4" s="658"/>
      <c r="W4" s="658"/>
      <c r="X4" s="659"/>
    </row>
    <row r="5" spans="1:27" ht="90.75" customHeight="1">
      <c r="A5" s="660" t="s">
        <v>219</v>
      </c>
      <c r="B5" s="661"/>
      <c r="C5" s="662"/>
      <c r="D5" s="660" t="s">
        <v>220</v>
      </c>
      <c r="E5" s="661"/>
      <c r="F5" s="661"/>
      <c r="G5" s="661"/>
      <c r="H5" s="662"/>
      <c r="I5" s="660" t="s">
        <v>221</v>
      </c>
      <c r="J5" s="661"/>
      <c r="K5" s="661"/>
      <c r="L5" s="661"/>
      <c r="M5" s="661"/>
      <c r="N5" s="661"/>
      <c r="O5" s="661"/>
      <c r="P5" s="662"/>
      <c r="Q5" s="660" t="s">
        <v>222</v>
      </c>
      <c r="R5" s="661"/>
      <c r="S5" s="661"/>
      <c r="T5" s="661"/>
      <c r="U5" s="661"/>
      <c r="V5" s="661"/>
      <c r="W5" s="661"/>
      <c r="X5" s="662"/>
      <c r="Y5" s="6"/>
      <c r="Z5" s="6"/>
      <c r="AA5" s="6"/>
    </row>
    <row r="6" spans="1:27" s="86" customFormat="1" ht="86.25" customHeight="1">
      <c r="A6" s="418" t="s">
        <v>223</v>
      </c>
      <c r="B6" s="542" t="s">
        <v>224</v>
      </c>
      <c r="C6" s="95" t="s">
        <v>225</v>
      </c>
      <c r="D6" s="419" t="s">
        <v>223</v>
      </c>
      <c r="E6" s="628" t="s">
        <v>226</v>
      </c>
      <c r="F6" s="628"/>
      <c r="G6" s="632" t="s">
        <v>225</v>
      </c>
      <c r="H6" s="633"/>
      <c r="I6" s="419" t="s">
        <v>223</v>
      </c>
      <c r="J6" s="628" t="s">
        <v>227</v>
      </c>
      <c r="K6" s="628"/>
      <c r="L6" s="628"/>
      <c r="M6" s="628"/>
      <c r="N6" s="628"/>
      <c r="O6" s="632" t="s">
        <v>225</v>
      </c>
      <c r="P6" s="633"/>
      <c r="Q6" s="419" t="s">
        <v>223</v>
      </c>
      <c r="R6" s="628" t="s">
        <v>228</v>
      </c>
      <c r="S6" s="628"/>
      <c r="T6" s="628"/>
      <c r="U6" s="628"/>
      <c r="V6" s="628"/>
      <c r="W6" s="628"/>
      <c r="X6" s="543" t="s">
        <v>225</v>
      </c>
      <c r="Y6" s="2"/>
      <c r="Z6" s="2"/>
      <c r="AA6" s="2"/>
    </row>
    <row r="7" spans="1:27" s="86" customFormat="1" ht="152.25" customHeight="1">
      <c r="A7" s="418" t="s">
        <v>223</v>
      </c>
      <c r="B7" s="95" t="s">
        <v>229</v>
      </c>
      <c r="C7" s="95" t="s">
        <v>225</v>
      </c>
      <c r="D7" s="419" t="s">
        <v>230</v>
      </c>
      <c r="E7" s="629" t="s">
        <v>231</v>
      </c>
      <c r="F7" s="629"/>
      <c r="G7" s="634">
        <v>1</v>
      </c>
      <c r="H7" s="635"/>
      <c r="I7" s="419" t="s">
        <v>223</v>
      </c>
      <c r="J7" s="629" t="s">
        <v>232</v>
      </c>
      <c r="K7" s="629"/>
      <c r="L7" s="629"/>
      <c r="M7" s="629"/>
      <c r="N7" s="629"/>
      <c r="O7" s="663" t="s">
        <v>225</v>
      </c>
      <c r="P7" s="635"/>
      <c r="Q7" s="419" t="s">
        <v>223</v>
      </c>
      <c r="R7" s="629" t="s">
        <v>233</v>
      </c>
      <c r="S7" s="629"/>
      <c r="T7" s="629"/>
      <c r="U7" s="629"/>
      <c r="V7" s="629"/>
      <c r="W7" s="629"/>
      <c r="X7" s="130" t="s">
        <v>225</v>
      </c>
      <c r="Y7" s="2"/>
      <c r="Z7" s="2"/>
      <c r="AA7" s="7"/>
    </row>
    <row r="8" spans="1:27" s="86" customFormat="1" ht="78.75" customHeight="1">
      <c r="A8" s="418" t="s">
        <v>223</v>
      </c>
      <c r="B8" s="95" t="s">
        <v>234</v>
      </c>
      <c r="C8" s="95" t="s">
        <v>225</v>
      </c>
      <c r="D8" s="419"/>
      <c r="E8" s="95"/>
      <c r="F8" s="95"/>
      <c r="G8" s="95"/>
      <c r="H8" s="95"/>
      <c r="I8" s="419" t="s">
        <v>223</v>
      </c>
      <c r="J8" s="629" t="s">
        <v>235</v>
      </c>
      <c r="K8" s="629"/>
      <c r="L8" s="629"/>
      <c r="M8" s="629"/>
      <c r="N8" s="629"/>
      <c r="O8" s="663" t="s">
        <v>225</v>
      </c>
      <c r="P8" s="635"/>
      <c r="Q8" s="419"/>
      <c r="R8" s="137"/>
      <c r="S8" s="137"/>
      <c r="T8" s="137"/>
      <c r="U8" s="137"/>
      <c r="V8" s="137"/>
      <c r="W8" s="95"/>
      <c r="X8" s="130"/>
      <c r="Y8" s="2"/>
      <c r="Z8" s="2"/>
      <c r="AA8" s="2"/>
    </row>
    <row r="9" spans="1:27" s="86" customFormat="1" ht="68.25" customHeight="1">
      <c r="A9" s="135"/>
      <c r="B9" s="132"/>
      <c r="C9" s="132"/>
      <c r="D9" s="134"/>
      <c r="E9" s="132"/>
      <c r="F9" s="132"/>
      <c r="G9" s="132"/>
      <c r="H9" s="132"/>
      <c r="I9" s="133" t="s">
        <v>223</v>
      </c>
      <c r="J9" s="631" t="s">
        <v>236</v>
      </c>
      <c r="K9" s="631"/>
      <c r="L9" s="631"/>
      <c r="M9" s="631"/>
      <c r="N9" s="631"/>
      <c r="O9" s="664" t="s">
        <v>225</v>
      </c>
      <c r="P9" s="665"/>
      <c r="Q9" s="134"/>
      <c r="R9" s="142"/>
      <c r="S9" s="142"/>
      <c r="T9" s="142"/>
      <c r="U9" s="142"/>
      <c r="V9" s="142"/>
      <c r="W9" s="132"/>
      <c r="X9" s="131"/>
      <c r="Y9" s="2"/>
      <c r="Z9" s="2"/>
      <c r="AA9" s="2"/>
    </row>
    <row r="10" spans="1:27" s="86" customFormat="1" ht="21">
      <c r="A10" s="68"/>
      <c r="B10" s="628" t="s">
        <v>237</v>
      </c>
      <c r="C10" s="628"/>
      <c r="D10" s="628"/>
      <c r="E10" s="628"/>
      <c r="F10" s="95"/>
      <c r="G10" s="95"/>
      <c r="H10" s="95"/>
      <c r="I10" s="137"/>
      <c r="J10" s="137"/>
      <c r="K10" s="137"/>
      <c r="L10" s="95"/>
      <c r="M10" s="95"/>
      <c r="N10" s="95"/>
      <c r="O10" s="95"/>
      <c r="P10" s="95"/>
      <c r="Q10" s="105"/>
      <c r="R10" s="105"/>
      <c r="S10" s="105"/>
      <c r="T10" s="105"/>
      <c r="U10" s="105"/>
      <c r="V10" s="105"/>
      <c r="W10" s="95"/>
      <c r="X10" s="95"/>
      <c r="Y10" s="2"/>
      <c r="Z10" s="2"/>
      <c r="AA10" s="2"/>
    </row>
    <row r="11" spans="1:27" s="86" customFormat="1" ht="32.25" customHeight="1">
      <c r="A11" s="87"/>
      <c r="B11" s="92" t="s">
        <v>238</v>
      </c>
      <c r="C11" s="92"/>
      <c r="D11" s="87"/>
      <c r="E11" s="87"/>
      <c r="F11" s="92"/>
      <c r="G11" s="92"/>
      <c r="H11" s="92"/>
      <c r="I11" s="87"/>
      <c r="J11" s="87"/>
      <c r="K11" s="87"/>
      <c r="L11" s="87"/>
      <c r="M11" s="87"/>
      <c r="N11" s="87"/>
      <c r="O11" s="92"/>
      <c r="P11" s="92"/>
      <c r="Q11" s="87"/>
      <c r="R11" s="87"/>
      <c r="S11" s="87"/>
      <c r="T11" s="87"/>
      <c r="U11" s="87"/>
      <c r="V11" s="87"/>
      <c r="W11" s="87"/>
      <c r="X11" s="92"/>
      <c r="Y11" s="88"/>
      <c r="Z11" s="88"/>
      <c r="AA11" s="6"/>
    </row>
    <row r="12" spans="1:27" s="86" customFormat="1" ht="23.25">
      <c r="A12" s="87"/>
      <c r="B12" s="123" t="s">
        <v>239</v>
      </c>
      <c r="C12" s="630" t="s">
        <v>165</v>
      </c>
      <c r="D12" s="630"/>
      <c r="E12" s="630"/>
      <c r="F12" s="630"/>
      <c r="G12" s="630"/>
      <c r="H12" s="63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7" s="86" customFormat="1" ht="21">
      <c r="B13" s="123" t="s">
        <v>240</v>
      </c>
      <c r="C13" s="86" t="s">
        <v>241</v>
      </c>
      <c r="D13" s="129"/>
      <c r="E13" s="129"/>
      <c r="F13" s="123"/>
      <c r="G13" s="123"/>
      <c r="H13" s="123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 spans="1:27" s="86" customFormat="1" ht="21">
      <c r="B14" s="123"/>
      <c r="C14" s="129"/>
      <c r="D14" s="129"/>
      <c r="E14" s="129"/>
      <c r="F14" s="123"/>
      <c r="G14" s="123"/>
      <c r="H14" s="123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 spans="1:27" s="86" customFormat="1" ht="25.5" customHeight="1">
      <c r="A15" s="5" t="s">
        <v>242</v>
      </c>
      <c r="B15" s="6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0"/>
    </row>
    <row r="16" spans="1:27" s="86" customFormat="1" ht="30.75" customHeight="1">
      <c r="A16" s="8"/>
      <c r="B16" s="1" t="s">
        <v>243</v>
      </c>
      <c r="C16" s="1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34" s="86" customFormat="1" ht="21">
      <c r="A17" s="603" t="s">
        <v>244</v>
      </c>
      <c r="B17" s="639"/>
      <c r="C17" s="639"/>
      <c r="D17" s="604"/>
      <c r="E17" s="601" t="s">
        <v>245</v>
      </c>
      <c r="F17" s="654" t="s">
        <v>246</v>
      </c>
      <c r="G17" s="655"/>
      <c r="H17" s="655"/>
      <c r="I17" s="655"/>
      <c r="J17" s="655"/>
      <c r="K17" s="655"/>
      <c r="L17" s="655"/>
      <c r="M17" s="655"/>
      <c r="N17" s="655"/>
      <c r="O17" s="655"/>
      <c r="P17" s="655"/>
      <c r="Q17" s="655"/>
      <c r="R17" s="655"/>
      <c r="S17" s="655"/>
      <c r="T17" s="655"/>
      <c r="U17" s="655"/>
      <c r="V17" s="655"/>
      <c r="W17" s="656"/>
      <c r="X17" s="601" t="s">
        <v>61</v>
      </c>
    </row>
    <row r="18" spans="1:34" s="86" customFormat="1" ht="21.75" customHeight="1">
      <c r="A18" s="650"/>
      <c r="B18" s="607"/>
      <c r="C18" s="607"/>
      <c r="D18" s="651"/>
      <c r="E18" s="652"/>
      <c r="F18" s="603" t="s">
        <v>247</v>
      </c>
      <c r="G18" s="639"/>
      <c r="H18" s="604"/>
      <c r="I18" s="603" t="s">
        <v>248</v>
      </c>
      <c r="J18" s="639"/>
      <c r="K18" s="604"/>
      <c r="L18" s="603" t="s">
        <v>249</v>
      </c>
      <c r="M18" s="639"/>
      <c r="N18" s="604"/>
      <c r="O18" s="603" t="s">
        <v>250</v>
      </c>
      <c r="P18" s="639"/>
      <c r="Q18" s="604"/>
      <c r="R18" s="603" t="s">
        <v>251</v>
      </c>
      <c r="S18" s="639"/>
      <c r="T18" s="604"/>
      <c r="U18" s="613" t="s">
        <v>252</v>
      </c>
      <c r="V18" s="614"/>
      <c r="W18" s="615"/>
      <c r="X18" s="652"/>
    </row>
    <row r="19" spans="1:34" ht="25.9" customHeight="1">
      <c r="A19" s="605"/>
      <c r="B19" s="640"/>
      <c r="C19" s="640"/>
      <c r="D19" s="606"/>
      <c r="E19" s="653"/>
      <c r="F19" s="605" t="s">
        <v>253</v>
      </c>
      <c r="G19" s="640"/>
      <c r="H19" s="606"/>
      <c r="I19" s="605"/>
      <c r="J19" s="640"/>
      <c r="K19" s="606"/>
      <c r="L19" s="605"/>
      <c r="M19" s="640"/>
      <c r="N19" s="606"/>
      <c r="O19" s="650"/>
      <c r="P19" s="607"/>
      <c r="Q19" s="651"/>
      <c r="R19" s="605"/>
      <c r="S19" s="640"/>
      <c r="T19" s="606"/>
      <c r="U19" s="616"/>
      <c r="V19" s="617"/>
      <c r="W19" s="618"/>
      <c r="X19" s="653"/>
    </row>
    <row r="20" spans="1:34" ht="24.75" customHeight="1">
      <c r="A20" s="420" t="s">
        <v>2</v>
      </c>
      <c r="B20" s="6" t="s">
        <v>254</v>
      </c>
      <c r="C20" s="9"/>
      <c r="D20" s="17"/>
      <c r="E20" s="67" t="s">
        <v>255</v>
      </c>
      <c r="F20" s="641"/>
      <c r="G20" s="642"/>
      <c r="H20" s="643"/>
      <c r="I20" s="625">
        <v>0.19</v>
      </c>
      <c r="J20" s="626"/>
      <c r="K20" s="627"/>
      <c r="L20" s="625">
        <v>0.39</v>
      </c>
      <c r="M20" s="626"/>
      <c r="N20" s="627"/>
      <c r="O20" s="625">
        <v>0.42</v>
      </c>
      <c r="P20" s="626"/>
      <c r="Q20" s="627"/>
      <c r="R20" s="625">
        <f>AE20</f>
        <v>0</v>
      </c>
      <c r="S20" s="626"/>
      <c r="T20" s="627"/>
      <c r="U20" s="625">
        <f>AF20</f>
        <v>0</v>
      </c>
      <c r="V20" s="626"/>
      <c r="W20" s="627"/>
      <c r="X20" s="392">
        <f>SUM(F20:W20)</f>
        <v>1</v>
      </c>
      <c r="AB20" s="414">
        <f>'004-4'!O7</f>
        <v>0.18827600244249948</v>
      </c>
      <c r="AC20" s="414">
        <f>'004-4'!P7</f>
        <v>0.39466720944433137</v>
      </c>
      <c r="AD20" s="414">
        <f>'004-4'!Q7</f>
        <v>0.41705678811316915</v>
      </c>
      <c r="AE20" s="414">
        <f>'004-4'!R7</f>
        <v>0</v>
      </c>
      <c r="AF20" s="414">
        <f>'004-4'!S7</f>
        <v>0</v>
      </c>
      <c r="AG20" s="414"/>
      <c r="AH20" s="412"/>
    </row>
    <row r="21" spans="1:34" ht="24.75" customHeight="1">
      <c r="A21" s="420" t="s">
        <v>256</v>
      </c>
      <c r="B21" s="6" t="s">
        <v>257</v>
      </c>
      <c r="C21" s="9"/>
      <c r="D21" s="17"/>
      <c r="E21" s="67" t="s">
        <v>255</v>
      </c>
      <c r="F21" s="644"/>
      <c r="G21" s="645"/>
      <c r="H21" s="646"/>
      <c r="I21" s="622">
        <v>7.0000000000000007E-2</v>
      </c>
      <c r="J21" s="623"/>
      <c r="K21" s="624"/>
      <c r="L21" s="622">
        <v>0.49</v>
      </c>
      <c r="M21" s="623"/>
      <c r="N21" s="624"/>
      <c r="O21" s="622">
        <v>0.37</v>
      </c>
      <c r="P21" s="623"/>
      <c r="Q21" s="624"/>
      <c r="R21" s="622">
        <v>0.03</v>
      </c>
      <c r="S21" s="623"/>
      <c r="T21" s="624"/>
      <c r="U21" s="622">
        <v>0.04</v>
      </c>
      <c r="V21" s="623"/>
      <c r="W21" s="624"/>
      <c r="X21" s="392">
        <f>SUM(F21:W21)</f>
        <v>1</v>
      </c>
      <c r="AB21" s="414">
        <f>'004-4'!O9</f>
        <v>7.1624858187318799E-2</v>
      </c>
      <c r="AC21" s="414">
        <f>'004-4'!P9</f>
        <v>0.49386108660027733</v>
      </c>
      <c r="AD21" s="414">
        <f>'004-4'!Q9</f>
        <v>0.36576326736417497</v>
      </c>
      <c r="AE21" s="414">
        <f>'004-4'!R9</f>
        <v>3.0555905710323968E-2</v>
      </c>
      <c r="AF21" s="414">
        <f>'004-4'!S9</f>
        <v>3.8194882137904951E-2</v>
      </c>
      <c r="AG21" s="414"/>
      <c r="AH21" s="412"/>
    </row>
    <row r="22" spans="1:34" s="86" customFormat="1" ht="24.75" customHeight="1">
      <c r="A22" s="420" t="s">
        <v>258</v>
      </c>
      <c r="B22" s="6" t="s">
        <v>259</v>
      </c>
      <c r="C22" s="9"/>
      <c r="D22" s="17"/>
      <c r="E22" s="67" t="s">
        <v>255</v>
      </c>
      <c r="F22" s="644"/>
      <c r="G22" s="645"/>
      <c r="H22" s="646"/>
      <c r="I22" s="622">
        <v>0.25</v>
      </c>
      <c r="J22" s="623"/>
      <c r="K22" s="624"/>
      <c r="L22" s="622">
        <v>0.35</v>
      </c>
      <c r="M22" s="623"/>
      <c r="N22" s="624"/>
      <c r="O22" s="622">
        <v>0.4</v>
      </c>
      <c r="P22" s="623"/>
      <c r="Q22" s="624"/>
      <c r="R22" s="622">
        <f t="shared" ref="R21:R23" si="0">AE22</f>
        <v>0</v>
      </c>
      <c r="S22" s="623"/>
      <c r="T22" s="624"/>
      <c r="U22" s="622">
        <f t="shared" ref="U21:U23" si="1">AF22</f>
        <v>0</v>
      </c>
      <c r="V22" s="623"/>
      <c r="W22" s="624"/>
      <c r="X22" s="392">
        <f>SUM(F22:W22)</f>
        <v>1</v>
      </c>
      <c r="AB22" s="415">
        <f>'004-4'!O20</f>
        <v>0.24859923890386859</v>
      </c>
      <c r="AC22" s="415">
        <f>'004-4'!P20</f>
        <v>0.3537758399785822</v>
      </c>
      <c r="AD22" s="415">
        <f>'004-4'!Q20</f>
        <v>0.39762492111754921</v>
      </c>
      <c r="AE22" s="415">
        <f>'004-4'!R20</f>
        <v>0</v>
      </c>
      <c r="AF22" s="415">
        <f>'004-4'!S20</f>
        <v>0</v>
      </c>
      <c r="AG22" s="415"/>
      <c r="AH22" s="413"/>
    </row>
    <row r="23" spans="1:34" ht="24.75" customHeight="1">
      <c r="A23" s="420" t="s">
        <v>260</v>
      </c>
      <c r="B23" s="6" t="s">
        <v>261</v>
      </c>
      <c r="C23" s="9"/>
      <c r="D23" s="17"/>
      <c r="E23" s="67" t="s">
        <v>255</v>
      </c>
      <c r="F23" s="647"/>
      <c r="G23" s="648"/>
      <c r="H23" s="649"/>
      <c r="I23" s="619">
        <v>0.06</v>
      </c>
      <c r="J23" s="620"/>
      <c r="K23" s="621"/>
      <c r="L23" s="619">
        <v>0.27</v>
      </c>
      <c r="M23" s="620"/>
      <c r="N23" s="621"/>
      <c r="O23" s="619">
        <v>0.67</v>
      </c>
      <c r="P23" s="620"/>
      <c r="Q23" s="621"/>
      <c r="R23" s="619">
        <f t="shared" si="0"/>
        <v>0</v>
      </c>
      <c r="S23" s="620"/>
      <c r="T23" s="621"/>
      <c r="U23" s="619">
        <f t="shared" si="1"/>
        <v>0</v>
      </c>
      <c r="V23" s="620"/>
      <c r="W23" s="621"/>
      <c r="X23" s="392">
        <f>SUM(F23:W23)</f>
        <v>1</v>
      </c>
      <c r="AB23" s="414">
        <f>'004-4'!O19</f>
        <v>6.5124713053878361E-2</v>
      </c>
      <c r="AC23" s="414">
        <f>'004-4'!P19</f>
        <v>0.26962325662146258</v>
      </c>
      <c r="AD23" s="414">
        <f>'004-4'!Q19</f>
        <v>0.66525203032465907</v>
      </c>
      <c r="AE23" s="414">
        <f>'004-4'!R19</f>
        <v>0</v>
      </c>
      <c r="AF23" s="414">
        <f>'004-4'!S19</f>
        <v>0</v>
      </c>
      <c r="AG23" s="414"/>
      <c r="AH23" s="412"/>
    </row>
    <row r="24" spans="1:34" ht="27.75" customHeight="1">
      <c r="A24" s="636" t="s">
        <v>262</v>
      </c>
      <c r="B24" s="637"/>
      <c r="C24" s="637"/>
      <c r="D24" s="638"/>
      <c r="E24" s="510"/>
      <c r="F24" s="597"/>
      <c r="G24" s="598"/>
      <c r="H24" s="599"/>
      <c r="I24" s="610">
        <v>0.12</v>
      </c>
      <c r="J24" s="611"/>
      <c r="K24" s="612"/>
      <c r="L24" s="610">
        <v>0.37</v>
      </c>
      <c r="M24" s="611"/>
      <c r="N24" s="612"/>
      <c r="O24" s="610">
        <v>0.49</v>
      </c>
      <c r="P24" s="611"/>
      <c r="Q24" s="612"/>
      <c r="R24" s="610">
        <v>0.01</v>
      </c>
      <c r="S24" s="611"/>
      <c r="T24" s="612"/>
      <c r="U24" s="610">
        <v>0.01</v>
      </c>
      <c r="V24" s="611"/>
      <c r="W24" s="612"/>
      <c r="X24" s="511">
        <v>100</v>
      </c>
    </row>
    <row r="25" spans="1:34" ht="27.75" customHeight="1">
      <c r="A25" s="28"/>
      <c r="B25" s="7" t="s">
        <v>263</v>
      </c>
      <c r="C25" s="6"/>
      <c r="D25" s="6"/>
      <c r="E25" s="7"/>
      <c r="H25" s="29"/>
      <c r="J25" s="6"/>
      <c r="K25" s="6"/>
      <c r="L25" s="6"/>
      <c r="M25" s="6"/>
      <c r="N25" s="6"/>
      <c r="R25" s="6"/>
      <c r="S25" s="6"/>
      <c r="T25" s="6"/>
      <c r="U25" s="6"/>
      <c r="V25" s="6"/>
      <c r="X25" s="6"/>
    </row>
    <row r="26" spans="1:34" ht="27.75" customHeight="1">
      <c r="A26" s="13"/>
      <c r="B26" s="7" t="s">
        <v>264</v>
      </c>
      <c r="C26" s="6"/>
      <c r="D26" s="6"/>
      <c r="G26" s="6"/>
      <c r="H26" s="29"/>
      <c r="J26" s="6"/>
      <c r="K26" s="6"/>
      <c r="L26" s="6"/>
      <c r="M26" s="6"/>
      <c r="N26" s="6"/>
    </row>
    <row r="27" spans="1:34" ht="25.9" customHeight="1">
      <c r="B27" s="7" t="s">
        <v>265</v>
      </c>
      <c r="C27" s="7"/>
    </row>
  </sheetData>
  <mergeCells count="66">
    <mergeCell ref="X17:X19"/>
    <mergeCell ref="A4:C4"/>
    <mergeCell ref="Q4:X4"/>
    <mergeCell ref="A5:C5"/>
    <mergeCell ref="Q5:X5"/>
    <mergeCell ref="R18:T19"/>
    <mergeCell ref="D4:H4"/>
    <mergeCell ref="D5:H5"/>
    <mergeCell ref="I4:P4"/>
    <mergeCell ref="I5:P5"/>
    <mergeCell ref="J6:N6"/>
    <mergeCell ref="E6:F6"/>
    <mergeCell ref="O6:P6"/>
    <mergeCell ref="O7:P7"/>
    <mergeCell ref="O8:P8"/>
    <mergeCell ref="O9:P9"/>
    <mergeCell ref="A24:D24"/>
    <mergeCell ref="F18:H18"/>
    <mergeCell ref="F19:H19"/>
    <mergeCell ref="F20:H20"/>
    <mergeCell ref="F21:H21"/>
    <mergeCell ref="F22:H22"/>
    <mergeCell ref="F23:H23"/>
    <mergeCell ref="F24:H24"/>
    <mergeCell ref="A17:D19"/>
    <mergeCell ref="E17:E19"/>
    <mergeCell ref="F17:W17"/>
    <mergeCell ref="L24:N24"/>
    <mergeCell ref="O18:Q19"/>
    <mergeCell ref="O24:Q24"/>
    <mergeCell ref="I18:K19"/>
    <mergeCell ref="L18:N19"/>
    <mergeCell ref="L20:N20"/>
    <mergeCell ref="L21:N21"/>
    <mergeCell ref="L22:N22"/>
    <mergeCell ref="L23:N23"/>
    <mergeCell ref="O20:Q20"/>
    <mergeCell ref="O21:Q21"/>
    <mergeCell ref="O23:Q23"/>
    <mergeCell ref="O22:Q22"/>
    <mergeCell ref="R6:W6"/>
    <mergeCell ref="R7:W7"/>
    <mergeCell ref="E7:F7"/>
    <mergeCell ref="C12:H12"/>
    <mergeCell ref="J8:N8"/>
    <mergeCell ref="J9:N9"/>
    <mergeCell ref="G6:H6"/>
    <mergeCell ref="G7:H7"/>
    <mergeCell ref="J7:N7"/>
    <mergeCell ref="B10:E10"/>
    <mergeCell ref="I24:K24"/>
    <mergeCell ref="U18:W19"/>
    <mergeCell ref="I23:K23"/>
    <mergeCell ref="I22:K22"/>
    <mergeCell ref="I21:K21"/>
    <mergeCell ref="I20:K20"/>
    <mergeCell ref="U20:W20"/>
    <mergeCell ref="U21:W21"/>
    <mergeCell ref="U23:W23"/>
    <mergeCell ref="U22:W22"/>
    <mergeCell ref="U24:W24"/>
    <mergeCell ref="R20:T20"/>
    <mergeCell ref="R21:T21"/>
    <mergeCell ref="R23:T23"/>
    <mergeCell ref="R22:T22"/>
    <mergeCell ref="R24:T24"/>
  </mergeCells>
  <printOptions horizontalCentered="1"/>
  <pageMargins left="0.25" right="0.25" top="0.75" bottom="0.75" header="0.3" footer="0.3"/>
  <pageSetup paperSize="9" scale="70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0000000}">
          <x14:formula1>
            <xm:f>S!$H$2:$H$5</xm:f>
          </x14:formula1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92D050"/>
  </sheetPr>
  <dimension ref="A1:S33"/>
  <sheetViews>
    <sheetView showGridLines="0" view="pageBreakPreview" topLeftCell="A4" zoomScaleNormal="115" zoomScaleSheetLayoutView="100" workbookViewId="0">
      <selection activeCell="I16" sqref="I16"/>
    </sheetView>
  </sheetViews>
  <sheetFormatPr defaultColWidth="9" defaultRowHeight="25.9" customHeight="1"/>
  <cols>
    <col min="1" max="5" width="9" style="6"/>
    <col min="6" max="7" width="9.28515625" style="6" customWidth="1"/>
    <col min="8" max="13" width="18.42578125" style="6" customWidth="1"/>
    <col min="14" max="16384" width="9" style="6"/>
  </cols>
  <sheetData>
    <row r="1" spans="1:19" ht="25.9" customHeight="1">
      <c r="M1" s="13" t="s">
        <v>266</v>
      </c>
    </row>
    <row r="2" spans="1:19" ht="25.9" customHeight="1">
      <c r="B2" s="5" t="s">
        <v>267</v>
      </c>
    </row>
    <row r="3" spans="1:19" ht="25.9" customHeight="1">
      <c r="G3" s="6" t="s">
        <v>268</v>
      </c>
      <c r="M3" s="13" t="s">
        <v>55</v>
      </c>
    </row>
    <row r="4" spans="1:19" ht="25.9" customHeight="1">
      <c r="A4" s="603" t="s">
        <v>120</v>
      </c>
      <c r="B4" s="639"/>
      <c r="C4" s="639"/>
      <c r="D4" s="639"/>
      <c r="E4" s="639"/>
      <c r="F4" s="666" t="s">
        <v>269</v>
      </c>
      <c r="G4" s="667"/>
      <c r="H4" s="636" t="s">
        <v>270</v>
      </c>
      <c r="I4" s="637"/>
      <c r="J4" s="637"/>
      <c r="K4" s="637"/>
      <c r="L4" s="637"/>
      <c r="M4" s="638"/>
    </row>
    <row r="5" spans="1:19" ht="25.9" customHeight="1">
      <c r="A5" s="605"/>
      <c r="B5" s="640"/>
      <c r="C5" s="640"/>
      <c r="D5" s="640"/>
      <c r="E5" s="640"/>
      <c r="F5" s="668" t="s">
        <v>271</v>
      </c>
      <c r="G5" s="669"/>
      <c r="H5" s="508">
        <v>2568</v>
      </c>
      <c r="I5" s="508">
        <v>2569</v>
      </c>
      <c r="J5" s="508">
        <v>2570</v>
      </c>
      <c r="K5" s="508">
        <v>2571</v>
      </c>
      <c r="L5" s="508">
        <v>2572</v>
      </c>
      <c r="M5" s="431" t="s">
        <v>61</v>
      </c>
    </row>
    <row r="6" spans="1:19" ht="25.9" customHeight="1">
      <c r="A6" s="546" t="s">
        <v>272</v>
      </c>
      <c r="B6" s="547"/>
      <c r="C6" s="547"/>
      <c r="D6" s="547"/>
      <c r="E6" s="548"/>
      <c r="F6" s="549"/>
      <c r="G6" s="545"/>
      <c r="H6" s="544"/>
      <c r="I6" s="541"/>
      <c r="J6" s="544"/>
      <c r="K6" s="393"/>
      <c r="L6" s="393"/>
      <c r="M6" s="15"/>
    </row>
    <row r="7" spans="1:19" ht="25.9" customHeight="1">
      <c r="A7" s="421" t="s">
        <v>273</v>
      </c>
      <c r="B7" s="30"/>
      <c r="C7" s="30"/>
      <c r="D7" s="30"/>
      <c r="F7" s="670">
        <f>'005 (3)'!D26</f>
        <v>491300000</v>
      </c>
      <c r="G7" s="671"/>
      <c r="H7" s="401">
        <f>วงเงิน!G5*1000000</f>
        <v>92500000</v>
      </c>
      <c r="I7" s="401">
        <f>วงเงิน!H5*1000000</f>
        <v>193900000</v>
      </c>
      <c r="J7" s="401">
        <f>วงเงิน!I5*1000000</f>
        <v>204900000</v>
      </c>
      <c r="K7" s="402"/>
      <c r="L7" s="402"/>
      <c r="M7" s="403">
        <f>SUM(H7:L7)</f>
        <v>491300000</v>
      </c>
      <c r="O7" s="411">
        <f>H7/$F7</f>
        <v>0.18827600244249948</v>
      </c>
      <c r="P7" s="411">
        <f t="shared" ref="P7:S7" si="0">I7/$F7</f>
        <v>0.39466720944433137</v>
      </c>
      <c r="Q7" s="411">
        <f t="shared" si="0"/>
        <v>0.41705678811316915</v>
      </c>
      <c r="R7" s="411">
        <f t="shared" si="0"/>
        <v>0</v>
      </c>
      <c r="S7" s="411">
        <f t="shared" si="0"/>
        <v>0</v>
      </c>
    </row>
    <row r="8" spans="1:19" ht="25.9" customHeight="1">
      <c r="A8" s="421" t="s">
        <v>274</v>
      </c>
      <c r="B8" s="30"/>
      <c r="C8" s="30"/>
      <c r="D8" s="30"/>
      <c r="F8" s="672"/>
      <c r="G8" s="673"/>
      <c r="H8" s="404"/>
      <c r="I8" s="404"/>
      <c r="J8" s="404"/>
      <c r="K8" s="405"/>
      <c r="L8" s="405"/>
      <c r="M8" s="405"/>
    </row>
    <row r="9" spans="1:19" ht="25.9" customHeight="1">
      <c r="A9" s="417" t="s">
        <v>275</v>
      </c>
      <c r="F9" s="676">
        <f>'006 (2)'!E22</f>
        <v>793300000</v>
      </c>
      <c r="G9" s="677"/>
      <c r="H9" s="406">
        <v>56820000.000000007</v>
      </c>
      <c r="I9" s="406">
        <v>391780000</v>
      </c>
      <c r="J9" s="406">
        <v>290160000</v>
      </c>
      <c r="K9" s="407">
        <v>24240000.000000004</v>
      </c>
      <c r="L9" s="407">
        <v>30300000</v>
      </c>
      <c r="M9" s="403">
        <f>SUM(H9:L9)</f>
        <v>793300000</v>
      </c>
      <c r="O9" s="411">
        <f>H9/$F9</f>
        <v>7.1624858187318799E-2</v>
      </c>
      <c r="P9" s="411">
        <f t="shared" ref="P9" si="1">I9/$F9</f>
        <v>0.49386108660027733</v>
      </c>
      <c r="Q9" s="411">
        <f t="shared" ref="Q9" si="2">J9/$F9</f>
        <v>0.36576326736417497</v>
      </c>
      <c r="R9" s="411">
        <f t="shared" ref="R9" si="3">K9/$F9</f>
        <v>3.0555905710323968E-2</v>
      </c>
      <c r="S9" s="411">
        <f t="shared" ref="S9" si="4">L9/$F9</f>
        <v>3.8194882137904951E-2</v>
      </c>
    </row>
    <row r="10" spans="1:19" ht="25.9" customHeight="1">
      <c r="A10" s="417" t="s">
        <v>276</v>
      </c>
      <c r="F10" s="672"/>
      <c r="G10" s="680"/>
      <c r="H10" s="408"/>
      <c r="I10" s="18"/>
      <c r="J10" s="408"/>
      <c r="K10" s="21"/>
      <c r="L10" s="21"/>
      <c r="M10" s="21"/>
    </row>
    <row r="11" spans="1:19" ht="25.9" customHeight="1">
      <c r="A11" s="417"/>
      <c r="B11" s="6" t="s">
        <v>277</v>
      </c>
      <c r="F11" s="672"/>
      <c r="G11" s="673"/>
      <c r="H11" s="408"/>
      <c r="I11" s="408"/>
      <c r="J11" s="409"/>
      <c r="K11" s="409"/>
      <c r="L11" s="409"/>
      <c r="M11" s="408"/>
    </row>
    <row r="12" spans="1:19" ht="25.9" customHeight="1">
      <c r="A12" s="417"/>
      <c r="B12" s="6" t="s">
        <v>278</v>
      </c>
      <c r="F12" s="672"/>
      <c r="G12" s="673"/>
      <c r="H12" s="408"/>
      <c r="I12" s="408"/>
      <c r="J12" s="409"/>
      <c r="K12" s="409"/>
      <c r="L12" s="409"/>
      <c r="M12" s="408"/>
    </row>
    <row r="13" spans="1:19" ht="25.9" customHeight="1">
      <c r="A13" s="417"/>
      <c r="B13" s="6" t="s">
        <v>279</v>
      </c>
      <c r="F13" s="672"/>
      <c r="G13" s="673"/>
      <c r="H13" s="408"/>
      <c r="I13" s="408"/>
      <c r="J13" s="409"/>
      <c r="K13" s="409"/>
      <c r="L13" s="409"/>
      <c r="M13" s="408"/>
    </row>
    <row r="14" spans="1:19" ht="25.9" customHeight="1">
      <c r="A14" s="417"/>
      <c r="B14" s="6" t="s">
        <v>280</v>
      </c>
      <c r="F14" s="676">
        <v>23800000</v>
      </c>
      <c r="G14" s="677"/>
      <c r="H14" s="406">
        <v>1705000</v>
      </c>
      <c r="I14" s="406">
        <v>11754000</v>
      </c>
      <c r="J14" s="406">
        <v>8705000</v>
      </c>
      <c r="K14" s="406">
        <v>727000</v>
      </c>
      <c r="L14" s="406">
        <f t="shared" ref="L14" si="5">L9*0.03</f>
        <v>909000</v>
      </c>
      <c r="M14" s="403">
        <f>SUM(H14:L14)</f>
        <v>23800000</v>
      </c>
      <c r="O14" s="411">
        <f>H14/$F14</f>
        <v>7.1638655462184869E-2</v>
      </c>
      <c r="P14" s="411">
        <f t="shared" ref="P14" si="6">I14/$F14</f>
        <v>0.49386554621848738</v>
      </c>
      <c r="Q14" s="411">
        <f t="shared" ref="Q14" si="7">J14/$F14</f>
        <v>0.36575630252100838</v>
      </c>
      <c r="R14" s="411">
        <f t="shared" ref="R14" si="8">K14/$F14</f>
        <v>3.0546218487394958E-2</v>
      </c>
      <c r="S14" s="411">
        <f t="shared" ref="S14" si="9">L14/$F14</f>
        <v>3.8193277310924367E-2</v>
      </c>
    </row>
    <row r="15" spans="1:19" ht="25.9" customHeight="1">
      <c r="A15" s="417"/>
      <c r="B15" s="6" t="s">
        <v>281</v>
      </c>
      <c r="F15" s="672"/>
      <c r="G15" s="673"/>
      <c r="H15" s="408"/>
      <c r="I15" s="408"/>
      <c r="J15" s="409"/>
      <c r="K15" s="409"/>
      <c r="L15" s="409"/>
      <c r="M15" s="408"/>
    </row>
    <row r="16" spans="1:19" ht="25.9" customHeight="1">
      <c r="A16" s="417"/>
      <c r="B16" s="6" t="s">
        <v>282</v>
      </c>
      <c r="F16" s="678"/>
      <c r="G16" s="679"/>
      <c r="H16" s="408"/>
      <c r="I16" s="408"/>
      <c r="J16" s="409"/>
      <c r="K16" s="409"/>
      <c r="L16" s="409"/>
      <c r="M16" s="408"/>
    </row>
    <row r="17" spans="1:19" ht="25.9" customHeight="1">
      <c r="A17" s="417"/>
      <c r="B17" s="5" t="s">
        <v>283</v>
      </c>
      <c r="C17" s="5"/>
      <c r="F17" s="512"/>
      <c r="G17" s="513"/>
      <c r="H17" s="514"/>
      <c r="I17" s="514"/>
      <c r="J17" s="512"/>
      <c r="K17" s="512"/>
      <c r="L17" s="512"/>
      <c r="M17" s="514"/>
    </row>
    <row r="18" spans="1:19" ht="25.9" customHeight="1">
      <c r="A18" s="421" t="s">
        <v>284</v>
      </c>
      <c r="B18" s="9"/>
      <c r="C18" s="9"/>
      <c r="F18" s="550"/>
      <c r="G18" s="551"/>
      <c r="H18" s="552"/>
      <c r="I18" s="552"/>
      <c r="J18" s="550"/>
      <c r="K18" s="409"/>
      <c r="L18" s="409"/>
      <c r="M18" s="408"/>
    </row>
    <row r="19" spans="1:19" ht="25.9" customHeight="1">
      <c r="A19" s="421" t="s">
        <v>285</v>
      </c>
      <c r="B19" s="9"/>
      <c r="C19" s="9"/>
      <c r="F19" s="670">
        <f>'008'!H22</f>
        <v>1036780000</v>
      </c>
      <c r="G19" s="671"/>
      <c r="H19" s="406">
        <f>'008'!I22</f>
        <v>67520000</v>
      </c>
      <c r="I19" s="406">
        <f>'008'!J22</f>
        <v>279540000</v>
      </c>
      <c r="J19" s="406">
        <f>'008'!K22</f>
        <v>689720000</v>
      </c>
      <c r="K19" s="407">
        <v>0</v>
      </c>
      <c r="L19" s="407">
        <v>0</v>
      </c>
      <c r="M19" s="403">
        <f>SUM(H19:L19)</f>
        <v>1036780000</v>
      </c>
      <c r="O19" s="411">
        <f>H19/$F19</f>
        <v>6.5124713053878361E-2</v>
      </c>
      <c r="P19" s="411">
        <f t="shared" ref="P19:P20" si="10">I19/$F19</f>
        <v>0.26962325662146258</v>
      </c>
      <c r="Q19" s="411">
        <f t="shared" ref="Q19:Q20" si="11">J19/$F19</f>
        <v>0.66525203032465907</v>
      </c>
      <c r="R19" s="411">
        <f t="shared" ref="R19:R20" si="12">K19/$F19</f>
        <v>0</v>
      </c>
      <c r="S19" s="411">
        <f t="shared" ref="S19:S20" si="13">L19/$F19</f>
        <v>0</v>
      </c>
    </row>
    <row r="20" spans="1:19" ht="25.9" customHeight="1">
      <c r="A20" s="422" t="s">
        <v>286</v>
      </c>
      <c r="B20" s="9"/>
      <c r="C20" s="9"/>
      <c r="F20" s="670">
        <f>'008 (2)'!H12</f>
        <v>522930000</v>
      </c>
      <c r="G20" s="671"/>
      <c r="H20" s="406">
        <f>'008 (2)'!I12</f>
        <v>130000000</v>
      </c>
      <c r="I20" s="406">
        <f>'008 (2)'!J12</f>
        <v>185000000</v>
      </c>
      <c r="J20" s="406">
        <f>'008 (2)'!K12</f>
        <v>207930000</v>
      </c>
      <c r="K20" s="407">
        <v>0</v>
      </c>
      <c r="L20" s="407">
        <v>0</v>
      </c>
      <c r="M20" s="403">
        <f>SUM(H20:L20)</f>
        <v>522930000</v>
      </c>
      <c r="O20" s="411">
        <f>H20/$F20</f>
        <v>0.24859923890386859</v>
      </c>
      <c r="P20" s="411">
        <f t="shared" si="10"/>
        <v>0.3537758399785822</v>
      </c>
      <c r="Q20" s="411">
        <f t="shared" si="11"/>
        <v>0.39762492111754921</v>
      </c>
      <c r="R20" s="411">
        <f t="shared" si="12"/>
        <v>0</v>
      </c>
      <c r="S20" s="411">
        <f t="shared" si="13"/>
        <v>0</v>
      </c>
    </row>
    <row r="21" spans="1:19" ht="25.9" customHeight="1">
      <c r="A21" s="422" t="s">
        <v>287</v>
      </c>
      <c r="B21" s="9"/>
      <c r="C21" s="9"/>
      <c r="F21" s="409"/>
      <c r="G21" s="21"/>
      <c r="H21" s="408"/>
      <c r="I21" s="408"/>
      <c r="J21" s="409"/>
      <c r="K21" s="409"/>
      <c r="L21" s="409"/>
      <c r="M21" s="408"/>
    </row>
    <row r="22" spans="1:19" ht="25.9" customHeight="1">
      <c r="A22" s="34" t="s">
        <v>288</v>
      </c>
      <c r="B22" s="35"/>
      <c r="C22" s="35"/>
      <c r="D22" s="33"/>
      <c r="E22" s="33"/>
      <c r="F22" s="23"/>
      <c r="G22" s="410"/>
      <c r="H22" s="22"/>
      <c r="I22" s="22"/>
      <c r="J22" s="23"/>
      <c r="K22" s="409"/>
      <c r="L22" s="409"/>
      <c r="M22" s="408"/>
    </row>
    <row r="23" spans="1:19" ht="25.9" customHeight="1">
      <c r="A23" s="636" t="s">
        <v>289</v>
      </c>
      <c r="B23" s="637"/>
      <c r="C23" s="637"/>
      <c r="D23" s="637"/>
      <c r="E23" s="637"/>
      <c r="F23" s="674">
        <f>F7+F9+F14+F19+F20</f>
        <v>2868110000</v>
      </c>
      <c r="G23" s="675"/>
      <c r="H23" s="515">
        <f t="shared" ref="H23:M23" si="14">H7+H9+H14+H19+H20</f>
        <v>348545000</v>
      </c>
      <c r="I23" s="515">
        <f t="shared" si="14"/>
        <v>1061974000</v>
      </c>
      <c r="J23" s="515">
        <f t="shared" si="14"/>
        <v>1401415000</v>
      </c>
      <c r="K23" s="515">
        <f t="shared" si="14"/>
        <v>24967000.000000004</v>
      </c>
      <c r="L23" s="515">
        <f t="shared" si="14"/>
        <v>31209000</v>
      </c>
      <c r="M23" s="515">
        <f t="shared" si="14"/>
        <v>2868110000</v>
      </c>
    </row>
    <row r="24" spans="1:19" ht="25.9" customHeight="1">
      <c r="B24" s="5"/>
      <c r="D24" s="5"/>
    </row>
    <row r="25" spans="1:19" ht="25.9" customHeight="1">
      <c r="C25" s="5"/>
    </row>
    <row r="26" spans="1:19" ht="25.9" customHeight="1">
      <c r="D26" s="5"/>
      <c r="G26" s="7"/>
    </row>
    <row r="28" spans="1:19" ht="25.9" customHeight="1">
      <c r="D28" s="5"/>
    </row>
    <row r="30" spans="1:19" ht="25.9" customHeight="1">
      <c r="D30" s="5"/>
      <c r="E30" s="5"/>
      <c r="F30" s="5"/>
      <c r="G30" s="5"/>
      <c r="H30" s="5"/>
    </row>
    <row r="31" spans="1:19" ht="25.9" customHeight="1">
      <c r="D31" s="5"/>
      <c r="F31" s="5"/>
      <c r="G31" s="5"/>
    </row>
    <row r="33" spans="8:12" ht="25.9" customHeight="1">
      <c r="H33" s="416">
        <f>H23/$F$23</f>
        <v>0.12152427905484797</v>
      </c>
      <c r="I33" s="416">
        <f t="shared" ref="I33:L33" si="15">I23/$F$23</f>
        <v>0.37026962006338671</v>
      </c>
      <c r="J33" s="416">
        <f t="shared" si="15"/>
        <v>0.48861968334547839</v>
      </c>
      <c r="K33" s="416">
        <f t="shared" si="15"/>
        <v>8.7050357203872948E-3</v>
      </c>
      <c r="L33" s="416">
        <f t="shared" si="15"/>
        <v>1.088138181589967E-2</v>
      </c>
    </row>
  </sheetData>
  <mergeCells count="18">
    <mergeCell ref="F8:G8"/>
    <mergeCell ref="F19:G19"/>
    <mergeCell ref="F20:G20"/>
    <mergeCell ref="F23:G23"/>
    <mergeCell ref="A23:E23"/>
    <mergeCell ref="F9:G9"/>
    <mergeCell ref="F16:G16"/>
    <mergeCell ref="F15:G15"/>
    <mergeCell ref="F14:G14"/>
    <mergeCell ref="F13:G13"/>
    <mergeCell ref="F12:G12"/>
    <mergeCell ref="F11:G11"/>
    <mergeCell ref="F10:G10"/>
    <mergeCell ref="H4:M4"/>
    <mergeCell ref="A4:E5"/>
    <mergeCell ref="F4:G4"/>
    <mergeCell ref="F5:G5"/>
    <mergeCell ref="F7:G7"/>
  </mergeCells>
  <pageMargins left="0.6692913385826772" right="0.39370078740157483" top="0.39370078740157483" bottom="0.19685039370078741" header="0.51181102362204722" footer="0.51181102362204722"/>
  <pageSetup paperSize="9" scale="5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S56"/>
  <sheetViews>
    <sheetView showGridLines="0" view="pageBreakPreview" topLeftCell="A18" zoomScaleNormal="100" zoomScaleSheetLayoutView="100" workbookViewId="0">
      <selection activeCell="H29" sqref="H29:I29"/>
    </sheetView>
  </sheetViews>
  <sheetFormatPr defaultColWidth="9.140625" defaultRowHeight="21"/>
  <cols>
    <col min="1" max="1" width="17.140625" style="6" customWidth="1"/>
    <col min="2" max="2" width="14.5703125" style="6" customWidth="1"/>
    <col min="3" max="3" width="13.28515625" style="6" customWidth="1"/>
    <col min="4" max="4" width="14.85546875" style="6" customWidth="1"/>
    <col min="5" max="5" width="15.7109375" style="6" customWidth="1"/>
    <col min="6" max="6" width="16.7109375" style="6" customWidth="1"/>
    <col min="7" max="7" width="14" style="6" customWidth="1"/>
    <col min="8" max="8" width="14.85546875" style="6" customWidth="1"/>
    <col min="9" max="9" width="18.5703125" style="6" customWidth="1"/>
    <col min="10" max="10" width="11.7109375" style="6" customWidth="1"/>
    <col min="11" max="11" width="21.42578125" style="6" customWidth="1"/>
    <col min="12" max="12" width="17.5703125" style="6" customWidth="1"/>
    <col min="13" max="16384" width="9.140625" style="6"/>
  </cols>
  <sheetData>
    <row r="1" spans="1:19" s="2" customFormat="1">
      <c r="A1" s="696" t="s">
        <v>290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</row>
    <row r="2" spans="1:19" s="2" customForma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9">
      <c r="A3" s="1" t="s">
        <v>291</v>
      </c>
    </row>
    <row r="4" spans="1:19" ht="27.75" customHeight="1">
      <c r="A4" s="697" t="s">
        <v>292</v>
      </c>
      <c r="B4" s="698"/>
      <c r="C4" s="697" t="s">
        <v>293</v>
      </c>
      <c r="D4" s="698"/>
      <c r="E4" s="692" t="s">
        <v>294</v>
      </c>
      <c r="F4" s="692"/>
      <c r="G4" s="692"/>
      <c r="H4" s="692"/>
      <c r="I4" s="692"/>
      <c r="J4" s="692"/>
      <c r="K4" s="697" t="s">
        <v>295</v>
      </c>
      <c r="L4" s="698"/>
    </row>
    <row r="5" spans="1:19" ht="30" customHeight="1">
      <c r="A5" s="699"/>
      <c r="B5" s="700"/>
      <c r="C5" s="699"/>
      <c r="D5" s="700"/>
      <c r="E5" s="692" t="s">
        <v>296</v>
      </c>
      <c r="F5" s="692"/>
      <c r="G5" s="692"/>
      <c r="H5" s="692" t="s">
        <v>297</v>
      </c>
      <c r="I5" s="692"/>
      <c r="J5" s="429" t="s">
        <v>298</v>
      </c>
      <c r="K5" s="699"/>
      <c r="L5" s="700"/>
    </row>
    <row r="6" spans="1:19" ht="48" customHeight="1">
      <c r="A6" s="692" t="s">
        <v>299</v>
      </c>
      <c r="B6" s="692"/>
      <c r="C6" s="692"/>
      <c r="D6" s="692"/>
      <c r="E6" s="684">
        <v>2</v>
      </c>
      <c r="F6" s="684"/>
      <c r="G6" s="684"/>
      <c r="H6" s="684">
        <v>2</v>
      </c>
      <c r="I6" s="684"/>
      <c r="J6" s="429">
        <v>3</v>
      </c>
      <c r="K6" s="684" t="s">
        <v>300</v>
      </c>
      <c r="L6" s="684"/>
    </row>
    <row r="7" spans="1:19" s="2" customFormat="1">
      <c r="A7" s="686" t="s">
        <v>301</v>
      </c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95"/>
      <c r="N7" s="95"/>
      <c r="O7" s="95"/>
      <c r="P7" s="95"/>
      <c r="Q7" s="95"/>
      <c r="R7" s="95"/>
      <c r="S7" s="103"/>
    </row>
    <row r="8" spans="1:19" s="2" customFormat="1">
      <c r="A8" s="693" t="s">
        <v>302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</row>
    <row r="9" spans="1:19" s="2" customFormat="1">
      <c r="A9" s="693" t="s">
        <v>303</v>
      </c>
      <c r="B9" s="694"/>
      <c r="C9" s="694"/>
      <c r="D9" s="694"/>
      <c r="E9" s="694"/>
      <c r="F9" s="694"/>
      <c r="G9" s="694"/>
      <c r="H9" s="694"/>
      <c r="I9" s="694"/>
      <c r="J9" s="694"/>
      <c r="K9" s="694"/>
      <c r="L9" s="694"/>
    </row>
    <row r="10" spans="1:19" s="2" customFormat="1">
      <c r="A10" s="101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1:19" ht="26.25" customHeight="1">
      <c r="A11" s="690" t="s">
        <v>304</v>
      </c>
      <c r="B11" s="690" t="s">
        <v>294</v>
      </c>
      <c r="C11" s="690"/>
      <c r="D11" s="690"/>
      <c r="E11" s="690"/>
      <c r="F11" s="690"/>
      <c r="G11" s="690"/>
      <c r="H11" s="690"/>
      <c r="I11" s="690"/>
      <c r="J11" s="690"/>
      <c r="K11" s="690"/>
      <c r="L11" s="690"/>
    </row>
    <row r="12" spans="1:19" ht="25.5" customHeight="1">
      <c r="A12" s="690"/>
      <c r="B12" s="690" t="s">
        <v>305</v>
      </c>
      <c r="C12" s="690"/>
      <c r="D12" s="690"/>
      <c r="E12" s="690"/>
      <c r="F12" s="690" t="s">
        <v>306</v>
      </c>
      <c r="G12" s="690"/>
      <c r="H12" s="690"/>
      <c r="I12" s="690"/>
      <c r="J12" s="690" t="s">
        <v>307</v>
      </c>
      <c r="K12" s="690"/>
      <c r="L12" s="690"/>
    </row>
    <row r="13" spans="1:19">
      <c r="A13" s="516">
        <v>1</v>
      </c>
      <c r="B13" s="695" t="s">
        <v>308</v>
      </c>
      <c r="C13" s="695"/>
      <c r="D13" s="695"/>
      <c r="E13" s="695"/>
      <c r="F13" s="695" t="s">
        <v>309</v>
      </c>
      <c r="G13" s="695"/>
      <c r="H13" s="695"/>
      <c r="I13" s="695"/>
      <c r="J13" s="695" t="s">
        <v>310</v>
      </c>
      <c r="K13" s="695"/>
      <c r="L13" s="695"/>
    </row>
    <row r="14" spans="1:19">
      <c r="A14" s="516">
        <v>2</v>
      </c>
      <c r="B14" s="695" t="s">
        <v>311</v>
      </c>
      <c r="C14" s="695"/>
      <c r="D14" s="695"/>
      <c r="E14" s="695"/>
      <c r="F14" s="695" t="s">
        <v>312</v>
      </c>
      <c r="G14" s="695"/>
      <c r="H14" s="695"/>
      <c r="I14" s="695"/>
      <c r="J14" s="695" t="s">
        <v>313</v>
      </c>
      <c r="K14" s="695"/>
      <c r="L14" s="695"/>
    </row>
    <row r="15" spans="1:19" s="68" customFormat="1">
      <c r="A15" s="517">
        <v>3</v>
      </c>
      <c r="B15" s="695" t="s">
        <v>314</v>
      </c>
      <c r="C15" s="695"/>
      <c r="D15" s="695"/>
      <c r="E15" s="695"/>
      <c r="F15" s="695" t="s">
        <v>315</v>
      </c>
      <c r="G15" s="695"/>
      <c r="H15" s="695"/>
      <c r="I15" s="695"/>
      <c r="J15" s="695" t="s">
        <v>316</v>
      </c>
      <c r="K15" s="695"/>
      <c r="L15" s="695"/>
    </row>
    <row r="16" spans="1:19" s="68" customFormat="1">
      <c r="A16" s="105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</row>
    <row r="17" spans="1:12">
      <c r="A17" s="1" t="s">
        <v>317</v>
      </c>
    </row>
    <row r="18" spans="1:12">
      <c r="A18" s="687" t="s">
        <v>318</v>
      </c>
      <c r="B18" s="687" t="s">
        <v>319</v>
      </c>
      <c r="C18" s="687"/>
      <c r="D18" s="687"/>
      <c r="E18" s="692" t="s">
        <v>320</v>
      </c>
      <c r="F18" s="687" t="s">
        <v>321</v>
      </c>
      <c r="G18" s="687"/>
      <c r="H18" s="687"/>
      <c r="I18" s="687" t="s">
        <v>322</v>
      </c>
      <c r="J18" s="687"/>
      <c r="K18" s="687"/>
      <c r="L18" s="687" t="s">
        <v>323</v>
      </c>
    </row>
    <row r="19" spans="1:12" ht="26.25" customHeight="1">
      <c r="A19" s="688"/>
      <c r="B19" s="691" t="s">
        <v>324</v>
      </c>
      <c r="C19" s="691"/>
      <c r="D19" s="691"/>
      <c r="E19" s="692"/>
      <c r="F19" s="691" t="s">
        <v>325</v>
      </c>
      <c r="G19" s="691"/>
      <c r="H19" s="691"/>
      <c r="I19" s="689" t="s">
        <v>326</v>
      </c>
      <c r="J19" s="689"/>
      <c r="K19" s="689"/>
      <c r="L19" s="688"/>
    </row>
    <row r="20" spans="1:12" ht="21" customHeight="1">
      <c r="A20" s="688"/>
      <c r="B20" s="554" t="s">
        <v>327</v>
      </c>
      <c r="C20" s="554" t="s">
        <v>328</v>
      </c>
      <c r="D20" s="554" t="s">
        <v>329</v>
      </c>
      <c r="E20" s="692"/>
      <c r="F20" s="554" t="s">
        <v>327</v>
      </c>
      <c r="G20" s="554" t="s">
        <v>328</v>
      </c>
      <c r="H20" s="554" t="s">
        <v>330</v>
      </c>
      <c r="I20" s="553" t="s">
        <v>331</v>
      </c>
      <c r="J20" s="553" t="s">
        <v>332</v>
      </c>
      <c r="K20" s="553" t="s">
        <v>333</v>
      </c>
      <c r="L20" s="688"/>
    </row>
    <row r="21" spans="1:12">
      <c r="A21" s="689"/>
      <c r="B21" s="96" t="s">
        <v>334</v>
      </c>
      <c r="C21" s="96" t="s">
        <v>335</v>
      </c>
      <c r="D21" s="96" t="s">
        <v>336</v>
      </c>
      <c r="E21" s="692"/>
      <c r="F21" s="96" t="s">
        <v>334</v>
      </c>
      <c r="G21" s="96" t="s">
        <v>335</v>
      </c>
      <c r="H21" s="96" t="s">
        <v>336</v>
      </c>
      <c r="I21" s="99" t="s">
        <v>337</v>
      </c>
      <c r="J21" s="99" t="s">
        <v>338</v>
      </c>
      <c r="K21" s="99" t="s">
        <v>339</v>
      </c>
      <c r="L21" s="689"/>
    </row>
    <row r="22" spans="1:12" ht="105">
      <c r="A22" s="518" t="s">
        <v>340</v>
      </c>
      <c r="B22" s="519">
        <v>0.1</v>
      </c>
      <c r="C22" s="520">
        <v>1</v>
      </c>
      <c r="D22" s="520">
        <v>1</v>
      </c>
      <c r="E22" s="521" t="s">
        <v>341</v>
      </c>
      <c r="F22" s="519">
        <v>0.05</v>
      </c>
      <c r="G22" s="520">
        <v>1</v>
      </c>
      <c r="H22" s="520">
        <v>1</v>
      </c>
      <c r="I22" s="522"/>
      <c r="J22" s="522"/>
      <c r="K22" s="522"/>
      <c r="L22" s="522"/>
    </row>
    <row r="23" spans="1:12">
      <c r="A23" s="8" t="s">
        <v>342</v>
      </c>
    </row>
    <row r="24" spans="1:12">
      <c r="A24" s="8" t="s">
        <v>343</v>
      </c>
    </row>
    <row r="25" spans="1:12" ht="72.75">
      <c r="A25" s="8"/>
      <c r="L25" s="97" t="s">
        <v>344</v>
      </c>
    </row>
    <row r="26" spans="1:12">
      <c r="A26" s="8"/>
      <c r="B26" s="60" t="s">
        <v>345</v>
      </c>
    </row>
    <row r="27" spans="1:12">
      <c r="A27" s="8"/>
      <c r="B27" s="681" t="s">
        <v>346</v>
      </c>
      <c r="C27" s="681"/>
      <c r="D27" s="681"/>
      <c r="E27" s="681"/>
      <c r="F27" s="681"/>
      <c r="G27" s="681"/>
      <c r="H27" s="681" t="s">
        <v>347</v>
      </c>
      <c r="I27" s="681"/>
    </row>
    <row r="28" spans="1:12">
      <c r="A28" s="8"/>
      <c r="B28" s="681" t="s">
        <v>348</v>
      </c>
      <c r="C28" s="681"/>
      <c r="D28" s="681" t="s">
        <v>349</v>
      </c>
      <c r="E28" s="681"/>
      <c r="F28" s="681" t="s">
        <v>350</v>
      </c>
      <c r="G28" s="681"/>
      <c r="H28" s="681" t="s">
        <v>349</v>
      </c>
      <c r="I28" s="681"/>
    </row>
    <row r="29" spans="1:12">
      <c r="A29" s="8"/>
      <c r="B29" s="684">
        <v>1</v>
      </c>
      <c r="C29" s="684"/>
      <c r="D29" s="685" t="s">
        <v>351</v>
      </c>
      <c r="E29" s="685"/>
      <c r="F29" s="684" t="s">
        <v>352</v>
      </c>
      <c r="G29" s="684"/>
      <c r="H29" s="685" t="s">
        <v>353</v>
      </c>
      <c r="I29" s="685"/>
    </row>
    <row r="30" spans="1:12">
      <c r="A30" s="8"/>
      <c r="B30" s="684">
        <v>2</v>
      </c>
      <c r="C30" s="684"/>
      <c r="D30" s="685" t="s">
        <v>354</v>
      </c>
      <c r="E30" s="685"/>
      <c r="F30" s="684" t="s">
        <v>355</v>
      </c>
      <c r="G30" s="684"/>
      <c r="H30" s="685" t="s">
        <v>356</v>
      </c>
      <c r="I30" s="685"/>
    </row>
    <row r="31" spans="1:12">
      <c r="A31" s="8"/>
      <c r="B31" s="684">
        <v>3</v>
      </c>
      <c r="C31" s="684"/>
      <c r="D31" s="685" t="s">
        <v>357</v>
      </c>
      <c r="E31" s="685"/>
      <c r="F31" s="684" t="s">
        <v>358</v>
      </c>
      <c r="G31" s="684"/>
      <c r="H31" s="685" t="s">
        <v>359</v>
      </c>
      <c r="I31" s="685"/>
    </row>
    <row r="32" spans="1:12">
      <c r="A32" s="8"/>
      <c r="B32" s="684">
        <v>4</v>
      </c>
      <c r="C32" s="684"/>
      <c r="D32" s="685" t="s">
        <v>360</v>
      </c>
      <c r="E32" s="685"/>
      <c r="F32" s="684" t="s">
        <v>361</v>
      </c>
      <c r="G32" s="684"/>
      <c r="H32" s="685" t="s">
        <v>362</v>
      </c>
      <c r="I32" s="685"/>
    </row>
    <row r="33" spans="1:11">
      <c r="A33" s="8"/>
      <c r="B33" s="684">
        <v>5</v>
      </c>
      <c r="C33" s="684"/>
      <c r="D33" s="685" t="s">
        <v>363</v>
      </c>
      <c r="E33" s="685"/>
      <c r="F33" s="684" t="s">
        <v>364</v>
      </c>
      <c r="G33" s="684"/>
      <c r="H33" s="685" t="s">
        <v>365</v>
      </c>
      <c r="I33" s="685"/>
    </row>
    <row r="34" spans="1:11">
      <c r="A34" s="8"/>
      <c r="B34" s="30"/>
      <c r="C34" s="30"/>
      <c r="D34" s="20"/>
      <c r="E34" s="20"/>
      <c r="F34" s="30"/>
      <c r="G34" s="30"/>
      <c r="H34" s="20"/>
      <c r="I34" s="20"/>
    </row>
    <row r="35" spans="1:11">
      <c r="A35" s="8"/>
      <c r="B35" s="48" t="s">
        <v>366</v>
      </c>
      <c r="C35" s="5"/>
    </row>
    <row r="36" spans="1:11">
      <c r="A36" s="8"/>
      <c r="B36" s="681" t="s">
        <v>367</v>
      </c>
      <c r="C36" s="681"/>
      <c r="D36" s="682" t="s">
        <v>329</v>
      </c>
      <c r="E36" s="682"/>
      <c r="F36" s="682"/>
      <c r="G36" s="682"/>
      <c r="H36" s="682"/>
      <c r="I36" s="682"/>
    </row>
    <row r="37" spans="1:11">
      <c r="A37" s="8"/>
      <c r="B37" s="681"/>
      <c r="C37" s="681"/>
      <c r="D37" s="682" t="s">
        <v>368</v>
      </c>
      <c r="E37" s="682"/>
      <c r="F37" s="682"/>
      <c r="G37" s="682"/>
      <c r="H37" s="682" t="s">
        <v>349</v>
      </c>
      <c r="I37" s="682"/>
    </row>
    <row r="38" spans="1:11">
      <c r="A38" s="8"/>
      <c r="B38" s="683">
        <v>1</v>
      </c>
      <c r="C38" s="683"/>
      <c r="D38" s="683" t="s">
        <v>369</v>
      </c>
      <c r="E38" s="683"/>
      <c r="F38" s="683"/>
      <c r="G38" s="683"/>
      <c r="H38" s="683" t="s">
        <v>370</v>
      </c>
      <c r="I38" s="683"/>
    </row>
    <row r="39" spans="1:11">
      <c r="A39" s="8"/>
      <c r="B39" s="683">
        <v>2</v>
      </c>
      <c r="C39" s="683"/>
      <c r="D39" s="683" t="s">
        <v>371</v>
      </c>
      <c r="E39" s="683"/>
      <c r="F39" s="683"/>
      <c r="G39" s="683"/>
      <c r="H39" s="683" t="s">
        <v>372</v>
      </c>
      <c r="I39" s="683"/>
    </row>
    <row r="40" spans="1:11">
      <c r="A40" s="8"/>
      <c r="B40" s="683">
        <v>3</v>
      </c>
      <c r="C40" s="683"/>
      <c r="D40" s="683" t="s">
        <v>373</v>
      </c>
      <c r="E40" s="683"/>
      <c r="F40" s="683"/>
      <c r="G40" s="683"/>
      <c r="H40" s="683" t="s">
        <v>374</v>
      </c>
      <c r="I40" s="683"/>
    </row>
    <row r="41" spans="1:11">
      <c r="A41" s="8"/>
      <c r="B41" s="9"/>
      <c r="C41" s="9"/>
      <c r="D41" s="9"/>
      <c r="E41" s="9"/>
      <c r="F41" s="9"/>
      <c r="G41" s="9"/>
      <c r="H41" s="9"/>
      <c r="I41" s="9"/>
    </row>
    <row r="42" spans="1:11">
      <c r="A42" s="8"/>
      <c r="B42" s="9"/>
      <c r="C42" s="9"/>
      <c r="D42" s="9"/>
      <c r="E42" s="9"/>
      <c r="F42" s="9"/>
      <c r="G42" s="9"/>
      <c r="H42" s="9"/>
      <c r="I42" s="9"/>
    </row>
    <row r="43" spans="1:11" ht="20.25" customHeight="1"/>
    <row r="44" spans="1:11" ht="16.5" customHeight="1">
      <c r="H44" s="550" t="s">
        <v>375</v>
      </c>
      <c r="I44" s="555"/>
      <c r="J44" s="550" t="s">
        <v>376</v>
      </c>
      <c r="K44" s="551"/>
    </row>
    <row r="45" spans="1:11" ht="27.75" customHeight="1">
      <c r="H45" s="409" t="s">
        <v>377</v>
      </c>
      <c r="I45" s="18"/>
      <c r="J45" s="409" t="s">
        <v>378</v>
      </c>
      <c r="K45" s="21"/>
    </row>
    <row r="46" spans="1:11" ht="17.25" customHeight="1">
      <c r="H46" s="423" t="s">
        <v>379</v>
      </c>
      <c r="I46" s="18"/>
      <c r="J46" s="423" t="s">
        <v>380</v>
      </c>
      <c r="K46" s="21"/>
    </row>
    <row r="47" spans="1:11" ht="16.5" customHeight="1">
      <c r="H47" s="409" t="s">
        <v>381</v>
      </c>
      <c r="I47" s="18"/>
      <c r="J47" s="409" t="s">
        <v>382</v>
      </c>
      <c r="K47" s="21"/>
    </row>
    <row r="48" spans="1:11" ht="6" customHeight="1">
      <c r="H48" s="409" t="s">
        <v>377</v>
      </c>
      <c r="I48" s="18"/>
      <c r="J48" s="409" t="s">
        <v>378</v>
      </c>
      <c r="K48" s="21"/>
    </row>
    <row r="49" spans="8:14">
      <c r="H49" s="409" t="s">
        <v>383</v>
      </c>
      <c r="I49" s="18"/>
      <c r="J49" s="409" t="s">
        <v>383</v>
      </c>
      <c r="K49" s="21"/>
    </row>
    <row r="50" spans="8:14" ht="19.5" customHeight="1">
      <c r="H50" s="409" t="s">
        <v>377</v>
      </c>
      <c r="I50" s="18"/>
      <c r="J50" s="409" t="s">
        <v>378</v>
      </c>
      <c r="K50" s="21"/>
    </row>
    <row r="51" spans="8:14" ht="17.25" customHeight="1">
      <c r="H51" s="409" t="s">
        <v>384</v>
      </c>
      <c r="I51" s="18"/>
      <c r="J51" s="409" t="s">
        <v>384</v>
      </c>
      <c r="K51" s="21"/>
      <c r="M51" s="98"/>
    </row>
    <row r="52" spans="8:14">
      <c r="H52" s="23" t="s">
        <v>377</v>
      </c>
      <c r="I52" s="24"/>
      <c r="J52" s="23" t="s">
        <v>378</v>
      </c>
      <c r="K52" s="22"/>
      <c r="M52" s="98"/>
    </row>
    <row r="53" spans="8:14">
      <c r="H53" s="18"/>
      <c r="I53" s="18"/>
      <c r="J53" s="18"/>
      <c r="K53" s="18"/>
      <c r="M53" s="98"/>
    </row>
    <row r="54" spans="8:14">
      <c r="H54" s="18"/>
      <c r="I54" s="18"/>
      <c r="J54" s="18"/>
      <c r="K54" s="18"/>
      <c r="M54" s="98"/>
      <c r="N54" s="6" t="s">
        <v>385</v>
      </c>
    </row>
    <row r="55" spans="8:14">
      <c r="H55" s="18"/>
      <c r="I55" s="18"/>
      <c r="J55" s="18"/>
      <c r="K55" s="18"/>
      <c r="M55" s="98"/>
    </row>
    <row r="56" spans="8:14" ht="72.75">
      <c r="L56" s="97" t="s">
        <v>344</v>
      </c>
    </row>
  </sheetData>
  <mergeCells count="77">
    <mergeCell ref="A1:L1"/>
    <mergeCell ref="A4:B5"/>
    <mergeCell ref="C4:D5"/>
    <mergeCell ref="B11:L11"/>
    <mergeCell ref="B12:E12"/>
    <mergeCell ref="F12:I12"/>
    <mergeCell ref="K4:L5"/>
    <mergeCell ref="K6:L6"/>
    <mergeCell ref="A6:B6"/>
    <mergeCell ref="E5:G5"/>
    <mergeCell ref="E4:J4"/>
    <mergeCell ref="E6:G6"/>
    <mergeCell ref="H5:I5"/>
    <mergeCell ref="H6:I6"/>
    <mergeCell ref="J12:L12"/>
    <mergeCell ref="C6:D6"/>
    <mergeCell ref="B13:E13"/>
    <mergeCell ref="B14:E14"/>
    <mergeCell ref="B15:E15"/>
    <mergeCell ref="F13:I13"/>
    <mergeCell ref="F14:I14"/>
    <mergeCell ref="F15:I15"/>
    <mergeCell ref="F28:G28"/>
    <mergeCell ref="H28:I28"/>
    <mergeCell ref="J13:L13"/>
    <mergeCell ref="J14:L14"/>
    <mergeCell ref="J15:L15"/>
    <mergeCell ref="F18:H18"/>
    <mergeCell ref="F19:H19"/>
    <mergeCell ref="I18:K18"/>
    <mergeCell ref="I19:K19"/>
    <mergeCell ref="L18:L21"/>
    <mergeCell ref="A7:L7"/>
    <mergeCell ref="A18:A21"/>
    <mergeCell ref="A11:A12"/>
    <mergeCell ref="B29:C29"/>
    <mergeCell ref="D29:E29"/>
    <mergeCell ref="F29:G29"/>
    <mergeCell ref="H29:I29"/>
    <mergeCell ref="B18:D18"/>
    <mergeCell ref="B19:D19"/>
    <mergeCell ref="E18:E21"/>
    <mergeCell ref="A9:L9"/>
    <mergeCell ref="A8:L8"/>
    <mergeCell ref="B27:G27"/>
    <mergeCell ref="H27:I27"/>
    <mergeCell ref="B28:C28"/>
    <mergeCell ref="D28:E28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6:C37"/>
    <mergeCell ref="D36:I36"/>
    <mergeCell ref="D37:G37"/>
    <mergeCell ref="H37:I37"/>
    <mergeCell ref="B40:C40"/>
    <mergeCell ref="D40:G40"/>
    <mergeCell ref="H40:I40"/>
    <mergeCell ref="B38:C38"/>
    <mergeCell ref="D38:G38"/>
    <mergeCell ref="H38:I38"/>
    <mergeCell ref="B39:C39"/>
    <mergeCell ref="D39:G39"/>
    <mergeCell ref="H39:I39"/>
  </mergeCells>
  <pageMargins left="0.7" right="0.7" top="0.75" bottom="0.75" header="0.3" footer="0.3"/>
  <pageSetup paperSize="9" scale="72" orientation="landscape" r:id="rId1"/>
  <rowBreaks count="1" manualBreakCount="1">
    <brk id="25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">
    <tabColor rgb="FF92D050"/>
  </sheetPr>
  <dimension ref="A1:T89"/>
  <sheetViews>
    <sheetView showGridLines="0" view="pageBreakPreview" topLeftCell="A69" zoomScaleNormal="130" zoomScaleSheetLayoutView="100" workbookViewId="0">
      <selection activeCell="D97" sqref="D97"/>
    </sheetView>
  </sheetViews>
  <sheetFormatPr defaultColWidth="9" defaultRowHeight="21"/>
  <cols>
    <col min="1" max="1" width="4.140625" style="30" customWidth="1"/>
    <col min="2" max="2" width="6" style="30" customWidth="1"/>
    <col min="3" max="4" width="11.140625" style="30" customWidth="1"/>
    <col min="5" max="5" width="14.42578125" style="30" customWidth="1"/>
    <col min="6" max="11" width="9" style="30"/>
    <col min="12" max="12" width="15" style="30" customWidth="1"/>
    <col min="13" max="14" width="9" style="30"/>
    <col min="15" max="15" width="5.42578125" style="30" bestFit="1" customWidth="1"/>
    <col min="16" max="16" width="37.42578125" style="30" bestFit="1" customWidth="1"/>
    <col min="17" max="16384" width="9" style="30"/>
  </cols>
  <sheetData>
    <row r="1" spans="1:12">
      <c r="A1" s="607" t="s">
        <v>386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2">
      <c r="A2" s="607" t="s">
        <v>387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4" spans="1:12">
      <c r="A4" s="40" t="s">
        <v>2</v>
      </c>
      <c r="B4" s="43" t="s">
        <v>388</v>
      </c>
      <c r="E4" s="20"/>
    </row>
    <row r="5" spans="1:12">
      <c r="A5" s="40" t="s">
        <v>256</v>
      </c>
      <c r="B5" s="43" t="s">
        <v>389</v>
      </c>
      <c r="C5" s="8"/>
      <c r="D5" s="8"/>
    </row>
    <row r="6" spans="1:12">
      <c r="A6" s="40"/>
      <c r="B6" s="25">
        <v>2.1</v>
      </c>
      <c r="C6" s="1" t="s">
        <v>390</v>
      </c>
      <c r="D6" s="8"/>
      <c r="E6" s="8"/>
      <c r="F6" s="8" t="s">
        <v>391</v>
      </c>
    </row>
    <row r="7" spans="1:12">
      <c r="B7" s="25">
        <v>2.2000000000000002</v>
      </c>
      <c r="C7" s="1" t="s">
        <v>392</v>
      </c>
      <c r="D7" s="1"/>
      <c r="E7" s="8"/>
      <c r="F7" s="8" t="s">
        <v>393</v>
      </c>
      <c r="G7" s="8"/>
      <c r="H7" s="8"/>
    </row>
    <row r="8" spans="1:12">
      <c r="B8" s="25"/>
      <c r="C8" s="1"/>
      <c r="D8" s="1"/>
      <c r="E8" s="8"/>
      <c r="F8" s="8" t="s">
        <v>394</v>
      </c>
      <c r="G8" s="8"/>
      <c r="H8" s="8"/>
    </row>
    <row r="9" spans="1:12">
      <c r="B9" s="25"/>
      <c r="C9" s="1"/>
      <c r="D9" s="1"/>
      <c r="E9" s="8"/>
      <c r="F9" s="8" t="s">
        <v>395</v>
      </c>
      <c r="G9" s="8"/>
      <c r="H9" s="8"/>
    </row>
    <row r="10" spans="1:12">
      <c r="B10" s="25"/>
      <c r="C10" s="1"/>
      <c r="D10" s="1"/>
      <c r="E10" s="8"/>
      <c r="F10" s="8" t="s">
        <v>396</v>
      </c>
      <c r="G10" s="8"/>
      <c r="H10" s="8"/>
    </row>
    <row r="11" spans="1:12">
      <c r="B11" s="25"/>
      <c r="C11" s="1"/>
      <c r="D11" s="1"/>
      <c r="E11" s="8"/>
      <c r="F11" s="8" t="s">
        <v>397</v>
      </c>
      <c r="G11" s="8"/>
      <c r="H11" s="8"/>
    </row>
    <row r="12" spans="1:12">
      <c r="B12" s="25"/>
      <c r="C12" s="1"/>
      <c r="D12" s="1"/>
      <c r="E12" s="8"/>
      <c r="F12" s="8" t="s">
        <v>398</v>
      </c>
      <c r="G12" s="8"/>
      <c r="H12" s="8"/>
    </row>
    <row r="13" spans="1:12">
      <c r="A13" s="40"/>
      <c r="B13" s="25">
        <v>2.2999999999999998</v>
      </c>
      <c r="C13" s="1" t="s">
        <v>399</v>
      </c>
      <c r="D13" s="8"/>
      <c r="E13" s="8"/>
      <c r="F13" s="8" t="s">
        <v>400</v>
      </c>
    </row>
    <row r="14" spans="1:12" s="20" customFormat="1" ht="21" customHeight="1">
      <c r="A14" s="30"/>
      <c r="B14" s="25">
        <v>2.4</v>
      </c>
      <c r="C14" s="1" t="s">
        <v>401</v>
      </c>
      <c r="F14" s="39" t="s">
        <v>402</v>
      </c>
    </row>
    <row r="15" spans="1:12" s="103" customFormat="1" ht="24.6" customHeight="1">
      <c r="A15" s="68"/>
      <c r="B15" s="68"/>
      <c r="C15" s="4"/>
      <c r="F15" s="2" t="s">
        <v>403</v>
      </c>
    </row>
    <row r="16" spans="1:12" s="103" customFormat="1" ht="24.6" customHeight="1">
      <c r="A16" s="68"/>
      <c r="B16" s="25">
        <v>2.5</v>
      </c>
      <c r="C16" s="4" t="s">
        <v>404</v>
      </c>
      <c r="F16" s="2" t="s">
        <v>405</v>
      </c>
    </row>
    <row r="17" spans="1:12" s="20" customFormat="1">
      <c r="A17" s="30"/>
      <c r="B17" s="25">
        <v>2.6</v>
      </c>
      <c r="C17" s="43" t="s">
        <v>406</v>
      </c>
      <c r="F17" s="6" t="s">
        <v>407</v>
      </c>
    </row>
    <row r="18" spans="1:12" s="20" customFormat="1">
      <c r="A18" s="30"/>
      <c r="B18" s="25">
        <v>2.7</v>
      </c>
      <c r="C18" s="43" t="s">
        <v>246</v>
      </c>
      <c r="D18" s="1"/>
      <c r="E18" s="8"/>
      <c r="F18" s="6" t="s">
        <v>408</v>
      </c>
      <c r="G18" s="8"/>
      <c r="H18" s="8"/>
      <c r="I18" s="8"/>
      <c r="J18" s="8"/>
    </row>
    <row r="19" spans="1:12" s="20" customFormat="1">
      <c r="A19" s="30"/>
      <c r="B19" s="25"/>
      <c r="C19" s="1"/>
      <c r="D19" s="1"/>
      <c r="E19" s="8"/>
      <c r="F19" s="6" t="s">
        <v>409</v>
      </c>
      <c r="G19" s="8"/>
      <c r="H19" s="8"/>
      <c r="I19" s="8"/>
      <c r="J19" s="8"/>
    </row>
    <row r="20" spans="1:12" s="20" customFormat="1">
      <c r="A20" s="30"/>
      <c r="B20" s="25">
        <v>2.8</v>
      </c>
      <c r="C20" s="1" t="s">
        <v>410</v>
      </c>
      <c r="D20" s="1"/>
      <c r="E20" s="8"/>
      <c r="F20" s="6" t="s">
        <v>411</v>
      </c>
      <c r="G20" s="8"/>
      <c r="H20" s="8"/>
      <c r="I20" s="8"/>
      <c r="J20" s="8"/>
    </row>
    <row r="21" spans="1:12" s="20" customFormat="1">
      <c r="A21" s="30"/>
      <c r="B21" s="25">
        <v>2.9</v>
      </c>
      <c r="C21" s="1" t="s">
        <v>412</v>
      </c>
      <c r="D21" s="1"/>
      <c r="E21" s="1"/>
      <c r="F21" s="6" t="s">
        <v>413</v>
      </c>
      <c r="G21" s="8"/>
      <c r="H21" s="8"/>
      <c r="I21" s="8"/>
      <c r="J21" s="8"/>
    </row>
    <row r="22" spans="1:12" s="20" customFormat="1">
      <c r="A22" s="30"/>
      <c r="B22" s="40" t="s">
        <v>414</v>
      </c>
      <c r="C22" s="1" t="s">
        <v>415</v>
      </c>
      <c r="D22" s="1"/>
      <c r="E22" s="8"/>
      <c r="F22" s="6" t="s">
        <v>416</v>
      </c>
      <c r="G22" s="8"/>
      <c r="H22" s="8"/>
      <c r="I22" s="8"/>
      <c r="J22" s="8"/>
    </row>
    <row r="23" spans="1:12" s="20" customFormat="1">
      <c r="A23" s="30"/>
      <c r="B23" s="25"/>
      <c r="C23" s="1"/>
      <c r="D23" s="1"/>
      <c r="E23" s="8"/>
      <c r="F23" s="6" t="s">
        <v>417</v>
      </c>
      <c r="G23" s="8"/>
      <c r="H23" s="8"/>
      <c r="I23" s="8"/>
      <c r="J23" s="8"/>
    </row>
    <row r="24" spans="1:12" s="20" customFormat="1">
      <c r="A24" s="30"/>
      <c r="B24" s="25">
        <v>2.11</v>
      </c>
      <c r="C24" s="1" t="s">
        <v>418</v>
      </c>
      <c r="D24" s="1"/>
      <c r="E24" s="8"/>
      <c r="F24" s="6" t="s">
        <v>419</v>
      </c>
      <c r="G24" s="8"/>
      <c r="H24" s="8"/>
      <c r="I24" s="8"/>
      <c r="J24" s="8"/>
    </row>
    <row r="25" spans="1:12" s="20" customFormat="1">
      <c r="A25" s="40" t="s">
        <v>258</v>
      </c>
      <c r="B25" s="43" t="s">
        <v>420</v>
      </c>
      <c r="C25" s="1"/>
      <c r="D25" s="1"/>
      <c r="E25" s="8"/>
      <c r="F25" s="8" t="s">
        <v>421</v>
      </c>
    </row>
    <row r="26" spans="1:12">
      <c r="A26" s="40" t="s">
        <v>260</v>
      </c>
      <c r="B26" s="1" t="s">
        <v>422</v>
      </c>
      <c r="D26" s="8"/>
      <c r="E26" s="8"/>
      <c r="F26" s="8"/>
      <c r="G26" s="8"/>
      <c r="H26" s="8"/>
      <c r="I26" s="8"/>
      <c r="J26" s="8"/>
      <c r="K26" s="20"/>
      <c r="L26" s="20"/>
    </row>
    <row r="27" spans="1:12">
      <c r="B27" s="25">
        <v>4.0999999999999996</v>
      </c>
      <c r="C27" s="1" t="s">
        <v>423</v>
      </c>
      <c r="D27" s="1"/>
      <c r="E27" s="8"/>
      <c r="F27" s="7" t="s">
        <v>424</v>
      </c>
      <c r="G27" s="8"/>
      <c r="H27" s="8"/>
      <c r="I27" s="8"/>
      <c r="J27" s="20"/>
      <c r="K27" s="20"/>
    </row>
    <row r="28" spans="1:12">
      <c r="C28" s="25" t="s">
        <v>425</v>
      </c>
      <c r="D28" s="6"/>
      <c r="E28" s="6"/>
      <c r="F28" s="7" t="s">
        <v>426</v>
      </c>
      <c r="G28" s="6"/>
      <c r="H28" s="6"/>
      <c r="I28" s="6"/>
      <c r="J28" s="6"/>
      <c r="K28" s="6"/>
    </row>
    <row r="29" spans="1:12">
      <c r="D29" s="20"/>
      <c r="E29" s="20"/>
      <c r="F29" s="20" t="s">
        <v>427</v>
      </c>
      <c r="G29" s="20"/>
      <c r="H29" s="20"/>
      <c r="I29" s="20"/>
      <c r="J29" s="20"/>
      <c r="K29" s="20"/>
    </row>
    <row r="30" spans="1:12">
      <c r="D30" s="20"/>
      <c r="E30" s="20"/>
      <c r="F30" s="143" t="s">
        <v>428</v>
      </c>
      <c r="G30" s="20"/>
      <c r="H30" s="20"/>
      <c r="I30" s="20"/>
      <c r="J30" s="20"/>
      <c r="K30" s="20"/>
    </row>
    <row r="31" spans="1:12">
      <c r="D31" s="20"/>
      <c r="E31" s="20"/>
      <c r="F31" s="7" t="s">
        <v>429</v>
      </c>
      <c r="G31" s="20"/>
      <c r="H31" s="20"/>
      <c r="I31" s="20"/>
      <c r="J31" s="20"/>
      <c r="K31" s="20"/>
    </row>
    <row r="32" spans="1:12">
      <c r="B32" s="25">
        <v>4.2</v>
      </c>
      <c r="C32" s="5" t="s">
        <v>430</v>
      </c>
      <c r="D32" s="20"/>
      <c r="E32" s="20"/>
      <c r="F32" s="6" t="s">
        <v>431</v>
      </c>
      <c r="G32" s="20"/>
      <c r="H32" s="20"/>
      <c r="I32" s="20"/>
      <c r="J32" s="20"/>
      <c r="K32" s="20"/>
    </row>
    <row r="33" spans="1:11">
      <c r="C33" s="43" t="s">
        <v>432</v>
      </c>
      <c r="D33" s="20"/>
      <c r="E33" s="20"/>
      <c r="F33" s="20" t="s">
        <v>433</v>
      </c>
      <c r="G33" s="20"/>
      <c r="H33" s="20"/>
      <c r="I33" s="20"/>
      <c r="J33" s="20"/>
      <c r="K33" s="20"/>
    </row>
    <row r="34" spans="1:11">
      <c r="A34" s="40" t="s">
        <v>434</v>
      </c>
      <c r="B34" s="4" t="s">
        <v>435</v>
      </c>
      <c r="D34" s="4"/>
      <c r="E34" s="2"/>
      <c r="F34" s="2"/>
      <c r="G34" s="2"/>
      <c r="H34" s="2"/>
      <c r="I34" s="2"/>
    </row>
    <row r="35" spans="1:11">
      <c r="A35" s="58"/>
      <c r="B35" s="25">
        <v>5.0999999999999996</v>
      </c>
      <c r="C35" s="1" t="s">
        <v>436</v>
      </c>
      <c r="E35" s="38" t="s">
        <v>437</v>
      </c>
      <c r="F35" s="2" t="s">
        <v>438</v>
      </c>
      <c r="G35" s="2"/>
      <c r="I35" s="2"/>
    </row>
    <row r="36" spans="1:11">
      <c r="A36" s="57"/>
      <c r="B36" s="25"/>
      <c r="C36" s="1"/>
      <c r="E36" s="6"/>
      <c r="F36" s="8" t="s">
        <v>439</v>
      </c>
      <c r="G36" s="2"/>
      <c r="I36" s="2"/>
    </row>
    <row r="37" spans="1:11">
      <c r="A37" s="57"/>
      <c r="B37" s="25"/>
      <c r="C37" s="1"/>
      <c r="E37" s="6"/>
      <c r="F37" s="8" t="s">
        <v>440</v>
      </c>
      <c r="G37" s="2"/>
      <c r="I37" s="2"/>
    </row>
    <row r="38" spans="1:11">
      <c r="A38" s="57"/>
      <c r="B38" s="25">
        <v>5.2</v>
      </c>
      <c r="C38" s="1" t="s">
        <v>441</v>
      </c>
      <c r="F38" s="8" t="s">
        <v>442</v>
      </c>
      <c r="G38" s="2"/>
      <c r="I38" s="2"/>
    </row>
    <row r="39" spans="1:11">
      <c r="A39" s="57"/>
      <c r="B39" s="25"/>
      <c r="C39" s="1" t="s">
        <v>443</v>
      </c>
      <c r="F39" s="8" t="s">
        <v>444</v>
      </c>
      <c r="G39" s="2"/>
      <c r="I39" s="2"/>
    </row>
    <row r="40" spans="1:11">
      <c r="F40" s="20" t="s">
        <v>445</v>
      </c>
    </row>
    <row r="41" spans="1:11">
      <c r="A41" s="145" t="s">
        <v>446</v>
      </c>
      <c r="B41" s="43" t="s">
        <v>447</v>
      </c>
      <c r="F41" s="6" t="s">
        <v>448</v>
      </c>
    </row>
    <row r="42" spans="1:11">
      <c r="A42" s="145"/>
      <c r="B42" s="43" t="s">
        <v>449</v>
      </c>
      <c r="F42" s="6"/>
    </row>
    <row r="43" spans="1:11">
      <c r="A43" s="145" t="s">
        <v>450</v>
      </c>
      <c r="B43" s="43" t="s">
        <v>451</v>
      </c>
      <c r="F43" s="39" t="s">
        <v>452</v>
      </c>
    </row>
    <row r="44" spans="1:11">
      <c r="A44" s="25"/>
      <c r="B44" s="43" t="s">
        <v>453</v>
      </c>
      <c r="C44" s="43"/>
    </row>
    <row r="45" spans="1:11">
      <c r="A45" s="145" t="s">
        <v>454</v>
      </c>
      <c r="B45" s="5" t="s">
        <v>455</v>
      </c>
      <c r="F45" s="39" t="s">
        <v>456</v>
      </c>
      <c r="G45" s="6"/>
    </row>
    <row r="46" spans="1:11">
      <c r="A46" s="42"/>
      <c r="B46" s="5" t="s">
        <v>457</v>
      </c>
      <c r="C46" s="5"/>
      <c r="F46" s="6" t="s">
        <v>458</v>
      </c>
      <c r="G46" s="6"/>
    </row>
    <row r="47" spans="1:11">
      <c r="B47" s="42"/>
      <c r="F47" s="6" t="s">
        <v>459</v>
      </c>
      <c r="G47" s="6"/>
    </row>
    <row r="48" spans="1:11">
      <c r="B48" s="42"/>
      <c r="C48" s="5"/>
      <c r="F48" s="6" t="s">
        <v>460</v>
      </c>
      <c r="G48" s="6"/>
    </row>
    <row r="49" spans="1:9">
      <c r="A49" s="145" t="s">
        <v>461</v>
      </c>
      <c r="B49" s="55" t="s">
        <v>26</v>
      </c>
      <c r="F49" s="39" t="s">
        <v>462</v>
      </c>
    </row>
    <row r="50" spans="1:9">
      <c r="A50" s="42"/>
      <c r="B50" s="55" t="s">
        <v>463</v>
      </c>
      <c r="F50" s="6" t="s">
        <v>464</v>
      </c>
    </row>
    <row r="51" spans="1:9" s="68" customFormat="1" ht="24.75" customHeight="1">
      <c r="A51" s="3"/>
      <c r="B51" s="146" t="s">
        <v>465</v>
      </c>
      <c r="F51" s="2" t="s">
        <v>466</v>
      </c>
    </row>
    <row r="52" spans="1:9" ht="20.25" customHeight="1">
      <c r="A52" s="145" t="s">
        <v>467</v>
      </c>
      <c r="B52" s="43" t="s">
        <v>468</v>
      </c>
      <c r="F52" s="20" t="s">
        <v>469</v>
      </c>
    </row>
    <row r="53" spans="1:9" s="68" customFormat="1" ht="26.25" customHeight="1">
      <c r="B53" s="59" t="s">
        <v>470</v>
      </c>
      <c r="F53" s="103" t="s">
        <v>471</v>
      </c>
    </row>
    <row r="54" spans="1:9">
      <c r="A54" s="145" t="s">
        <v>33</v>
      </c>
      <c r="B54" s="55" t="s">
        <v>472</v>
      </c>
      <c r="F54" s="39" t="s">
        <v>473</v>
      </c>
    </row>
    <row r="55" spans="1:9">
      <c r="B55" s="42"/>
      <c r="C55" s="43"/>
      <c r="F55" s="6" t="s">
        <v>474</v>
      </c>
    </row>
    <row r="56" spans="1:9">
      <c r="B56" s="25"/>
      <c r="C56" s="25"/>
      <c r="F56" s="6" t="s">
        <v>475</v>
      </c>
    </row>
    <row r="57" spans="1:9">
      <c r="A57" s="40" t="s">
        <v>36</v>
      </c>
      <c r="B57" s="59" t="s">
        <v>147</v>
      </c>
      <c r="C57" s="56"/>
      <c r="D57" s="56"/>
      <c r="E57" s="6"/>
      <c r="F57" s="6"/>
      <c r="G57" s="6"/>
      <c r="H57" s="6"/>
      <c r="I57" s="6"/>
    </row>
    <row r="58" spans="1:9">
      <c r="A58" s="51"/>
      <c r="B58" s="43" t="s">
        <v>149</v>
      </c>
      <c r="D58" s="4"/>
      <c r="E58" s="2"/>
      <c r="F58" s="8" t="s">
        <v>476</v>
      </c>
      <c r="G58" s="6"/>
      <c r="H58" s="2"/>
      <c r="I58" s="2"/>
    </row>
    <row r="59" spans="1:9">
      <c r="A59" s="58"/>
      <c r="B59" s="3"/>
      <c r="C59" s="4"/>
      <c r="D59" s="4"/>
      <c r="E59" s="2"/>
      <c r="F59" s="8" t="s">
        <v>477</v>
      </c>
      <c r="G59" s="6"/>
      <c r="H59" s="2"/>
      <c r="I59" s="2"/>
    </row>
    <row r="60" spans="1:9">
      <c r="A60" s="58"/>
      <c r="B60" s="3"/>
      <c r="C60" s="4"/>
      <c r="D60" s="4"/>
      <c r="E60" s="2"/>
      <c r="F60" s="8" t="s">
        <v>478</v>
      </c>
      <c r="G60" s="2"/>
      <c r="H60" s="2"/>
      <c r="I60" s="2"/>
    </row>
    <row r="61" spans="1:9" s="20" customFormat="1">
      <c r="A61" s="40" t="s">
        <v>39</v>
      </c>
      <c r="B61" s="43" t="s">
        <v>479</v>
      </c>
    </row>
    <row r="62" spans="1:9" s="20" customFormat="1">
      <c r="A62" s="40"/>
      <c r="B62" s="25">
        <v>13.1</v>
      </c>
      <c r="C62" s="1" t="s">
        <v>480</v>
      </c>
      <c r="D62" s="1"/>
      <c r="E62" s="8"/>
      <c r="F62" s="20" t="s">
        <v>481</v>
      </c>
      <c r="G62" s="8"/>
      <c r="H62" s="8"/>
    </row>
    <row r="63" spans="1:9" s="20" customFormat="1">
      <c r="A63" s="40"/>
      <c r="B63" s="25"/>
      <c r="C63" s="1" t="s">
        <v>482</v>
      </c>
      <c r="D63" s="1"/>
      <c r="E63" s="8"/>
      <c r="F63" s="6" t="s">
        <v>483</v>
      </c>
      <c r="G63" s="8"/>
      <c r="H63" s="8"/>
    </row>
    <row r="64" spans="1:9" s="20" customFormat="1">
      <c r="A64" s="40"/>
      <c r="B64" s="25">
        <v>13.2</v>
      </c>
      <c r="C64" s="1" t="s">
        <v>484</v>
      </c>
      <c r="D64" s="1"/>
      <c r="E64" s="8"/>
      <c r="F64" s="8" t="s">
        <v>485</v>
      </c>
      <c r="G64" s="8"/>
      <c r="H64" s="8"/>
    </row>
    <row r="65" spans="1:20" s="20" customFormat="1">
      <c r="A65" s="40"/>
      <c r="B65" s="25"/>
      <c r="C65" s="1" t="s">
        <v>486</v>
      </c>
      <c r="D65" s="1"/>
      <c r="E65" s="8"/>
      <c r="F65" s="8" t="s">
        <v>487</v>
      </c>
      <c r="G65" s="8"/>
      <c r="H65" s="8"/>
    </row>
    <row r="66" spans="1:20" s="20" customFormat="1">
      <c r="A66" s="40"/>
      <c r="B66" s="25"/>
      <c r="C66" s="1"/>
      <c r="D66" s="1"/>
      <c r="E66" s="8"/>
      <c r="F66" s="8" t="s">
        <v>488</v>
      </c>
      <c r="G66" s="8"/>
      <c r="H66" s="8"/>
    </row>
    <row r="67" spans="1:20" s="20" customFormat="1">
      <c r="A67" s="40" t="s">
        <v>489</v>
      </c>
      <c r="B67" s="43" t="s">
        <v>490</v>
      </c>
    </row>
    <row r="68" spans="1:20" s="20" customFormat="1">
      <c r="A68" s="30"/>
      <c r="B68" s="25">
        <v>14.1</v>
      </c>
      <c r="C68" s="43" t="s">
        <v>491</v>
      </c>
      <c r="F68" s="8" t="s">
        <v>492</v>
      </c>
    </row>
    <row r="69" spans="1:20" s="20" customFormat="1">
      <c r="A69" s="30"/>
      <c r="B69" s="30"/>
      <c r="F69" s="8" t="s">
        <v>493</v>
      </c>
    </row>
    <row r="70" spans="1:20" s="20" customFormat="1">
      <c r="A70" s="30"/>
      <c r="B70" s="25"/>
      <c r="C70" s="1"/>
      <c r="F70" s="39" t="s">
        <v>494</v>
      </c>
    </row>
    <row r="71" spans="1:20" s="20" customFormat="1">
      <c r="A71" s="30"/>
      <c r="B71" s="30"/>
      <c r="C71" s="1"/>
      <c r="F71" s="6" t="s">
        <v>495</v>
      </c>
    </row>
    <row r="72" spans="1:20" s="20" customFormat="1">
      <c r="A72" s="30"/>
      <c r="B72" s="41">
        <v>14.2</v>
      </c>
      <c r="C72" s="43" t="s">
        <v>496</v>
      </c>
      <c r="O72" s="12"/>
      <c r="P72" s="5"/>
      <c r="Q72" s="6"/>
      <c r="R72" s="6"/>
      <c r="S72" s="6"/>
      <c r="T72" s="6"/>
    </row>
    <row r="73" spans="1:20" s="20" customFormat="1">
      <c r="A73" s="30"/>
      <c r="B73" s="30"/>
      <c r="C73" s="6" t="s">
        <v>497</v>
      </c>
      <c r="G73" s="6" t="s">
        <v>498</v>
      </c>
      <c r="O73" s="9"/>
      <c r="P73" s="5"/>
      <c r="Q73" s="6"/>
      <c r="R73" s="6"/>
      <c r="S73" s="6"/>
      <c r="T73" s="6"/>
    </row>
    <row r="74" spans="1:20" s="20" customFormat="1">
      <c r="A74" s="30"/>
      <c r="B74" s="30"/>
      <c r="C74" s="6"/>
      <c r="G74" s="6" t="s">
        <v>499</v>
      </c>
      <c r="O74" s="9"/>
      <c r="P74" s="5"/>
      <c r="Q74" s="6"/>
      <c r="R74" s="6"/>
      <c r="S74" s="6"/>
      <c r="T74" s="6"/>
    </row>
    <row r="75" spans="1:20" s="20" customFormat="1">
      <c r="A75" s="30"/>
      <c r="B75" s="30"/>
      <c r="C75" s="6" t="s">
        <v>500</v>
      </c>
      <c r="G75" s="6" t="s">
        <v>501</v>
      </c>
      <c r="O75" s="9"/>
      <c r="R75" s="6"/>
      <c r="S75" s="6"/>
      <c r="T75" s="6"/>
    </row>
    <row r="76" spans="1:20">
      <c r="C76" s="6"/>
      <c r="G76" s="6" t="s">
        <v>502</v>
      </c>
      <c r="O76" s="9"/>
      <c r="R76" s="6"/>
      <c r="S76" s="6"/>
      <c r="T76" s="6"/>
    </row>
    <row r="77" spans="1:20">
      <c r="C77" s="6"/>
      <c r="G77" s="6" t="s">
        <v>503</v>
      </c>
      <c r="O77" s="9"/>
      <c r="R77" s="6"/>
      <c r="S77" s="6"/>
      <c r="T77" s="6"/>
    </row>
    <row r="78" spans="1:20">
      <c r="C78" s="6"/>
      <c r="G78" s="6" t="s">
        <v>15</v>
      </c>
      <c r="O78" s="9"/>
      <c r="R78" s="6"/>
      <c r="S78" s="6"/>
      <c r="T78" s="6"/>
    </row>
    <row r="79" spans="1:20">
      <c r="C79" s="6" t="s">
        <v>504</v>
      </c>
      <c r="G79" s="6" t="s">
        <v>505</v>
      </c>
      <c r="O79" s="9"/>
      <c r="R79" s="6"/>
      <c r="S79" s="6"/>
      <c r="T79" s="6"/>
    </row>
    <row r="80" spans="1:20">
      <c r="C80" s="6"/>
      <c r="G80" s="6" t="s">
        <v>506</v>
      </c>
      <c r="O80" s="9"/>
      <c r="R80" s="6"/>
      <c r="S80" s="6"/>
      <c r="T80" s="6"/>
    </row>
    <row r="81" spans="1:20">
      <c r="C81" s="6" t="s">
        <v>507</v>
      </c>
      <c r="G81" s="6" t="s">
        <v>508</v>
      </c>
      <c r="O81" s="9"/>
      <c r="R81" s="6"/>
      <c r="S81" s="6"/>
      <c r="T81" s="6"/>
    </row>
    <row r="82" spans="1:20">
      <c r="C82" s="6" t="s">
        <v>509</v>
      </c>
      <c r="G82" s="6" t="s">
        <v>508</v>
      </c>
      <c r="O82" s="9"/>
      <c r="R82" s="6"/>
      <c r="S82" s="6"/>
      <c r="T82" s="6"/>
    </row>
    <row r="83" spans="1:20">
      <c r="C83" s="6" t="s">
        <v>510</v>
      </c>
      <c r="G83" s="6" t="s">
        <v>511</v>
      </c>
      <c r="O83" s="9"/>
      <c r="R83" s="6"/>
      <c r="S83" s="6"/>
      <c r="T83" s="6"/>
    </row>
    <row r="84" spans="1:20">
      <c r="C84" s="6" t="s">
        <v>512</v>
      </c>
      <c r="G84" s="6" t="s">
        <v>511</v>
      </c>
      <c r="O84" s="9"/>
      <c r="R84" s="6"/>
      <c r="S84" s="6"/>
      <c r="T84" s="6"/>
    </row>
    <row r="85" spans="1:20">
      <c r="A85" s="58"/>
      <c r="B85" s="3"/>
      <c r="C85" s="4"/>
      <c r="D85" s="4"/>
      <c r="E85" s="103"/>
      <c r="F85" s="2"/>
      <c r="G85" s="2"/>
      <c r="H85" s="2"/>
      <c r="I85" s="2"/>
    </row>
    <row r="86" spans="1:20">
      <c r="A86" s="11" t="s">
        <v>513</v>
      </c>
      <c r="B86" s="144" t="s">
        <v>514</v>
      </c>
      <c r="F86" s="20" t="s">
        <v>515</v>
      </c>
    </row>
    <row r="87" spans="1:20">
      <c r="A87" s="6"/>
      <c r="B87" s="43" t="s">
        <v>516</v>
      </c>
      <c r="F87" s="20" t="s">
        <v>517</v>
      </c>
    </row>
    <row r="88" spans="1:20">
      <c r="B88" s="43" t="s">
        <v>518</v>
      </c>
      <c r="F88" s="20" t="s">
        <v>519</v>
      </c>
    </row>
    <row r="89" spans="1:20">
      <c r="B89" s="144" t="s">
        <v>520</v>
      </c>
    </row>
  </sheetData>
  <mergeCells count="2">
    <mergeCell ref="A1:L1"/>
    <mergeCell ref="A2:L2"/>
  </mergeCells>
  <pageMargins left="0.27559055118110198" right="0.39370078740157499" top="0.39370078740157499" bottom="0.196850393700787" header="0.511811023622047" footer="0.511811023622047"/>
  <pageSetup paperSize="9" scale="90" orientation="portrait" r:id="rId1"/>
  <rowBreaks count="2" manualBreakCount="2">
    <brk id="40" max="11" man="1"/>
    <brk id="66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92D050"/>
  </sheetPr>
  <dimension ref="A1:H33"/>
  <sheetViews>
    <sheetView showGridLines="0" view="pageBreakPreview" topLeftCell="A6" zoomScale="145" zoomScaleNormal="100" zoomScaleSheetLayoutView="145" workbookViewId="0">
      <selection activeCell="E38" sqref="E38"/>
    </sheetView>
  </sheetViews>
  <sheetFormatPr defaultColWidth="9.140625" defaultRowHeight="21"/>
  <cols>
    <col min="1" max="1" width="6.140625" style="6" customWidth="1"/>
    <col min="2" max="2" width="29.140625" style="6" bestFit="1" customWidth="1"/>
    <col min="3" max="3" width="12" style="6" customWidth="1"/>
    <col min="4" max="4" width="15.28515625" style="6" bestFit="1" customWidth="1"/>
    <col min="5" max="7" width="12" style="6" customWidth="1"/>
    <col min="8" max="8" width="13.140625" style="6" customWidth="1"/>
    <col min="9" max="16384" width="9.140625" style="6"/>
  </cols>
  <sheetData>
    <row r="1" spans="1:8">
      <c r="G1" s="13"/>
      <c r="H1" s="13" t="s">
        <v>9</v>
      </c>
    </row>
    <row r="2" spans="1:8" ht="29.25" customHeight="1">
      <c r="A2" s="701" t="s">
        <v>521</v>
      </c>
      <c r="B2" s="701"/>
      <c r="C2" s="701"/>
      <c r="D2" s="701"/>
      <c r="E2" s="701"/>
      <c r="F2" s="701"/>
      <c r="G2" s="701"/>
      <c r="H2" s="701"/>
    </row>
    <row r="3" spans="1:8" ht="26.25">
      <c r="A3" s="701" t="s">
        <v>254</v>
      </c>
      <c r="B3" s="701"/>
      <c r="C3" s="701"/>
      <c r="D3" s="701"/>
      <c r="E3" s="701"/>
      <c r="F3" s="701"/>
      <c r="G3" s="701"/>
      <c r="H3" s="701"/>
    </row>
    <row r="4" spans="1:8" ht="26.25">
      <c r="A4" s="701" t="s">
        <v>522</v>
      </c>
      <c r="B4" s="701"/>
      <c r="C4" s="701"/>
      <c r="D4" s="701"/>
      <c r="E4" s="701"/>
      <c r="F4" s="701"/>
      <c r="G4" s="701"/>
      <c r="H4" s="701"/>
    </row>
    <row r="5" spans="1:8">
      <c r="A5" s="5" t="s">
        <v>523</v>
      </c>
    </row>
    <row r="6" spans="1:8">
      <c r="A6" s="5" t="s">
        <v>524</v>
      </c>
      <c r="D6" s="5"/>
      <c r="E6" s="5"/>
    </row>
    <row r="7" spans="1:8">
      <c r="A7" s="5" t="s">
        <v>525</v>
      </c>
      <c r="D7" s="5"/>
      <c r="E7" s="5"/>
    </row>
    <row r="8" spans="1:8">
      <c r="G8" s="10"/>
      <c r="H8" s="13" t="s">
        <v>55</v>
      </c>
    </row>
    <row r="9" spans="1:8" ht="26.25" customHeight="1">
      <c r="A9" s="556"/>
      <c r="B9" s="556"/>
      <c r="C9" s="636" t="s">
        <v>526</v>
      </c>
      <c r="D9" s="637"/>
      <c r="E9" s="638"/>
      <c r="F9" s="636" t="s">
        <v>527</v>
      </c>
      <c r="G9" s="637"/>
      <c r="H9" s="638"/>
    </row>
    <row r="10" spans="1:8" ht="24.95" customHeight="1">
      <c r="A10" s="46" t="s">
        <v>56</v>
      </c>
      <c r="B10" s="26" t="s">
        <v>528</v>
      </c>
      <c r="C10" s="540" t="s">
        <v>119</v>
      </c>
      <c r="D10" s="541" t="s">
        <v>529</v>
      </c>
      <c r="E10" s="541" t="s">
        <v>530</v>
      </c>
      <c r="F10" s="540" t="s">
        <v>119</v>
      </c>
      <c r="G10" s="541" t="s">
        <v>529</v>
      </c>
      <c r="H10" s="541" t="s">
        <v>530</v>
      </c>
    </row>
    <row r="11" spans="1:8" ht="24.95" customHeight="1">
      <c r="A11" s="14"/>
      <c r="B11" s="27"/>
      <c r="C11" s="27" t="s">
        <v>531</v>
      </c>
      <c r="D11" s="14" t="s">
        <v>532</v>
      </c>
      <c r="E11" s="14" t="s">
        <v>533</v>
      </c>
      <c r="F11" s="27" t="s">
        <v>534</v>
      </c>
      <c r="G11" s="14" t="s">
        <v>532</v>
      </c>
      <c r="H11" s="14" t="s">
        <v>533</v>
      </c>
    </row>
    <row r="12" spans="1:8">
      <c r="A12" s="246">
        <v>1</v>
      </c>
      <c r="B12" s="247" t="s">
        <v>535</v>
      </c>
      <c r="C12" s="557" t="s">
        <v>536</v>
      </c>
      <c r="D12" s="379">
        <v>10000000</v>
      </c>
      <c r="E12" s="558" t="s">
        <v>537</v>
      </c>
      <c r="F12" s="556"/>
      <c r="G12" s="15"/>
      <c r="H12" s="15"/>
    </row>
    <row r="13" spans="1:8" ht="23.45" customHeight="1">
      <c r="A13" s="246">
        <v>2</v>
      </c>
      <c r="B13" s="424" t="s">
        <v>538</v>
      </c>
      <c r="C13" s="246" t="s">
        <v>536</v>
      </c>
      <c r="D13" s="379">
        <v>30000000</v>
      </c>
      <c r="E13" s="248" t="s">
        <v>537</v>
      </c>
      <c r="F13" s="67"/>
      <c r="G13" s="67"/>
      <c r="H13" s="67"/>
    </row>
    <row r="14" spans="1:8">
      <c r="A14" s="246">
        <v>3</v>
      </c>
      <c r="B14" s="247" t="s">
        <v>539</v>
      </c>
      <c r="C14" s="246" t="s">
        <v>536</v>
      </c>
      <c r="D14" s="379">
        <v>14500000</v>
      </c>
      <c r="E14" s="248" t="s">
        <v>537</v>
      </c>
      <c r="F14" s="15"/>
      <c r="G14" s="15"/>
      <c r="H14" s="15"/>
    </row>
    <row r="15" spans="1:8">
      <c r="A15" s="246">
        <v>4</v>
      </c>
      <c r="B15" s="249" t="s">
        <v>540</v>
      </c>
      <c r="C15" s="246" t="s">
        <v>536</v>
      </c>
      <c r="D15" s="380">
        <v>5000000</v>
      </c>
      <c r="E15" s="68" t="s">
        <v>537</v>
      </c>
      <c r="F15" s="15"/>
      <c r="G15" s="15"/>
      <c r="H15" s="15"/>
    </row>
    <row r="16" spans="1:8">
      <c r="A16" s="246">
        <v>5</v>
      </c>
      <c r="B16" s="249" t="s">
        <v>541</v>
      </c>
      <c r="C16" s="246" t="s">
        <v>536</v>
      </c>
      <c r="D16" s="380">
        <v>9500000</v>
      </c>
      <c r="E16" s="68" t="s">
        <v>537</v>
      </c>
      <c r="F16" s="15"/>
      <c r="G16" s="15"/>
      <c r="H16" s="15"/>
    </row>
    <row r="17" spans="1:8">
      <c r="A17" s="246">
        <v>6</v>
      </c>
      <c r="B17" s="249" t="s">
        <v>542</v>
      </c>
      <c r="C17" s="246" t="s">
        <v>536</v>
      </c>
      <c r="D17" s="380">
        <v>9500000</v>
      </c>
      <c r="E17" s="68" t="s">
        <v>537</v>
      </c>
      <c r="F17" s="15"/>
      <c r="G17" s="15"/>
      <c r="H17" s="15"/>
    </row>
    <row r="18" spans="1:8" ht="42">
      <c r="A18" s="246">
        <v>7</v>
      </c>
      <c r="B18" s="249" t="s">
        <v>543</v>
      </c>
      <c r="C18" s="246" t="s">
        <v>544</v>
      </c>
      <c r="D18" s="380">
        <v>1500000</v>
      </c>
      <c r="E18" s="105" t="s">
        <v>545</v>
      </c>
      <c r="F18" s="15"/>
      <c r="G18" s="15"/>
      <c r="H18" s="15"/>
    </row>
    <row r="19" spans="1:8">
      <c r="A19" s="246">
        <v>8</v>
      </c>
      <c r="B19" s="249" t="s">
        <v>546</v>
      </c>
      <c r="C19" s="246" t="s">
        <v>536</v>
      </c>
      <c r="D19" s="380">
        <v>4000000</v>
      </c>
      <c r="E19" s="68" t="s">
        <v>537</v>
      </c>
      <c r="F19" s="15"/>
      <c r="G19" s="15"/>
      <c r="H19" s="15"/>
    </row>
    <row r="20" spans="1:8">
      <c r="A20" s="246">
        <v>9</v>
      </c>
      <c r="B20" s="249" t="s">
        <v>547</v>
      </c>
      <c r="C20" s="246" t="s">
        <v>536</v>
      </c>
      <c r="D20" s="380">
        <v>6000000</v>
      </c>
      <c r="E20" s="68" t="s">
        <v>537</v>
      </c>
      <c r="F20" s="15"/>
      <c r="G20" s="15"/>
      <c r="H20" s="15"/>
    </row>
    <row r="21" spans="1:8">
      <c r="A21" s="246">
        <v>10</v>
      </c>
      <c r="B21" s="249" t="s">
        <v>548</v>
      </c>
      <c r="C21" s="246" t="s">
        <v>536</v>
      </c>
      <c r="D21" s="380">
        <v>5000000</v>
      </c>
      <c r="E21" s="68" t="s">
        <v>537</v>
      </c>
      <c r="F21" s="15"/>
      <c r="G21" s="15"/>
      <c r="H21" s="15"/>
    </row>
    <row r="22" spans="1:8">
      <c r="A22" s="246">
        <v>11</v>
      </c>
      <c r="B22" s="249" t="s">
        <v>549</v>
      </c>
      <c r="C22" s="246" t="s">
        <v>536</v>
      </c>
      <c r="D22" s="380">
        <v>4000000</v>
      </c>
      <c r="E22" s="68" t="s">
        <v>537</v>
      </c>
      <c r="F22" s="15"/>
      <c r="G22" s="15"/>
      <c r="H22" s="15"/>
    </row>
    <row r="23" spans="1:8">
      <c r="A23" s="246">
        <v>12</v>
      </c>
      <c r="B23" s="249" t="s">
        <v>550</v>
      </c>
      <c r="C23" s="246" t="s">
        <v>536</v>
      </c>
      <c r="D23" s="380">
        <v>5500000</v>
      </c>
      <c r="E23" s="68" t="s">
        <v>537</v>
      </c>
      <c r="F23" s="15"/>
      <c r="G23" s="15"/>
      <c r="H23" s="15"/>
    </row>
    <row r="24" spans="1:8">
      <c r="A24" s="246">
        <v>13</v>
      </c>
      <c r="B24" s="249" t="s">
        <v>551</v>
      </c>
      <c r="C24" s="246" t="s">
        <v>536</v>
      </c>
      <c r="D24" s="380">
        <v>8000000</v>
      </c>
      <c r="E24" s="68" t="s">
        <v>537</v>
      </c>
      <c r="F24" s="15"/>
      <c r="G24" s="15"/>
      <c r="H24" s="15"/>
    </row>
    <row r="25" spans="1:8">
      <c r="A25" s="246">
        <v>14</v>
      </c>
      <c r="B25" s="249" t="s">
        <v>552</v>
      </c>
      <c r="C25" s="246" t="s">
        <v>536</v>
      </c>
      <c r="D25" s="380">
        <v>7500000</v>
      </c>
      <c r="E25" s="68" t="s">
        <v>537</v>
      </c>
      <c r="F25" s="15"/>
      <c r="G25" s="15"/>
      <c r="H25" s="15"/>
    </row>
    <row r="26" spans="1:8">
      <c r="A26" s="246">
        <v>15</v>
      </c>
      <c r="B26" s="249" t="s">
        <v>553</v>
      </c>
      <c r="C26" s="246" t="s">
        <v>536</v>
      </c>
      <c r="D26" s="380">
        <v>3300000</v>
      </c>
      <c r="E26" s="68" t="s">
        <v>537</v>
      </c>
      <c r="F26" s="15"/>
      <c r="G26" s="15"/>
      <c r="H26" s="15"/>
    </row>
    <row r="27" spans="1:8">
      <c r="A27" s="246">
        <v>16</v>
      </c>
      <c r="B27" s="249" t="s">
        <v>554</v>
      </c>
      <c r="C27" s="246" t="s">
        <v>536</v>
      </c>
      <c r="D27" s="380">
        <v>6000000</v>
      </c>
      <c r="E27" s="68" t="s">
        <v>537</v>
      </c>
      <c r="F27" s="15"/>
      <c r="G27" s="15"/>
      <c r="H27" s="15"/>
    </row>
    <row r="28" spans="1:8">
      <c r="A28" s="246">
        <v>17</v>
      </c>
      <c r="B28" s="249" t="s">
        <v>555</v>
      </c>
      <c r="C28" s="246" t="s">
        <v>536</v>
      </c>
      <c r="D28" s="380">
        <v>3300000</v>
      </c>
      <c r="E28" s="68" t="s">
        <v>537</v>
      </c>
      <c r="F28" s="15"/>
      <c r="G28" s="15"/>
      <c r="H28" s="15"/>
    </row>
    <row r="29" spans="1:8">
      <c r="A29" s="246">
        <v>18</v>
      </c>
      <c r="B29" s="249" t="s">
        <v>556</v>
      </c>
      <c r="C29" s="246" t="s">
        <v>536</v>
      </c>
      <c r="D29" s="380">
        <v>3300000</v>
      </c>
      <c r="E29" s="68" t="s">
        <v>537</v>
      </c>
      <c r="F29" s="15"/>
      <c r="G29" s="15"/>
      <c r="H29" s="15"/>
    </row>
    <row r="30" spans="1:8">
      <c r="A30" s="246">
        <v>19</v>
      </c>
      <c r="B30" s="249" t="s">
        <v>557</v>
      </c>
      <c r="C30" s="246" t="s">
        <v>536</v>
      </c>
      <c r="D30" s="380">
        <v>5700000</v>
      </c>
      <c r="E30" s="68" t="s">
        <v>537</v>
      </c>
      <c r="F30" s="15"/>
      <c r="G30" s="15"/>
      <c r="H30" s="15"/>
    </row>
    <row r="31" spans="1:8">
      <c r="A31" s="246">
        <v>20</v>
      </c>
      <c r="B31" s="249" t="s">
        <v>558</v>
      </c>
      <c r="C31" s="246" t="s">
        <v>536</v>
      </c>
      <c r="D31" s="380">
        <v>4500000</v>
      </c>
      <c r="E31" s="68" t="s">
        <v>537</v>
      </c>
      <c r="F31" s="15"/>
      <c r="G31" s="15"/>
      <c r="H31" s="15"/>
    </row>
    <row r="32" spans="1:8">
      <c r="A32" s="246">
        <v>21</v>
      </c>
      <c r="B32" s="249" t="s">
        <v>559</v>
      </c>
      <c r="C32" s="251" t="s">
        <v>536</v>
      </c>
      <c r="D32" s="380">
        <v>3600000</v>
      </c>
      <c r="E32" s="68" t="s">
        <v>537</v>
      </c>
      <c r="F32" s="15"/>
      <c r="G32" s="15"/>
      <c r="H32" s="31"/>
    </row>
    <row r="33" spans="1:7">
      <c r="A33" s="549"/>
      <c r="B33" s="549"/>
      <c r="C33" s="549"/>
      <c r="D33" s="549"/>
      <c r="E33" s="549"/>
      <c r="F33" s="549"/>
      <c r="G33" s="549"/>
    </row>
  </sheetData>
  <mergeCells count="5">
    <mergeCell ref="C9:E9"/>
    <mergeCell ref="F9:H9"/>
    <mergeCell ref="A2:H2"/>
    <mergeCell ref="A3:H3"/>
    <mergeCell ref="A4:H4"/>
  </mergeCells>
  <phoneticPr fontId="0" type="noConversion"/>
  <printOptions horizontalCentered="1"/>
  <pageMargins left="0.11811023622047245" right="0.11811023622047245" top="0.59055118110236227" bottom="0.59055118110236227" header="0.51181102362204722" footer="0.51181102362204722"/>
  <pageSetup paperSize="9" scale="9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386C-1FD5-4A2C-A477-43D539A93DE6}">
  <sheetPr codeName="Sheet19">
    <tabColor rgb="FF92D050"/>
  </sheetPr>
  <dimension ref="A1:H33"/>
  <sheetViews>
    <sheetView showGridLines="0" view="pageBreakPreview" zoomScale="160" zoomScaleNormal="100" zoomScaleSheetLayoutView="160" workbookViewId="0">
      <selection activeCell="H20" sqref="H20"/>
    </sheetView>
  </sheetViews>
  <sheetFormatPr defaultColWidth="9.140625" defaultRowHeight="21"/>
  <cols>
    <col min="1" max="1" width="6.140625" style="6" customWidth="1"/>
    <col min="2" max="2" width="31.5703125" style="6" bestFit="1" customWidth="1"/>
    <col min="3" max="3" width="12" style="6" customWidth="1"/>
    <col min="4" max="4" width="15.28515625" style="6" bestFit="1" customWidth="1"/>
    <col min="5" max="7" width="12" style="6" customWidth="1"/>
    <col min="8" max="8" width="13.140625" style="6" customWidth="1"/>
    <col min="9" max="16384" width="9.140625" style="6"/>
  </cols>
  <sheetData>
    <row r="1" spans="1:8">
      <c r="G1" s="13"/>
      <c r="H1" s="13" t="s">
        <v>9</v>
      </c>
    </row>
    <row r="2" spans="1:8" ht="29.25" customHeight="1">
      <c r="A2" s="701" t="s">
        <v>521</v>
      </c>
      <c r="B2" s="701"/>
      <c r="C2" s="701"/>
      <c r="D2" s="701"/>
      <c r="E2" s="701"/>
      <c r="F2" s="701"/>
      <c r="G2" s="701"/>
      <c r="H2" s="701"/>
    </row>
    <row r="3" spans="1:8" ht="26.25">
      <c r="A3" s="701" t="s">
        <v>254</v>
      </c>
      <c r="B3" s="701"/>
      <c r="C3" s="701"/>
      <c r="D3" s="701"/>
      <c r="E3" s="701"/>
      <c r="F3" s="701"/>
      <c r="G3" s="701"/>
      <c r="H3" s="701"/>
    </row>
    <row r="4" spans="1:8" ht="26.25">
      <c r="A4" s="701" t="s">
        <v>522</v>
      </c>
      <c r="B4" s="701"/>
      <c r="C4" s="701"/>
      <c r="D4" s="701"/>
      <c r="E4" s="701"/>
      <c r="F4" s="701"/>
      <c r="G4" s="701"/>
      <c r="H4" s="701"/>
    </row>
    <row r="5" spans="1:8">
      <c r="A5" s="5" t="s">
        <v>523</v>
      </c>
    </row>
    <row r="6" spans="1:8">
      <c r="A6" s="5" t="s">
        <v>524</v>
      </c>
      <c r="D6" s="5"/>
      <c r="E6" s="5"/>
    </row>
    <row r="7" spans="1:8">
      <c r="A7" s="5" t="s">
        <v>525</v>
      </c>
      <c r="D7" s="5"/>
      <c r="E7" s="5"/>
    </row>
    <row r="8" spans="1:8">
      <c r="G8" s="10"/>
      <c r="H8" s="13" t="s">
        <v>55</v>
      </c>
    </row>
    <row r="9" spans="1:8" ht="26.25" customHeight="1">
      <c r="A9" s="556"/>
      <c r="B9" s="556"/>
      <c r="C9" s="636" t="s">
        <v>526</v>
      </c>
      <c r="D9" s="637"/>
      <c r="E9" s="638"/>
      <c r="F9" s="636" t="s">
        <v>527</v>
      </c>
      <c r="G9" s="637"/>
      <c r="H9" s="638"/>
    </row>
    <row r="10" spans="1:8" ht="24.95" customHeight="1">
      <c r="A10" s="46" t="s">
        <v>56</v>
      </c>
      <c r="B10" s="26" t="s">
        <v>528</v>
      </c>
      <c r="C10" s="540" t="s">
        <v>119</v>
      </c>
      <c r="D10" s="541" t="s">
        <v>529</v>
      </c>
      <c r="E10" s="541" t="s">
        <v>530</v>
      </c>
      <c r="F10" s="540" t="s">
        <v>119</v>
      </c>
      <c r="G10" s="541" t="s">
        <v>529</v>
      </c>
      <c r="H10" s="541" t="s">
        <v>530</v>
      </c>
    </row>
    <row r="11" spans="1:8" ht="24.95" customHeight="1">
      <c r="A11" s="14"/>
      <c r="B11" s="27"/>
      <c r="C11" s="27" t="s">
        <v>531</v>
      </c>
      <c r="D11" s="14" t="s">
        <v>532</v>
      </c>
      <c r="E11" s="14" t="s">
        <v>533</v>
      </c>
      <c r="F11" s="27" t="s">
        <v>534</v>
      </c>
      <c r="G11" s="14" t="s">
        <v>532</v>
      </c>
      <c r="H11" s="14" t="s">
        <v>533</v>
      </c>
    </row>
    <row r="12" spans="1:8">
      <c r="A12" s="246">
        <v>22</v>
      </c>
      <c r="B12" s="247" t="s">
        <v>560</v>
      </c>
      <c r="C12" s="557" t="s">
        <v>536</v>
      </c>
      <c r="D12" s="379">
        <v>6000000</v>
      </c>
      <c r="E12" s="558" t="s">
        <v>537</v>
      </c>
      <c r="F12" s="556"/>
      <c r="G12" s="15"/>
      <c r="H12" s="15"/>
    </row>
    <row r="13" spans="1:8" ht="23.45" customHeight="1">
      <c r="A13" s="246">
        <v>23</v>
      </c>
      <c r="B13" s="103" t="s">
        <v>561</v>
      </c>
      <c r="C13" s="246" t="s">
        <v>536</v>
      </c>
      <c r="D13" s="379">
        <v>6900000</v>
      </c>
      <c r="E13" s="248" t="s">
        <v>537</v>
      </c>
      <c r="F13" s="67"/>
      <c r="G13" s="67"/>
      <c r="H13" s="67"/>
    </row>
    <row r="14" spans="1:8">
      <c r="A14" s="246">
        <v>24</v>
      </c>
      <c r="B14" s="247" t="s">
        <v>562</v>
      </c>
      <c r="C14" s="246" t="s">
        <v>536</v>
      </c>
      <c r="D14" s="379">
        <v>7500000</v>
      </c>
      <c r="E14" s="248" t="s">
        <v>537</v>
      </c>
      <c r="F14" s="15"/>
      <c r="G14" s="15"/>
      <c r="H14" s="15"/>
    </row>
    <row r="15" spans="1:8">
      <c r="A15" s="246">
        <v>25</v>
      </c>
      <c r="B15" s="247" t="s">
        <v>563</v>
      </c>
      <c r="C15" s="246" t="s">
        <v>536</v>
      </c>
      <c r="D15" s="380">
        <v>7500000</v>
      </c>
      <c r="E15" s="68" t="s">
        <v>537</v>
      </c>
      <c r="F15" s="15"/>
      <c r="G15" s="15"/>
      <c r="H15" s="15"/>
    </row>
    <row r="16" spans="1:8">
      <c r="A16" s="246">
        <v>26</v>
      </c>
      <c r="B16" s="247" t="s">
        <v>564</v>
      </c>
      <c r="C16" s="246" t="s">
        <v>536</v>
      </c>
      <c r="D16" s="380">
        <v>7500000</v>
      </c>
      <c r="E16" s="68" t="s">
        <v>537</v>
      </c>
      <c r="F16" s="15"/>
      <c r="G16" s="15"/>
      <c r="H16" s="15"/>
    </row>
    <row r="17" spans="1:8">
      <c r="A17" s="246">
        <v>27</v>
      </c>
      <c r="B17" s="247" t="s">
        <v>565</v>
      </c>
      <c r="C17" s="246" t="s">
        <v>536</v>
      </c>
      <c r="D17" s="380">
        <v>7500000</v>
      </c>
      <c r="E17" s="68" t="s">
        <v>537</v>
      </c>
      <c r="F17" s="15"/>
      <c r="G17" s="15"/>
      <c r="H17" s="15"/>
    </row>
    <row r="18" spans="1:8">
      <c r="A18" s="246">
        <v>28</v>
      </c>
      <c r="B18" s="247" t="s">
        <v>566</v>
      </c>
      <c r="C18" s="246" t="s">
        <v>536</v>
      </c>
      <c r="D18" s="380">
        <v>7500000</v>
      </c>
      <c r="E18" s="68" t="s">
        <v>537</v>
      </c>
      <c r="F18" s="15"/>
      <c r="G18" s="15"/>
      <c r="H18" s="15"/>
    </row>
    <row r="19" spans="1:8">
      <c r="A19" s="246">
        <v>29</v>
      </c>
      <c r="B19" s="247" t="s">
        <v>567</v>
      </c>
      <c r="C19" s="246" t="s">
        <v>536</v>
      </c>
      <c r="D19" s="380">
        <v>7500000</v>
      </c>
      <c r="E19" s="68" t="s">
        <v>537</v>
      </c>
      <c r="F19" s="15"/>
      <c r="G19" s="15"/>
      <c r="H19" s="15"/>
    </row>
    <row r="20" spans="1:8">
      <c r="A20" s="246">
        <v>30</v>
      </c>
      <c r="B20" s="249" t="s">
        <v>568</v>
      </c>
      <c r="C20" s="246" t="s">
        <v>536</v>
      </c>
      <c r="D20" s="380">
        <v>6000000</v>
      </c>
      <c r="E20" s="68" t="s">
        <v>537</v>
      </c>
      <c r="F20" s="15"/>
      <c r="G20" s="15"/>
      <c r="H20" s="15"/>
    </row>
    <row r="21" spans="1:8">
      <c r="A21" s="246">
        <v>31</v>
      </c>
      <c r="B21" s="249" t="s">
        <v>569</v>
      </c>
      <c r="C21" s="246" t="s">
        <v>536</v>
      </c>
      <c r="D21" s="380">
        <v>6000000</v>
      </c>
      <c r="E21" s="68" t="s">
        <v>537</v>
      </c>
      <c r="F21" s="15"/>
      <c r="G21" s="15"/>
      <c r="H21" s="15"/>
    </row>
    <row r="22" spans="1:8">
      <c r="A22" s="246">
        <v>32</v>
      </c>
      <c r="B22" s="249" t="s">
        <v>570</v>
      </c>
      <c r="C22" s="246" t="s">
        <v>536</v>
      </c>
      <c r="D22" s="380">
        <v>5400000</v>
      </c>
      <c r="E22" s="68" t="s">
        <v>537</v>
      </c>
      <c r="F22" s="15"/>
      <c r="G22" s="15"/>
      <c r="H22" s="15"/>
    </row>
    <row r="23" spans="1:8">
      <c r="A23" s="246">
        <v>33</v>
      </c>
      <c r="B23" s="249" t="s">
        <v>571</v>
      </c>
      <c r="C23" s="246" t="s">
        <v>536</v>
      </c>
      <c r="D23" s="380">
        <v>3600000</v>
      </c>
      <c r="E23" s="68" t="s">
        <v>537</v>
      </c>
      <c r="F23" s="15"/>
      <c r="G23" s="15"/>
      <c r="H23" s="15"/>
    </row>
    <row r="24" spans="1:8">
      <c r="A24" s="246">
        <v>34</v>
      </c>
      <c r="B24" s="249" t="s">
        <v>572</v>
      </c>
      <c r="C24" s="246" t="s">
        <v>536</v>
      </c>
      <c r="D24" s="380">
        <v>6000000</v>
      </c>
      <c r="E24" s="68" t="s">
        <v>537</v>
      </c>
      <c r="F24" s="15"/>
      <c r="G24" s="15"/>
      <c r="H24" s="15"/>
    </row>
    <row r="25" spans="1:8">
      <c r="A25" s="246">
        <v>35</v>
      </c>
      <c r="B25" s="249" t="s">
        <v>573</v>
      </c>
      <c r="C25" s="246" t="s">
        <v>536</v>
      </c>
      <c r="D25" s="380">
        <v>4500000</v>
      </c>
      <c r="E25" s="68" t="s">
        <v>537</v>
      </c>
      <c r="F25" s="15"/>
      <c r="G25" s="15"/>
      <c r="H25" s="15"/>
    </row>
    <row r="26" spans="1:8">
      <c r="A26" s="246">
        <v>36</v>
      </c>
      <c r="B26" s="249" t="s">
        <v>574</v>
      </c>
      <c r="C26" s="246" t="s">
        <v>536</v>
      </c>
      <c r="D26" s="380">
        <v>1500000</v>
      </c>
      <c r="E26" s="68" t="s">
        <v>537</v>
      </c>
      <c r="F26" s="15"/>
      <c r="G26" s="15"/>
      <c r="H26" s="15"/>
    </row>
    <row r="27" spans="1:8">
      <c r="A27" s="246">
        <v>37</v>
      </c>
      <c r="B27" s="249" t="s">
        <v>575</v>
      </c>
      <c r="C27" s="246" t="s">
        <v>536</v>
      </c>
      <c r="D27" s="380">
        <v>6000000</v>
      </c>
      <c r="E27" s="68" t="s">
        <v>537</v>
      </c>
      <c r="F27" s="15"/>
      <c r="G27" s="15"/>
      <c r="H27" s="15"/>
    </row>
    <row r="28" spans="1:8">
      <c r="A28" s="246">
        <v>38</v>
      </c>
      <c r="B28" s="249" t="s">
        <v>576</v>
      </c>
      <c r="C28" s="246" t="s">
        <v>536</v>
      </c>
      <c r="D28" s="380">
        <v>1200000</v>
      </c>
      <c r="E28" s="68" t="s">
        <v>537</v>
      </c>
      <c r="F28" s="15"/>
      <c r="G28" s="15"/>
      <c r="H28" s="15"/>
    </row>
    <row r="29" spans="1:8">
      <c r="A29" s="246">
        <v>39</v>
      </c>
      <c r="B29" s="249" t="s">
        <v>577</v>
      </c>
      <c r="C29" s="246" t="s">
        <v>536</v>
      </c>
      <c r="D29" s="380">
        <v>3400000</v>
      </c>
      <c r="E29" s="68" t="s">
        <v>537</v>
      </c>
      <c r="F29" s="15"/>
      <c r="G29" s="15"/>
      <c r="H29" s="15"/>
    </row>
    <row r="30" spans="1:8">
      <c r="A30" s="246">
        <v>40</v>
      </c>
      <c r="B30" s="249" t="s">
        <v>578</v>
      </c>
      <c r="C30" s="246" t="s">
        <v>536</v>
      </c>
      <c r="D30" s="380">
        <v>8400000</v>
      </c>
      <c r="E30" s="68" t="s">
        <v>537</v>
      </c>
      <c r="F30" s="15"/>
      <c r="G30" s="15"/>
      <c r="H30" s="15"/>
    </row>
    <row r="31" spans="1:8">
      <c r="A31" s="246">
        <v>41</v>
      </c>
      <c r="B31" s="249" t="s">
        <v>579</v>
      </c>
      <c r="C31" s="246" t="s">
        <v>536</v>
      </c>
      <c r="D31" s="380">
        <v>10200000</v>
      </c>
      <c r="E31" s="68" t="s">
        <v>537</v>
      </c>
      <c r="F31" s="15"/>
      <c r="G31" s="15"/>
      <c r="H31" s="15"/>
    </row>
    <row r="32" spans="1:8">
      <c r="A32" s="246">
        <v>42</v>
      </c>
      <c r="B32" s="249" t="s">
        <v>580</v>
      </c>
      <c r="C32" s="251" t="s">
        <v>536</v>
      </c>
      <c r="D32" s="380">
        <v>18000000</v>
      </c>
      <c r="E32" s="68" t="s">
        <v>537</v>
      </c>
      <c r="F32" s="15"/>
      <c r="G32" s="15"/>
      <c r="H32" s="31"/>
    </row>
    <row r="33" spans="1:7">
      <c r="A33" s="549"/>
      <c r="B33" s="549"/>
      <c r="C33" s="549"/>
      <c r="D33" s="549"/>
      <c r="E33" s="549"/>
      <c r="F33" s="549"/>
      <c r="G33" s="549"/>
    </row>
  </sheetData>
  <mergeCells count="5">
    <mergeCell ref="A2:H2"/>
    <mergeCell ref="A3:H3"/>
    <mergeCell ref="A4:H4"/>
    <mergeCell ref="C9:E9"/>
    <mergeCell ref="F9:H9"/>
  </mergeCells>
  <printOptions horizontalCentered="1"/>
  <pageMargins left="0.11811023622047245" right="0.11811023622047245" top="0.59055118110236227" bottom="0.59055118110236227" header="0.51181102362204722" footer="0.51181102362204722"/>
  <pageSetup paperSize="9" scale="9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9E36-E372-482E-A30B-8FC81543DE13}">
  <sheetPr codeName="Sheet26">
    <tabColor rgb="FF92D050"/>
  </sheetPr>
  <dimension ref="A1:H33"/>
  <sheetViews>
    <sheetView showGridLines="0" view="pageBreakPreview" zoomScale="145" zoomScaleNormal="100" zoomScaleSheetLayoutView="145" workbookViewId="0">
      <selection activeCell="I35" sqref="I35"/>
    </sheetView>
  </sheetViews>
  <sheetFormatPr defaultColWidth="9.140625" defaultRowHeight="21"/>
  <cols>
    <col min="1" max="1" width="6.140625" style="6" customWidth="1"/>
    <col min="2" max="2" width="29.140625" style="6" bestFit="1" customWidth="1"/>
    <col min="3" max="3" width="12" style="6" customWidth="1"/>
    <col min="4" max="4" width="16.42578125" style="6" bestFit="1" customWidth="1"/>
    <col min="5" max="7" width="12" style="6" customWidth="1"/>
    <col min="8" max="8" width="13.140625" style="6" customWidth="1"/>
    <col min="9" max="16384" width="9.140625" style="6"/>
  </cols>
  <sheetData>
    <row r="1" spans="1:8">
      <c r="G1" s="13"/>
      <c r="H1" s="13" t="s">
        <v>9</v>
      </c>
    </row>
    <row r="2" spans="1:8" ht="29.25" customHeight="1">
      <c r="A2" s="701" t="s">
        <v>521</v>
      </c>
      <c r="B2" s="701"/>
      <c r="C2" s="701"/>
      <c r="D2" s="701"/>
      <c r="E2" s="701"/>
      <c r="F2" s="701"/>
      <c r="G2" s="701"/>
      <c r="H2" s="701"/>
    </row>
    <row r="3" spans="1:8" ht="26.25">
      <c r="A3" s="701" t="s">
        <v>254</v>
      </c>
      <c r="B3" s="701"/>
      <c r="C3" s="701"/>
      <c r="D3" s="701"/>
      <c r="E3" s="701"/>
      <c r="F3" s="701"/>
      <c r="G3" s="701"/>
      <c r="H3" s="701"/>
    </row>
    <row r="4" spans="1:8" ht="26.25">
      <c r="A4" s="701" t="s">
        <v>522</v>
      </c>
      <c r="B4" s="701"/>
      <c r="C4" s="701"/>
      <c r="D4" s="701"/>
      <c r="E4" s="701"/>
      <c r="F4" s="701"/>
      <c r="G4" s="701"/>
      <c r="H4" s="701"/>
    </row>
    <row r="5" spans="1:8">
      <c r="A5" s="5" t="s">
        <v>523</v>
      </c>
    </row>
    <row r="6" spans="1:8">
      <c r="A6" s="5" t="s">
        <v>524</v>
      </c>
      <c r="D6" s="5"/>
      <c r="E6" s="5"/>
    </row>
    <row r="7" spans="1:8">
      <c r="A7" s="5" t="s">
        <v>525</v>
      </c>
      <c r="D7" s="5"/>
      <c r="E7" s="5"/>
    </row>
    <row r="8" spans="1:8">
      <c r="G8" s="10"/>
      <c r="H8" s="13" t="s">
        <v>55</v>
      </c>
    </row>
    <row r="9" spans="1:8" ht="26.25" customHeight="1">
      <c r="A9" s="556"/>
      <c r="B9" s="556"/>
      <c r="C9" s="636" t="s">
        <v>526</v>
      </c>
      <c r="D9" s="637"/>
      <c r="E9" s="638"/>
      <c r="F9" s="636" t="s">
        <v>527</v>
      </c>
      <c r="G9" s="637"/>
      <c r="H9" s="638"/>
    </row>
    <row r="10" spans="1:8" ht="24.95" customHeight="1">
      <c r="A10" s="46" t="s">
        <v>56</v>
      </c>
      <c r="B10" s="26" t="s">
        <v>528</v>
      </c>
      <c r="C10" s="540" t="s">
        <v>119</v>
      </c>
      <c r="D10" s="541" t="s">
        <v>529</v>
      </c>
      <c r="E10" s="541" t="s">
        <v>530</v>
      </c>
      <c r="F10" s="540" t="s">
        <v>119</v>
      </c>
      <c r="G10" s="541" t="s">
        <v>529</v>
      </c>
      <c r="H10" s="541" t="s">
        <v>530</v>
      </c>
    </row>
    <row r="11" spans="1:8" ht="24.95" customHeight="1">
      <c r="A11" s="14"/>
      <c r="B11" s="27"/>
      <c r="C11" s="27" t="s">
        <v>531</v>
      </c>
      <c r="D11" s="14" t="s">
        <v>532</v>
      </c>
      <c r="E11" s="14" t="s">
        <v>533</v>
      </c>
      <c r="F11" s="27" t="s">
        <v>534</v>
      </c>
      <c r="G11" s="14" t="s">
        <v>532</v>
      </c>
      <c r="H11" s="14" t="s">
        <v>533</v>
      </c>
    </row>
    <row r="12" spans="1:8">
      <c r="A12" s="246">
        <v>43</v>
      </c>
      <c r="B12" s="247" t="s">
        <v>581</v>
      </c>
      <c r="C12" s="557" t="s">
        <v>582</v>
      </c>
      <c r="D12" s="379">
        <v>40000000</v>
      </c>
      <c r="E12" s="558" t="s">
        <v>537</v>
      </c>
      <c r="F12" s="556"/>
      <c r="G12" s="15"/>
      <c r="H12" s="15"/>
    </row>
    <row r="13" spans="1:8" ht="23.45" customHeight="1">
      <c r="A13" s="246">
        <v>44</v>
      </c>
      <c r="B13" s="103" t="s">
        <v>583</v>
      </c>
      <c r="C13" s="246" t="s">
        <v>582</v>
      </c>
      <c r="D13" s="379">
        <v>20000000</v>
      </c>
      <c r="E13" s="248" t="s">
        <v>537</v>
      </c>
      <c r="F13" s="67"/>
      <c r="G13" s="67"/>
      <c r="H13" s="67"/>
    </row>
    <row r="14" spans="1:8">
      <c r="A14" s="246">
        <v>45</v>
      </c>
      <c r="B14" s="247" t="s">
        <v>584</v>
      </c>
      <c r="C14" s="246" t="s">
        <v>536</v>
      </c>
      <c r="D14" s="379">
        <v>7500000</v>
      </c>
      <c r="E14" s="248" t="s">
        <v>537</v>
      </c>
      <c r="F14" s="15"/>
      <c r="G14" s="15"/>
      <c r="H14" s="15"/>
    </row>
    <row r="15" spans="1:8">
      <c r="A15" s="246">
        <v>46</v>
      </c>
      <c r="B15" s="247" t="s">
        <v>585</v>
      </c>
      <c r="C15" s="246" t="s">
        <v>536</v>
      </c>
      <c r="D15" s="380">
        <v>6000000</v>
      </c>
      <c r="E15" s="68" t="s">
        <v>537</v>
      </c>
      <c r="F15" s="15"/>
      <c r="G15" s="15"/>
      <c r="H15" s="15"/>
    </row>
    <row r="16" spans="1:8">
      <c r="A16" s="246">
        <v>47</v>
      </c>
      <c r="B16" s="247" t="s">
        <v>586</v>
      </c>
      <c r="C16" s="246" t="s">
        <v>582</v>
      </c>
      <c r="D16" s="380">
        <v>50000000</v>
      </c>
      <c r="E16" s="68" t="s">
        <v>537</v>
      </c>
      <c r="F16" s="15"/>
      <c r="G16" s="15"/>
      <c r="H16" s="15"/>
    </row>
    <row r="17" spans="1:8">
      <c r="A17" s="246">
        <v>48</v>
      </c>
      <c r="B17" s="247" t="s">
        <v>587</v>
      </c>
      <c r="C17" s="246" t="s">
        <v>536</v>
      </c>
      <c r="D17" s="380">
        <v>9000000</v>
      </c>
      <c r="E17" s="68" t="s">
        <v>537</v>
      </c>
      <c r="F17" s="15"/>
      <c r="G17" s="15"/>
      <c r="H17" s="15"/>
    </row>
    <row r="18" spans="1:8">
      <c r="A18" s="246">
        <v>49</v>
      </c>
      <c r="B18" s="247" t="s">
        <v>588</v>
      </c>
      <c r="C18" s="246" t="s">
        <v>536</v>
      </c>
      <c r="D18" s="380">
        <v>9000000</v>
      </c>
      <c r="E18" s="68" t="s">
        <v>537</v>
      </c>
      <c r="F18" s="15"/>
      <c r="G18" s="15"/>
      <c r="H18" s="15"/>
    </row>
    <row r="19" spans="1:8">
      <c r="A19" s="246">
        <v>50</v>
      </c>
      <c r="B19" s="247" t="s">
        <v>589</v>
      </c>
      <c r="C19" s="246" t="s">
        <v>536</v>
      </c>
      <c r="D19" s="380">
        <v>14000000</v>
      </c>
      <c r="E19" s="68" t="s">
        <v>537</v>
      </c>
      <c r="F19" s="15"/>
      <c r="G19" s="15"/>
      <c r="H19" s="15"/>
    </row>
    <row r="20" spans="1:8">
      <c r="A20" s="246">
        <v>51</v>
      </c>
      <c r="B20" s="247" t="s">
        <v>590</v>
      </c>
      <c r="C20" s="246" t="s">
        <v>536</v>
      </c>
      <c r="D20" s="380">
        <v>8000000</v>
      </c>
      <c r="E20" s="68" t="s">
        <v>537</v>
      </c>
      <c r="F20" s="15"/>
      <c r="G20" s="15"/>
      <c r="H20" s="15"/>
    </row>
    <row r="21" spans="1:8">
      <c r="A21" s="246">
        <v>52</v>
      </c>
      <c r="B21" s="249" t="s">
        <v>591</v>
      </c>
      <c r="C21" s="246" t="s">
        <v>536</v>
      </c>
      <c r="D21" s="380">
        <v>9500000</v>
      </c>
      <c r="E21" s="68" t="s">
        <v>537</v>
      </c>
      <c r="F21" s="15"/>
      <c r="G21" s="15"/>
      <c r="H21" s="15"/>
    </row>
    <row r="22" spans="1:8">
      <c r="A22" s="246">
        <v>53</v>
      </c>
      <c r="B22" s="249" t="s">
        <v>592</v>
      </c>
      <c r="C22" s="246" t="s">
        <v>536</v>
      </c>
      <c r="D22" s="380">
        <v>9500000</v>
      </c>
      <c r="E22" s="68" t="s">
        <v>537</v>
      </c>
      <c r="F22" s="15"/>
      <c r="G22" s="15"/>
      <c r="H22" s="15"/>
    </row>
    <row r="23" spans="1:8">
      <c r="A23" s="246">
        <v>54</v>
      </c>
      <c r="B23" s="249" t="s">
        <v>593</v>
      </c>
      <c r="C23" s="246" t="s">
        <v>536</v>
      </c>
      <c r="D23" s="380">
        <v>8000000</v>
      </c>
      <c r="E23" s="68" t="s">
        <v>537</v>
      </c>
      <c r="F23" s="15"/>
      <c r="G23" s="15"/>
      <c r="H23" s="15"/>
    </row>
    <row r="24" spans="1:8">
      <c r="A24" s="246">
        <v>55</v>
      </c>
      <c r="B24" s="249" t="s">
        <v>594</v>
      </c>
      <c r="C24" s="246" t="s">
        <v>536</v>
      </c>
      <c r="D24" s="380">
        <v>6000000</v>
      </c>
      <c r="E24" s="68" t="s">
        <v>537</v>
      </c>
      <c r="F24" s="15"/>
      <c r="G24" s="15"/>
      <c r="H24" s="15"/>
    </row>
    <row r="25" spans="1:8">
      <c r="A25" s="246">
        <v>56</v>
      </c>
      <c r="B25" s="249" t="s">
        <v>595</v>
      </c>
      <c r="C25" s="246" t="s">
        <v>536</v>
      </c>
      <c r="D25" s="380">
        <v>7000000</v>
      </c>
      <c r="E25" s="68" t="s">
        <v>537</v>
      </c>
      <c r="F25" s="15"/>
      <c r="G25" s="15"/>
      <c r="H25" s="15"/>
    </row>
    <row r="26" spans="1:8">
      <c r="A26" s="702" t="s">
        <v>596</v>
      </c>
      <c r="B26" s="703"/>
      <c r="C26" s="704"/>
      <c r="D26" s="523">
        <f>SUM(D12:D25)+SUM('005 (2)'!D12:D32)+SUM('005 (1)'!D12:D32)</f>
        <v>491300000</v>
      </c>
      <c r="E26" s="559"/>
      <c r="F26" s="510"/>
      <c r="G26" s="510"/>
      <c r="H26" s="510"/>
    </row>
    <row r="27" spans="1:8">
      <c r="A27" s="249"/>
      <c r="B27" s="249"/>
      <c r="C27" s="246"/>
      <c r="D27" s="250"/>
      <c r="E27" s="68"/>
      <c r="F27" s="15"/>
      <c r="G27" s="15"/>
      <c r="H27" s="15"/>
    </row>
    <row r="28" spans="1:8">
      <c r="A28" s="249"/>
      <c r="B28" s="249"/>
      <c r="C28" s="246"/>
      <c r="D28" s="250"/>
      <c r="E28" s="68"/>
      <c r="F28" s="15"/>
      <c r="G28" s="15"/>
      <c r="H28" s="15"/>
    </row>
    <row r="29" spans="1:8">
      <c r="A29" s="249"/>
      <c r="B29" s="249"/>
      <c r="C29" s="246"/>
      <c r="D29" s="250"/>
      <c r="E29" s="68"/>
      <c r="F29" s="15"/>
      <c r="G29" s="15"/>
      <c r="H29" s="15"/>
    </row>
    <row r="30" spans="1:8">
      <c r="A30" s="249"/>
      <c r="B30" s="249"/>
      <c r="C30" s="246"/>
      <c r="D30" s="250"/>
      <c r="E30" s="68"/>
      <c r="F30" s="15"/>
      <c r="G30" s="15"/>
      <c r="H30" s="15"/>
    </row>
    <row r="31" spans="1:8">
      <c r="A31" s="249"/>
      <c r="B31" s="249"/>
      <c r="C31" s="246"/>
      <c r="D31" s="250"/>
      <c r="E31" s="68"/>
      <c r="F31" s="15"/>
      <c r="G31" s="15"/>
      <c r="H31" s="15"/>
    </row>
    <row r="32" spans="1:8">
      <c r="A32" s="249"/>
      <c r="B32" s="249"/>
      <c r="C32" s="251"/>
      <c r="D32" s="250"/>
      <c r="E32" s="68"/>
      <c r="F32" s="15"/>
      <c r="G32" s="15"/>
      <c r="H32" s="31"/>
    </row>
    <row r="33" spans="1:7">
      <c r="A33" s="549"/>
      <c r="B33" s="549"/>
      <c r="C33" s="549"/>
      <c r="D33" s="549"/>
      <c r="E33" s="549"/>
      <c r="F33" s="549"/>
      <c r="G33" s="549"/>
    </row>
  </sheetData>
  <mergeCells count="6">
    <mergeCell ref="A26:C26"/>
    <mergeCell ref="A2:H2"/>
    <mergeCell ref="A3:H3"/>
    <mergeCell ref="A4:H4"/>
    <mergeCell ref="C9:E9"/>
    <mergeCell ref="F9:H9"/>
  </mergeCells>
  <printOptions horizontalCentered="1"/>
  <pageMargins left="0.11811023622047245" right="0.11811023622047245" top="0.59055118110236227" bottom="0.59055118110236227" header="0.51181102362204722" footer="0.51181102362204722"/>
  <pageSetup paperSize="9" scale="9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92D050"/>
  </sheetPr>
  <dimension ref="A1:H35"/>
  <sheetViews>
    <sheetView showGridLines="0" view="pageBreakPreview" topLeftCell="A3" zoomScale="145" zoomScaleNormal="115" zoomScaleSheetLayoutView="145" workbookViewId="0">
      <selection activeCell="E10" sqref="E10"/>
    </sheetView>
  </sheetViews>
  <sheetFormatPr defaultColWidth="9.140625" defaultRowHeight="21"/>
  <cols>
    <col min="1" max="1" width="6.140625" style="6" customWidth="1"/>
    <col min="2" max="2" width="32.42578125" style="6" bestFit="1" customWidth="1"/>
    <col min="3" max="3" width="47.85546875" style="6" customWidth="1"/>
    <col min="4" max="4" width="5.7109375" style="6" bestFit="1" customWidth="1"/>
    <col min="5" max="5" width="15.28515625" style="6" bestFit="1" customWidth="1"/>
    <col min="6" max="6" width="12" style="6" bestFit="1" customWidth="1"/>
    <col min="7" max="7" width="9.140625" style="6"/>
    <col min="8" max="8" width="15.28515625" style="6" bestFit="1" customWidth="1"/>
    <col min="9" max="16384" width="9.140625" style="6"/>
  </cols>
  <sheetData>
    <row r="1" spans="1:8">
      <c r="E1" s="13"/>
      <c r="F1" s="13" t="s">
        <v>12</v>
      </c>
    </row>
    <row r="2" spans="1:8" ht="29.25" customHeight="1">
      <c r="A2" s="701" t="s">
        <v>521</v>
      </c>
      <c r="B2" s="701"/>
      <c r="C2" s="701"/>
      <c r="D2" s="701"/>
      <c r="E2" s="701"/>
      <c r="F2" s="701"/>
    </row>
    <row r="3" spans="1:8" ht="26.25">
      <c r="A3" s="701" t="s">
        <v>257</v>
      </c>
      <c r="B3" s="701"/>
      <c r="C3" s="701"/>
      <c r="D3" s="701"/>
      <c r="E3" s="701"/>
      <c r="F3" s="701"/>
    </row>
    <row r="4" spans="1:8" ht="29.25" customHeight="1">
      <c r="A4" s="701" t="s">
        <v>597</v>
      </c>
      <c r="B4" s="701"/>
      <c r="C4" s="701"/>
      <c r="D4" s="701"/>
      <c r="E4" s="701"/>
      <c r="F4" s="701"/>
    </row>
    <row r="5" spans="1:8" ht="29.25" customHeight="1">
      <c r="A5" s="701" t="s">
        <v>598</v>
      </c>
      <c r="B5" s="701"/>
      <c r="C5" s="701"/>
      <c r="D5" s="701"/>
      <c r="E5" s="701"/>
      <c r="F5" s="701"/>
      <c r="G5" s="10"/>
      <c r="H5" s="10"/>
    </row>
    <row r="6" spans="1:8">
      <c r="A6" s="5" t="s">
        <v>523</v>
      </c>
    </row>
    <row r="7" spans="1:8" ht="25.5" customHeight="1">
      <c r="A7" s="5" t="s">
        <v>524</v>
      </c>
      <c r="C7" s="5"/>
    </row>
    <row r="8" spans="1:8">
      <c r="A8" s="5" t="s">
        <v>525</v>
      </c>
      <c r="C8" s="13"/>
    </row>
    <row r="9" spans="1:8">
      <c r="E9" s="10"/>
      <c r="F9" s="13" t="s">
        <v>55</v>
      </c>
    </row>
    <row r="10" spans="1:8" ht="24.95" customHeight="1">
      <c r="A10" s="601" t="s">
        <v>56</v>
      </c>
      <c r="B10" s="601" t="s">
        <v>528</v>
      </c>
      <c r="C10" s="601" t="s">
        <v>120</v>
      </c>
      <c r="D10" s="601" t="s">
        <v>599</v>
      </c>
      <c r="E10" s="541" t="s">
        <v>529</v>
      </c>
      <c r="F10" s="541" t="s">
        <v>530</v>
      </c>
    </row>
    <row r="11" spans="1:8" ht="24.95" customHeight="1">
      <c r="A11" s="705"/>
      <c r="B11" s="705"/>
      <c r="C11" s="705"/>
      <c r="D11" s="705"/>
      <c r="E11" s="14" t="s">
        <v>532</v>
      </c>
      <c r="F11" s="14" t="s">
        <v>533</v>
      </c>
    </row>
    <row r="12" spans="1:8">
      <c r="A12" s="557">
        <v>1</v>
      </c>
      <c r="B12" s="560" t="s">
        <v>600</v>
      </c>
      <c r="C12" s="560" t="s">
        <v>601</v>
      </c>
      <c r="D12" s="560"/>
      <c r="E12" s="561">
        <v>32200000.000000004</v>
      </c>
      <c r="F12" s="252"/>
      <c r="H12" s="298"/>
    </row>
    <row r="13" spans="1:8" ht="23.45" customHeight="1">
      <c r="A13" s="246">
        <f>A12+1</f>
        <v>2</v>
      </c>
      <c r="B13" s="252" t="s">
        <v>602</v>
      </c>
      <c r="C13" s="252" t="s">
        <v>601</v>
      </c>
      <c r="D13" s="252"/>
      <c r="E13" s="377">
        <v>28700000</v>
      </c>
      <c r="F13" s="252"/>
      <c r="H13" s="298"/>
    </row>
    <row r="14" spans="1:8">
      <c r="A14" s="246">
        <f>A13+1</f>
        <v>3</v>
      </c>
      <c r="B14" s="253" t="s">
        <v>603</v>
      </c>
      <c r="C14" s="2" t="s">
        <v>601</v>
      </c>
      <c r="D14" s="249"/>
      <c r="E14" s="378">
        <v>35900000</v>
      </c>
      <c r="F14" s="252"/>
      <c r="H14" s="298"/>
    </row>
    <row r="15" spans="1:8">
      <c r="A15" s="246"/>
      <c r="B15" s="252" t="s">
        <v>604</v>
      </c>
      <c r="C15" s="2"/>
      <c r="D15" s="249"/>
      <c r="E15" s="378"/>
      <c r="F15" s="252"/>
      <c r="H15" s="298"/>
    </row>
    <row r="16" spans="1:8">
      <c r="A16" s="246">
        <f>A14+1</f>
        <v>4</v>
      </c>
      <c r="B16" s="254" t="s">
        <v>603</v>
      </c>
      <c r="C16" s="2" t="s">
        <v>605</v>
      </c>
      <c r="D16" s="249"/>
      <c r="E16" s="378">
        <v>9000000</v>
      </c>
      <c r="F16" s="249"/>
      <c r="H16" s="298"/>
    </row>
    <row r="17" spans="1:8">
      <c r="A17" s="246"/>
      <c r="B17" s="249" t="s">
        <v>606</v>
      </c>
      <c r="C17" s="2"/>
      <c r="D17" s="249"/>
      <c r="E17" s="378"/>
      <c r="F17" s="249"/>
      <c r="H17" s="298"/>
    </row>
    <row r="18" spans="1:8">
      <c r="A18" s="246">
        <f>A16+1</f>
        <v>5</v>
      </c>
      <c r="B18" s="254" t="s">
        <v>607</v>
      </c>
      <c r="C18" s="2" t="s">
        <v>601</v>
      </c>
      <c r="D18" s="249"/>
      <c r="E18" s="378">
        <v>31700000</v>
      </c>
      <c r="F18" s="249"/>
      <c r="H18" s="298"/>
    </row>
    <row r="19" spans="1:8">
      <c r="A19" s="246">
        <f t="shared" ref="A19:A34" si="0">A18+1</f>
        <v>6</v>
      </c>
      <c r="B19" s="254" t="s">
        <v>608</v>
      </c>
      <c r="C19" s="2" t="s">
        <v>601</v>
      </c>
      <c r="D19" s="249"/>
      <c r="E19" s="378">
        <v>26100000</v>
      </c>
      <c r="F19" s="249"/>
      <c r="H19" s="298"/>
    </row>
    <row r="20" spans="1:8">
      <c r="A20" s="246">
        <f t="shared" si="0"/>
        <v>7</v>
      </c>
      <c r="B20" s="254" t="s">
        <v>609</v>
      </c>
      <c r="C20" s="255" t="s">
        <v>610</v>
      </c>
      <c r="D20" s="249"/>
      <c r="E20" s="378">
        <v>28200000</v>
      </c>
      <c r="F20" s="249"/>
      <c r="H20" s="298"/>
    </row>
    <row r="21" spans="1:8">
      <c r="A21" s="246">
        <f t="shared" si="0"/>
        <v>8</v>
      </c>
      <c r="B21" s="254" t="s">
        <v>611</v>
      </c>
      <c r="C21" s="255" t="s">
        <v>610</v>
      </c>
      <c r="D21" s="249"/>
      <c r="E21" s="378">
        <v>22900000</v>
      </c>
      <c r="F21" s="249"/>
      <c r="H21" s="298"/>
    </row>
    <row r="22" spans="1:8">
      <c r="A22" s="246">
        <f t="shared" si="0"/>
        <v>9</v>
      </c>
      <c r="B22" s="254" t="s">
        <v>612</v>
      </c>
      <c r="C22" s="255" t="s">
        <v>610</v>
      </c>
      <c r="D22" s="249"/>
      <c r="E22" s="378">
        <v>39700000</v>
      </c>
      <c r="F22" s="249"/>
      <c r="H22" s="298"/>
    </row>
    <row r="23" spans="1:8">
      <c r="A23" s="246">
        <f t="shared" si="0"/>
        <v>10</v>
      </c>
      <c r="B23" s="254" t="s">
        <v>613</v>
      </c>
      <c r="C23" s="255" t="s">
        <v>610</v>
      </c>
      <c r="D23" s="249"/>
      <c r="E23" s="378">
        <v>15500000</v>
      </c>
      <c r="F23" s="249"/>
      <c r="H23" s="298"/>
    </row>
    <row r="24" spans="1:8">
      <c r="A24" s="246">
        <f t="shared" si="0"/>
        <v>11</v>
      </c>
      <c r="B24" s="254" t="s">
        <v>614</v>
      </c>
      <c r="C24" s="255" t="s">
        <v>610</v>
      </c>
      <c r="D24" s="249"/>
      <c r="E24" s="378">
        <v>11800000</v>
      </c>
      <c r="F24" s="249"/>
      <c r="H24" s="298"/>
    </row>
    <row r="25" spans="1:8">
      <c r="A25" s="246">
        <f t="shared" si="0"/>
        <v>12</v>
      </c>
      <c r="B25" s="254" t="s">
        <v>615</v>
      </c>
      <c r="C25" s="255" t="s">
        <v>610</v>
      </c>
      <c r="D25" s="249"/>
      <c r="E25" s="378">
        <v>37300000</v>
      </c>
      <c r="F25" s="249"/>
      <c r="H25" s="298"/>
    </row>
    <row r="26" spans="1:8">
      <c r="A26" s="246">
        <f t="shared" si="0"/>
        <v>13</v>
      </c>
      <c r="B26" s="249" t="s">
        <v>616</v>
      </c>
      <c r="C26" s="2" t="s">
        <v>617</v>
      </c>
      <c r="D26" s="249"/>
      <c r="E26" s="378">
        <v>16000000</v>
      </c>
      <c r="F26" s="249"/>
      <c r="H26" s="298"/>
    </row>
    <row r="27" spans="1:8">
      <c r="A27" s="246">
        <f t="shared" si="0"/>
        <v>14</v>
      </c>
      <c r="B27" s="249" t="s">
        <v>618</v>
      </c>
      <c r="C27" s="2" t="s">
        <v>601</v>
      </c>
      <c r="D27" s="249"/>
      <c r="E27" s="378">
        <v>58700000</v>
      </c>
      <c r="F27" s="249"/>
      <c r="H27" s="298"/>
    </row>
    <row r="28" spans="1:8">
      <c r="A28" s="246">
        <f t="shared" si="0"/>
        <v>15</v>
      </c>
      <c r="B28" s="249" t="s">
        <v>619</v>
      </c>
      <c r="C28" s="2" t="s">
        <v>601</v>
      </c>
      <c r="D28" s="249"/>
      <c r="E28" s="378">
        <v>23100000</v>
      </c>
      <c r="F28" s="249"/>
      <c r="H28" s="298"/>
    </row>
    <row r="29" spans="1:8">
      <c r="A29" s="246">
        <f t="shared" si="0"/>
        <v>16</v>
      </c>
      <c r="B29" s="249" t="s">
        <v>620</v>
      </c>
      <c r="C29" s="2" t="s">
        <v>601</v>
      </c>
      <c r="D29" s="249"/>
      <c r="E29" s="378">
        <v>23100000</v>
      </c>
      <c r="F29" s="249"/>
      <c r="H29" s="298"/>
    </row>
    <row r="30" spans="1:8">
      <c r="A30" s="246">
        <f t="shared" si="0"/>
        <v>17</v>
      </c>
      <c r="B30" s="249" t="s">
        <v>621</v>
      </c>
      <c r="C30" s="2" t="s">
        <v>601</v>
      </c>
      <c r="D30" s="249"/>
      <c r="E30" s="378">
        <v>61300000</v>
      </c>
      <c r="F30" s="249"/>
      <c r="H30" s="298"/>
    </row>
    <row r="31" spans="1:8">
      <c r="A31" s="246">
        <f t="shared" si="0"/>
        <v>18</v>
      </c>
      <c r="B31" s="256" t="s">
        <v>622</v>
      </c>
      <c r="C31" s="2" t="s">
        <v>601</v>
      </c>
      <c r="D31" s="249"/>
      <c r="E31" s="378">
        <v>40000000</v>
      </c>
      <c r="F31" s="249"/>
      <c r="H31" s="298"/>
    </row>
    <row r="32" spans="1:8">
      <c r="A32" s="246">
        <f t="shared" si="0"/>
        <v>19</v>
      </c>
      <c r="B32" s="256" t="s">
        <v>623</v>
      </c>
      <c r="C32" s="2" t="s">
        <v>624</v>
      </c>
      <c r="D32" s="249"/>
      <c r="E32" s="378">
        <v>10200000</v>
      </c>
      <c r="F32" s="249"/>
      <c r="H32" s="298"/>
    </row>
    <row r="33" spans="1:8">
      <c r="A33" s="246">
        <f t="shared" si="0"/>
        <v>20</v>
      </c>
      <c r="B33" s="249" t="s">
        <v>625</v>
      </c>
      <c r="C33" s="2" t="s">
        <v>624</v>
      </c>
      <c r="D33" s="249"/>
      <c r="E33" s="378">
        <v>18000000</v>
      </c>
      <c r="F33" s="249"/>
      <c r="H33" s="298"/>
    </row>
    <row r="34" spans="1:8">
      <c r="A34" s="246">
        <f t="shared" si="0"/>
        <v>21</v>
      </c>
      <c r="B34" s="249" t="s">
        <v>626</v>
      </c>
      <c r="C34" s="2" t="s">
        <v>624</v>
      </c>
      <c r="D34" s="249"/>
      <c r="E34" s="378">
        <v>8400000</v>
      </c>
      <c r="F34" s="257"/>
      <c r="H34" s="298"/>
    </row>
    <row r="35" spans="1:8">
      <c r="A35" s="549"/>
      <c r="B35" s="549"/>
      <c r="C35" s="549"/>
      <c r="D35" s="549"/>
      <c r="E35" s="549"/>
    </row>
  </sheetData>
  <mergeCells count="8">
    <mergeCell ref="A2:F2"/>
    <mergeCell ref="A3:F3"/>
    <mergeCell ref="A10:A11"/>
    <mergeCell ref="B10:B11"/>
    <mergeCell ref="C10:C11"/>
    <mergeCell ref="D10:D11"/>
    <mergeCell ref="A4:F4"/>
    <mergeCell ref="A5:F5"/>
  </mergeCells>
  <phoneticPr fontId="0" type="noConversion"/>
  <printOptions horizontalCentered="1"/>
  <pageMargins left="0.59055118110236227" right="0.11811023622047245" top="0.59055118110236227" bottom="0.59055118110236227" header="0.51181102362204722" footer="0.51181102362204722"/>
  <pageSetup paperSize="9" scale="87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280E-5B44-42C9-82B3-E34240C95CAD}">
  <sheetPr codeName="Sheet27">
    <tabColor rgb="FF92D050"/>
  </sheetPr>
  <dimension ref="A1:H33"/>
  <sheetViews>
    <sheetView showGridLines="0" view="pageBreakPreview" zoomScaleNormal="115" zoomScaleSheetLayoutView="100" workbookViewId="0">
      <selection activeCell="F17" sqref="F17"/>
    </sheetView>
  </sheetViews>
  <sheetFormatPr defaultColWidth="9.140625" defaultRowHeight="21"/>
  <cols>
    <col min="1" max="1" width="6.140625" style="6" customWidth="1"/>
    <col min="2" max="2" width="26" style="6" customWidth="1"/>
    <col min="3" max="3" width="59.5703125" style="6" customWidth="1"/>
    <col min="4" max="4" width="6" style="6" bestFit="1" customWidth="1"/>
    <col min="5" max="5" width="16.42578125" style="6" bestFit="1" customWidth="1"/>
    <col min="6" max="6" width="12" style="6" bestFit="1" customWidth="1"/>
    <col min="7" max="7" width="9.140625" style="6"/>
    <col min="8" max="8" width="15.28515625" style="6" bestFit="1" customWidth="1"/>
    <col min="9" max="16384" width="9.140625" style="6"/>
  </cols>
  <sheetData>
    <row r="1" spans="1:8">
      <c r="E1" s="13"/>
      <c r="F1" s="13" t="s">
        <v>12</v>
      </c>
    </row>
    <row r="2" spans="1:8" ht="29.25" customHeight="1">
      <c r="A2" s="701" t="s">
        <v>521</v>
      </c>
      <c r="B2" s="701"/>
      <c r="C2" s="701"/>
      <c r="D2" s="701"/>
      <c r="E2" s="701"/>
      <c r="F2" s="701"/>
    </row>
    <row r="3" spans="1:8" ht="26.25">
      <c r="A3" s="701" t="s">
        <v>257</v>
      </c>
      <c r="B3" s="701"/>
      <c r="C3" s="701"/>
      <c r="D3" s="701"/>
      <c r="E3" s="701"/>
      <c r="F3" s="701"/>
    </row>
    <row r="4" spans="1:8" ht="29.25" customHeight="1">
      <c r="A4" s="701" t="s">
        <v>597</v>
      </c>
      <c r="B4" s="701"/>
      <c r="C4" s="701"/>
      <c r="D4" s="701"/>
      <c r="E4" s="701"/>
      <c r="F4" s="701"/>
    </row>
    <row r="5" spans="1:8" ht="29.25" customHeight="1">
      <c r="A5" s="701" t="s">
        <v>598</v>
      </c>
      <c r="B5" s="701"/>
      <c r="C5" s="701"/>
      <c r="D5" s="701"/>
      <c r="E5" s="701"/>
      <c r="F5" s="701"/>
      <c r="G5" s="10"/>
      <c r="H5" s="10"/>
    </row>
    <row r="6" spans="1:8">
      <c r="A6" s="5" t="s">
        <v>523</v>
      </c>
    </row>
    <row r="7" spans="1:8" ht="25.5" customHeight="1">
      <c r="A7" s="5" t="s">
        <v>524</v>
      </c>
      <c r="C7" s="5"/>
    </row>
    <row r="8" spans="1:8">
      <c r="A8" s="5" t="s">
        <v>525</v>
      </c>
      <c r="C8" s="13"/>
    </row>
    <row r="9" spans="1:8">
      <c r="E9" s="10"/>
      <c r="F9" s="13" t="s">
        <v>55</v>
      </c>
    </row>
    <row r="10" spans="1:8" ht="24.95" customHeight="1">
      <c r="A10" s="601" t="s">
        <v>56</v>
      </c>
      <c r="B10" s="601" t="s">
        <v>528</v>
      </c>
      <c r="C10" s="601" t="s">
        <v>120</v>
      </c>
      <c r="D10" s="601" t="s">
        <v>599</v>
      </c>
      <c r="E10" s="541" t="s">
        <v>529</v>
      </c>
      <c r="F10" s="541" t="s">
        <v>530</v>
      </c>
    </row>
    <row r="11" spans="1:8" ht="24.95" customHeight="1">
      <c r="A11" s="705"/>
      <c r="B11" s="705"/>
      <c r="C11" s="705"/>
      <c r="D11" s="705"/>
      <c r="E11" s="14" t="s">
        <v>532</v>
      </c>
      <c r="F11" s="14" t="s">
        <v>533</v>
      </c>
    </row>
    <row r="12" spans="1:8">
      <c r="A12" s="557">
        <f>'006'!A34+1</f>
        <v>22</v>
      </c>
      <c r="B12" s="560" t="s">
        <v>627</v>
      </c>
      <c r="C12" s="560" t="s">
        <v>624</v>
      </c>
      <c r="D12" s="560"/>
      <c r="E12" s="561">
        <v>12000000</v>
      </c>
      <c r="F12" s="252"/>
      <c r="H12" s="298"/>
    </row>
    <row r="13" spans="1:8" ht="23.45" customHeight="1">
      <c r="A13" s="246">
        <f>A12+1</f>
        <v>23</v>
      </c>
      <c r="B13" s="252" t="s">
        <v>628</v>
      </c>
      <c r="C13" s="252" t="s">
        <v>624</v>
      </c>
      <c r="D13" s="252"/>
      <c r="E13" s="377">
        <v>9600000</v>
      </c>
      <c r="F13" s="252"/>
      <c r="H13" s="298"/>
    </row>
    <row r="14" spans="1:8">
      <c r="A14" s="246">
        <f>A13+1</f>
        <v>24</v>
      </c>
      <c r="B14" s="252" t="s">
        <v>629</v>
      </c>
      <c r="C14" s="252" t="s">
        <v>601</v>
      </c>
      <c r="D14" s="252"/>
      <c r="E14" s="378">
        <v>60600000</v>
      </c>
      <c r="F14" s="252"/>
      <c r="H14" s="298"/>
    </row>
    <row r="15" spans="1:8">
      <c r="A15" s="246">
        <f t="shared" ref="A15:A21" si="0">A14+1</f>
        <v>25</v>
      </c>
      <c r="B15" s="249" t="s">
        <v>630</v>
      </c>
      <c r="C15" s="2" t="s">
        <v>601</v>
      </c>
      <c r="D15" s="249"/>
      <c r="E15" s="378">
        <v>48800000</v>
      </c>
      <c r="F15" s="249"/>
      <c r="H15" s="298"/>
    </row>
    <row r="16" spans="1:8">
      <c r="A16" s="246">
        <f t="shared" si="0"/>
        <v>26</v>
      </c>
      <c r="B16" s="249" t="s">
        <v>631</v>
      </c>
      <c r="C16" s="2" t="s">
        <v>617</v>
      </c>
      <c r="D16" s="249"/>
      <c r="E16" s="378">
        <v>12000000</v>
      </c>
      <c r="F16" s="249"/>
      <c r="H16" s="298"/>
    </row>
    <row r="17" spans="1:8">
      <c r="A17" s="246">
        <f t="shared" si="0"/>
        <v>27</v>
      </c>
      <c r="B17" s="254" t="s">
        <v>632</v>
      </c>
      <c r="C17" s="255" t="s">
        <v>633</v>
      </c>
      <c r="D17" s="249"/>
      <c r="E17" s="378">
        <v>3000000</v>
      </c>
      <c r="F17" s="249"/>
      <c r="H17" s="298"/>
    </row>
    <row r="18" spans="1:8">
      <c r="A18" s="246">
        <f t="shared" si="0"/>
        <v>28</v>
      </c>
      <c r="B18" s="254" t="s">
        <v>634</v>
      </c>
      <c r="C18" s="255" t="s">
        <v>635</v>
      </c>
      <c r="D18" s="249"/>
      <c r="E18" s="378">
        <v>10000000</v>
      </c>
      <c r="F18" s="249"/>
      <c r="H18" s="298"/>
    </row>
    <row r="19" spans="1:8">
      <c r="A19" s="246">
        <f t="shared" si="0"/>
        <v>29</v>
      </c>
      <c r="B19" s="254" t="s">
        <v>636</v>
      </c>
      <c r="C19" s="255" t="s">
        <v>637</v>
      </c>
      <c r="D19" s="249"/>
      <c r="E19" s="378">
        <v>30500000</v>
      </c>
      <c r="F19" s="249"/>
      <c r="H19" s="298"/>
    </row>
    <row r="20" spans="1:8">
      <c r="A20" s="246">
        <f t="shared" si="0"/>
        <v>30</v>
      </c>
      <c r="B20" s="254" t="s">
        <v>638</v>
      </c>
      <c r="C20" s="255" t="s">
        <v>639</v>
      </c>
      <c r="D20" s="249"/>
      <c r="E20" s="378">
        <v>10000000</v>
      </c>
      <c r="F20" s="249"/>
      <c r="H20" s="298"/>
    </row>
    <row r="21" spans="1:8">
      <c r="A21" s="246">
        <f t="shared" si="0"/>
        <v>31</v>
      </c>
      <c r="B21" s="254" t="s">
        <v>640</v>
      </c>
      <c r="C21" s="255" t="s">
        <v>641</v>
      </c>
      <c r="D21" s="249"/>
      <c r="E21" s="378">
        <v>19000000</v>
      </c>
      <c r="F21" s="249"/>
      <c r="H21" s="298"/>
    </row>
    <row r="22" spans="1:8">
      <c r="A22" s="682" t="s">
        <v>596</v>
      </c>
      <c r="B22" s="682"/>
      <c r="C22" s="682"/>
      <c r="D22" s="682"/>
      <c r="E22" s="524">
        <f>SUM('006'!E12:E34)+SUM('006 (2)'!E12:E21)</f>
        <v>793300000</v>
      </c>
      <c r="F22" s="510"/>
    </row>
    <row r="23" spans="1:8">
      <c r="A23" s="682" t="s">
        <v>642</v>
      </c>
      <c r="B23" s="682"/>
      <c r="C23" s="682"/>
      <c r="D23" s="682"/>
      <c r="E23" s="524">
        <f>'004-4'!M14</f>
        <v>23800000</v>
      </c>
      <c r="F23" s="510"/>
    </row>
    <row r="24" spans="1:8">
      <c r="A24" s="67"/>
      <c r="B24" s="15"/>
      <c r="D24" s="15"/>
      <c r="E24" s="15"/>
      <c r="F24" s="15"/>
    </row>
    <row r="25" spans="1:8">
      <c r="A25" s="67"/>
      <c r="B25" s="15"/>
      <c r="D25" s="15"/>
      <c r="E25" s="15"/>
      <c r="F25" s="15"/>
    </row>
    <row r="26" spans="1:8">
      <c r="A26" s="67"/>
      <c r="B26" s="15"/>
      <c r="D26" s="15"/>
      <c r="E26" s="15"/>
      <c r="F26" s="15"/>
    </row>
    <row r="27" spans="1:8">
      <c r="A27" s="67"/>
      <c r="B27" s="15"/>
      <c r="D27" s="15"/>
      <c r="E27" s="15"/>
      <c r="F27" s="15"/>
    </row>
    <row r="28" spans="1:8">
      <c r="A28" s="67"/>
      <c r="B28" s="15"/>
      <c r="D28" s="15"/>
      <c r="E28" s="15"/>
      <c r="F28" s="15"/>
    </row>
    <row r="29" spans="1:8">
      <c r="A29" s="67"/>
      <c r="B29" s="15"/>
      <c r="D29" s="15"/>
      <c r="E29" s="15"/>
      <c r="F29" s="15"/>
    </row>
    <row r="30" spans="1:8">
      <c r="A30" s="67"/>
      <c r="B30" s="15"/>
      <c r="D30" s="15"/>
      <c r="E30" s="15"/>
      <c r="F30" s="15"/>
    </row>
    <row r="31" spans="1:8">
      <c r="A31" s="67"/>
      <c r="B31" s="15"/>
      <c r="D31" s="15"/>
      <c r="E31" s="15"/>
      <c r="F31" s="15"/>
    </row>
    <row r="32" spans="1:8">
      <c r="A32" s="67"/>
      <c r="B32" s="15"/>
      <c r="D32" s="15"/>
      <c r="E32" s="15"/>
      <c r="F32" s="31"/>
    </row>
    <row r="33" spans="1:5">
      <c r="A33" s="549"/>
      <c r="B33" s="549"/>
      <c r="C33" s="549"/>
      <c r="D33" s="549"/>
      <c r="E33" s="549"/>
    </row>
  </sheetData>
  <mergeCells count="10">
    <mergeCell ref="A22:D22"/>
    <mergeCell ref="A23:D23"/>
    <mergeCell ref="A2:F2"/>
    <mergeCell ref="A3:F3"/>
    <mergeCell ref="A4:F4"/>
    <mergeCell ref="A5:F5"/>
    <mergeCell ref="A10:A11"/>
    <mergeCell ref="B10:B11"/>
    <mergeCell ref="C10:C11"/>
    <mergeCell ref="D10:D11"/>
  </mergeCells>
  <printOptions horizontalCentered="1"/>
  <pageMargins left="0.59055118110236227" right="0.11811023622047245" top="0.59055118110236227" bottom="0.59055118110236227" header="0.51181102362204722" footer="0.51181102362204722"/>
  <pageSetup paperSize="9" scale="82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A1:K32"/>
  <sheetViews>
    <sheetView showGridLines="0" topLeftCell="A7" zoomScaleNormal="100" zoomScaleSheetLayoutView="100" workbookViewId="0">
      <selection activeCell="J17" sqref="J17"/>
    </sheetView>
  </sheetViews>
  <sheetFormatPr defaultColWidth="9.140625" defaultRowHeight="21"/>
  <cols>
    <col min="1" max="1" width="4.28515625" style="6" customWidth="1"/>
    <col min="2" max="2" width="34.42578125" style="6" customWidth="1"/>
    <col min="3" max="3" width="8.7109375" style="6" customWidth="1"/>
    <col min="4" max="4" width="9.42578125" style="6" bestFit="1" customWidth="1"/>
    <col min="5" max="5" width="15" style="6" bestFit="1" customWidth="1"/>
    <col min="6" max="6" width="16.42578125" style="6" customWidth="1"/>
    <col min="7" max="7" width="9.42578125" style="6" customWidth="1"/>
    <col min="8" max="8" width="16" style="6" customWidth="1"/>
    <col min="9" max="10" width="9.7109375" style="6" customWidth="1"/>
    <col min="11" max="11" width="12.85546875" style="6" customWidth="1"/>
    <col min="12" max="16384" width="9.140625" style="6"/>
  </cols>
  <sheetData>
    <row r="1" spans="1:11">
      <c r="K1" s="5" t="s">
        <v>15</v>
      </c>
    </row>
    <row r="2" spans="1:11" ht="26.25">
      <c r="A2" s="701" t="s">
        <v>521</v>
      </c>
      <c r="B2" s="701"/>
      <c r="C2" s="701"/>
      <c r="D2" s="701"/>
      <c r="E2" s="701"/>
      <c r="F2" s="701"/>
      <c r="G2" s="701"/>
      <c r="H2" s="701"/>
      <c r="I2" s="701"/>
      <c r="J2" s="701"/>
      <c r="K2" s="701"/>
    </row>
    <row r="3" spans="1:11" ht="26.25">
      <c r="A3" s="701" t="s">
        <v>257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</row>
    <row r="4" spans="1:11" ht="26.25">
      <c r="A4" s="701" t="s">
        <v>643</v>
      </c>
      <c r="B4" s="701"/>
      <c r="C4" s="701"/>
      <c r="D4" s="701"/>
      <c r="E4" s="701"/>
      <c r="F4" s="701"/>
      <c r="G4" s="701"/>
      <c r="H4" s="701"/>
      <c r="I4" s="701"/>
      <c r="J4" s="701"/>
      <c r="K4" s="701"/>
    </row>
    <row r="5" spans="1:11" ht="26.25">
      <c r="A5" s="701" t="s">
        <v>644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</row>
    <row r="6" spans="1:11">
      <c r="A6" s="5" t="s">
        <v>523</v>
      </c>
    </row>
    <row r="7" spans="1:11" ht="26.25">
      <c r="A7" s="5" t="s">
        <v>57</v>
      </c>
      <c r="C7" s="45"/>
      <c r="D7" s="45"/>
      <c r="E7" s="45"/>
      <c r="F7" s="45"/>
      <c r="G7" s="45"/>
      <c r="H7" s="45"/>
      <c r="I7" s="45"/>
      <c r="J7" s="45"/>
      <c r="K7" s="45"/>
    </row>
    <row r="8" spans="1:11">
      <c r="A8" s="5" t="s">
        <v>645</v>
      </c>
    </row>
    <row r="9" spans="1:11" ht="23.25" customHeight="1">
      <c r="K9" s="10" t="s">
        <v>55</v>
      </c>
    </row>
    <row r="10" spans="1:11" ht="23.45" customHeight="1">
      <c r="A10" s="601" t="s">
        <v>56</v>
      </c>
      <c r="B10" s="601" t="s">
        <v>120</v>
      </c>
      <c r="C10" s="601" t="s">
        <v>119</v>
      </c>
      <c r="D10" s="687" t="s">
        <v>646</v>
      </c>
      <c r="E10" s="636" t="s">
        <v>647</v>
      </c>
      <c r="F10" s="637"/>
      <c r="G10" s="638"/>
      <c r="H10" s="687" t="s">
        <v>648</v>
      </c>
      <c r="I10" s="654" t="s">
        <v>649</v>
      </c>
      <c r="J10" s="656"/>
      <c r="K10" s="601" t="s">
        <v>650</v>
      </c>
    </row>
    <row r="11" spans="1:11" ht="42">
      <c r="A11" s="706"/>
      <c r="B11" s="706"/>
      <c r="C11" s="706"/>
      <c r="D11" s="653"/>
      <c r="E11" s="65" t="s">
        <v>651</v>
      </c>
      <c r="F11" s="65" t="s">
        <v>652</v>
      </c>
      <c r="G11" s="27" t="s">
        <v>653</v>
      </c>
      <c r="H11" s="706"/>
      <c r="I11" s="47" t="s">
        <v>271</v>
      </c>
      <c r="J11" s="47" t="s">
        <v>654</v>
      </c>
      <c r="K11" s="706"/>
    </row>
    <row r="12" spans="1:11" ht="23.2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ht="27.95" customHeight="1"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>
      <c r="B32" s="19"/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12">
    <mergeCell ref="A2:K2"/>
    <mergeCell ref="A10:A11"/>
    <mergeCell ref="A4:K4"/>
    <mergeCell ref="A5:K5"/>
    <mergeCell ref="K10:K11"/>
    <mergeCell ref="H10:H11"/>
    <mergeCell ref="C10:C11"/>
    <mergeCell ref="B10:B11"/>
    <mergeCell ref="A3:K3"/>
    <mergeCell ref="I10:J10"/>
    <mergeCell ref="E10:G10"/>
    <mergeCell ref="D10:D11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68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687F-6DFB-4FFA-945E-401936D9755A}">
  <sheetPr codeName="Sheet25">
    <tabColor rgb="FF92D050"/>
    <pageSetUpPr fitToPage="1"/>
  </sheetPr>
  <dimension ref="A1:M32"/>
  <sheetViews>
    <sheetView showGridLines="0" topLeftCell="A4" zoomScaleNormal="100" workbookViewId="0">
      <selection activeCell="I34" sqref="I34"/>
    </sheetView>
  </sheetViews>
  <sheetFormatPr defaultColWidth="9.140625" defaultRowHeight="21"/>
  <cols>
    <col min="1" max="1" width="4.5703125" style="6" customWidth="1"/>
    <col min="2" max="2" width="35.28515625" style="6" customWidth="1"/>
    <col min="3" max="3" width="9.5703125" style="6" customWidth="1"/>
    <col min="4" max="4" width="15.28515625" style="6" bestFit="1" customWidth="1"/>
    <col min="5" max="5" width="16.42578125" style="6" customWidth="1"/>
    <col min="6" max="6" width="14.140625" style="6" customWidth="1"/>
    <col min="7" max="7" width="7.85546875" style="6" customWidth="1"/>
    <col min="8" max="8" width="18.140625" style="6" bestFit="1" customWidth="1"/>
    <col min="9" max="9" width="16.42578125" style="6" bestFit="1" customWidth="1"/>
    <col min="10" max="10" width="16.42578125" style="6" customWidth="1"/>
    <col min="11" max="11" width="16.85546875" style="6" bestFit="1" customWidth="1"/>
    <col min="12" max="12" width="10.7109375" style="6" bestFit="1" customWidth="1"/>
    <col min="13" max="16384" width="9.140625" style="6"/>
  </cols>
  <sheetData>
    <row r="1" spans="1:13">
      <c r="L1" s="13" t="s">
        <v>18</v>
      </c>
    </row>
    <row r="2" spans="1:13" ht="26.25">
      <c r="A2" s="701" t="s">
        <v>521</v>
      </c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</row>
    <row r="3" spans="1:13" ht="26.25">
      <c r="A3" s="701" t="s">
        <v>655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</row>
    <row r="4" spans="1:13" ht="26.25">
      <c r="A4" s="707" t="s">
        <v>656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13" ht="26.25">
      <c r="A5" s="701" t="s">
        <v>657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</row>
    <row r="6" spans="1:13">
      <c r="A6" s="5" t="s">
        <v>523</v>
      </c>
    </row>
    <row r="7" spans="1:13" ht="26.25">
      <c r="A7" s="5" t="s">
        <v>524</v>
      </c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3">
      <c r="A8" s="5" t="s">
        <v>525</v>
      </c>
    </row>
    <row r="9" spans="1:13" ht="23.25" customHeight="1">
      <c r="L9" s="66" t="s">
        <v>55</v>
      </c>
    </row>
    <row r="10" spans="1:13">
      <c r="A10" s="601" t="s">
        <v>56</v>
      </c>
      <c r="B10" s="601" t="s">
        <v>120</v>
      </c>
      <c r="C10" s="601" t="s">
        <v>119</v>
      </c>
      <c r="D10" s="687" t="s">
        <v>646</v>
      </c>
      <c r="E10" s="636" t="s">
        <v>647</v>
      </c>
      <c r="F10" s="637"/>
      <c r="G10" s="638"/>
      <c r="H10" s="601" t="s">
        <v>658</v>
      </c>
      <c r="I10" s="654" t="s">
        <v>649</v>
      </c>
      <c r="J10" s="655"/>
      <c r="K10" s="656"/>
      <c r="L10" s="601" t="s">
        <v>650</v>
      </c>
    </row>
    <row r="11" spans="1:13" ht="48" customHeight="1">
      <c r="A11" s="706"/>
      <c r="B11" s="706"/>
      <c r="C11" s="706"/>
      <c r="D11" s="653"/>
      <c r="E11" s="65" t="s">
        <v>651</v>
      </c>
      <c r="F11" s="65" t="s">
        <v>652</v>
      </c>
      <c r="G11" s="27" t="s">
        <v>653</v>
      </c>
      <c r="H11" s="706"/>
      <c r="I11" s="47" t="s">
        <v>271</v>
      </c>
      <c r="J11" s="47" t="s">
        <v>654</v>
      </c>
      <c r="K11" s="47" t="s">
        <v>659</v>
      </c>
      <c r="L11" s="706"/>
    </row>
    <row r="12" spans="1:13" s="2" customFormat="1" ht="23.25" customHeight="1">
      <c r="A12" s="246">
        <v>1</v>
      </c>
      <c r="B12" s="249" t="str">
        <f>หมวดยานพาหนะ!B6</f>
        <v>รถบรรทุก 3 ตัน พร้อมตู้เก็บเครื่องมือ</v>
      </c>
      <c r="C12" s="246">
        <f>หมวดยานพาหนะ!AE6</f>
        <v>72</v>
      </c>
      <c r="D12" s="375">
        <f>หมวดยานพาหนะ!AF6</f>
        <v>1920000</v>
      </c>
      <c r="E12" s="376"/>
      <c r="F12" s="376"/>
      <c r="G12" s="376"/>
      <c r="H12" s="375">
        <f>หมวดยานพาหนะ!AG6</f>
        <v>138240000</v>
      </c>
      <c r="I12" s="375">
        <v>0</v>
      </c>
      <c r="J12" s="375">
        <f>'ประมาณเบิกจ่าย หมวดยานพาหนะ'!BP5</f>
        <v>138240000</v>
      </c>
      <c r="K12" s="376">
        <v>0</v>
      </c>
      <c r="L12" s="249"/>
    </row>
    <row r="13" spans="1:13" s="2" customFormat="1">
      <c r="A13" s="249">
        <v>2</v>
      </c>
      <c r="B13" s="249" t="str">
        <f>หมวดยานพาหนะ!B7</f>
        <v>รถบรรทุก 4 ตัน ติดกระเช้า (Category C)</v>
      </c>
      <c r="C13" s="246">
        <f>หมวดยานพาหนะ!AE7</f>
        <v>64</v>
      </c>
      <c r="D13" s="375">
        <f>หมวดยานพาหนะ!AF7</f>
        <v>4130000</v>
      </c>
      <c r="E13" s="376"/>
      <c r="F13" s="376"/>
      <c r="G13" s="376"/>
      <c r="H13" s="375">
        <f>หมวดยานพาหนะ!AG7</f>
        <v>264320000</v>
      </c>
      <c r="I13" s="375">
        <v>0</v>
      </c>
      <c r="J13" s="375">
        <v>0</v>
      </c>
      <c r="K13" s="375">
        <f>'ประมาณเบิกจ่าย หมวดยานพาหนะ'!BQ7</f>
        <v>264320000</v>
      </c>
      <c r="L13" s="249"/>
    </row>
    <row r="14" spans="1:13" s="2" customFormat="1">
      <c r="A14" s="249">
        <v>3</v>
      </c>
      <c r="B14" s="249" t="str">
        <f>หมวดยานพาหนะ!B8</f>
        <v>รถบรรทุก 6 ตัน (ใช้งานคลังพัสดุ)</v>
      </c>
      <c r="C14" s="246">
        <f>หมวดยานพาหนะ!AE8</f>
        <v>90</v>
      </c>
      <c r="D14" s="375">
        <f>หมวดยานพาหนะ!AF8</f>
        <v>2110000</v>
      </c>
      <c r="E14" s="376"/>
      <c r="F14" s="376"/>
      <c r="G14" s="376"/>
      <c r="H14" s="375">
        <f>หมวดยานพาหนะ!AG8</f>
        <v>189900000</v>
      </c>
      <c r="I14" s="375">
        <f>'ประมาณเบิกจ่าย หมวดยานพาหนะ'!BO9</f>
        <v>63300000</v>
      </c>
      <c r="J14" s="375">
        <f>'ประมาณเบิกจ่าย หมวดยานพาหนะ'!BP9</f>
        <v>126600000</v>
      </c>
      <c r="K14" s="375">
        <v>0</v>
      </c>
      <c r="L14" s="249"/>
    </row>
    <row r="15" spans="1:13" s="2" customFormat="1">
      <c r="A15" s="249">
        <v>4</v>
      </c>
      <c r="B15" s="249" t="str">
        <f>หมวดยานพาหนะ!B9</f>
        <v>รถกระเช้าฮอทไลน์ 22 เควี</v>
      </c>
      <c r="C15" s="246">
        <f>หมวดยานพาหนะ!AE9</f>
        <v>15</v>
      </c>
      <c r="D15" s="375">
        <f>หมวดยานพาหนะ!AF9</f>
        <v>11220000</v>
      </c>
      <c r="E15" s="376"/>
      <c r="F15" s="376"/>
      <c r="G15" s="376"/>
      <c r="H15" s="375">
        <f>หมวดยานพาหนะ!AG9</f>
        <v>168300000</v>
      </c>
      <c r="I15" s="375">
        <v>0</v>
      </c>
      <c r="J15" s="375">
        <v>0</v>
      </c>
      <c r="K15" s="375">
        <f>'ประมาณเบิกจ่าย หมวดยานพาหนะ'!BQ10</f>
        <v>168300000</v>
      </c>
      <c r="L15" s="249"/>
    </row>
    <row r="16" spans="1:13" s="2" customFormat="1">
      <c r="A16" s="249">
        <v>5</v>
      </c>
      <c r="B16" s="249" t="str">
        <f>หมวดยานพาหนะ!B10</f>
        <v>รถบริการด้านฮอทไลน์</v>
      </c>
      <c r="C16" s="246">
        <f>หมวดยานพาหนะ!AE10</f>
        <v>6</v>
      </c>
      <c r="D16" s="375">
        <f>หมวดยานพาหนะ!AF10</f>
        <v>2450000</v>
      </c>
      <c r="E16" s="376"/>
      <c r="F16" s="376"/>
      <c r="G16" s="376"/>
      <c r="H16" s="375">
        <f>หมวดยานพาหนะ!AG10</f>
        <v>14700000</v>
      </c>
      <c r="I16" s="375">
        <v>0</v>
      </c>
      <c r="J16" s="375">
        <f>'ประมาณเบิกจ่าย หมวดยานพาหนะ'!BP11</f>
        <v>14700000</v>
      </c>
      <c r="K16" s="375"/>
      <c r="L16" s="249"/>
    </row>
    <row r="17" spans="1:12" s="2" customFormat="1">
      <c r="A17" s="249">
        <v>6</v>
      </c>
      <c r="B17" s="249" t="str">
        <f>หมวดยานพาหนะ!B11</f>
        <v>รถเครน ขนาด 35 ตัน</v>
      </c>
      <c r="C17" s="246">
        <f>หมวดยานพาหนะ!AE11</f>
        <v>3</v>
      </c>
      <c r="D17" s="375">
        <f>หมวดยานพาหนะ!AF11</f>
        <v>34100000</v>
      </c>
      <c r="E17" s="376"/>
      <c r="F17" s="376"/>
      <c r="G17" s="376"/>
      <c r="H17" s="375">
        <f>หมวดยานพาหนะ!AG11</f>
        <v>102300000</v>
      </c>
      <c r="I17" s="375">
        <v>0</v>
      </c>
      <c r="J17" s="375">
        <v>0</v>
      </c>
      <c r="K17" s="375">
        <f>'ประมาณเบิกจ่าย หมวดยานพาหนะ'!BQ12</f>
        <v>102300000</v>
      </c>
      <c r="L17" s="249"/>
    </row>
    <row r="18" spans="1:12" s="2" customFormat="1" ht="42">
      <c r="A18" s="249">
        <v>7</v>
      </c>
      <c r="B18" s="299" t="str">
        <f>หมวดยานพาหนะ!B12</f>
        <v>รถหัวลากติดเครน พร้อมรถกึ่งพ่วงแบบพื้นราบ (Flat Bed) แบบขยายความยาวได้</v>
      </c>
      <c r="C18" s="246">
        <f>หมวดยานพาหนะ!AE12</f>
        <v>9</v>
      </c>
      <c r="D18" s="375">
        <f>หมวดยานพาหนะ!AF12</f>
        <v>13480000</v>
      </c>
      <c r="E18" s="376"/>
      <c r="F18" s="376"/>
      <c r="G18" s="376"/>
      <c r="H18" s="375">
        <f>หมวดยานพาหนะ!AG12</f>
        <v>121320000</v>
      </c>
      <c r="I18" s="375">
        <v>0</v>
      </c>
      <c r="J18" s="375">
        <v>0</v>
      </c>
      <c r="K18" s="375">
        <f>'ประมาณเบิกจ่าย หมวดยานพาหนะ'!BQ15</f>
        <v>121320000</v>
      </c>
      <c r="L18" s="249"/>
    </row>
    <row r="19" spans="1:12" s="2" customFormat="1">
      <c r="A19" s="249">
        <v>8</v>
      </c>
      <c r="B19" s="249" t="str">
        <f>หมวดยานพาหนะ!B13</f>
        <v>รถบรรทุก 6 ตัน กระบะยาว</v>
      </c>
      <c r="C19" s="246">
        <f>หมวดยานพาหนะ!AE13</f>
        <v>2</v>
      </c>
      <c r="D19" s="375">
        <f>หมวดยานพาหนะ!AF13</f>
        <v>2110000</v>
      </c>
      <c r="E19" s="376"/>
      <c r="F19" s="376"/>
      <c r="G19" s="376"/>
      <c r="H19" s="375">
        <f>หมวดยานพาหนะ!AG13</f>
        <v>4220000</v>
      </c>
      <c r="I19" s="375">
        <f>'ประมาณเบิกจ่าย หมวดยานพาหนะ'!BO16</f>
        <v>4220000</v>
      </c>
      <c r="J19" s="375">
        <v>0</v>
      </c>
      <c r="K19" s="375">
        <v>0</v>
      </c>
      <c r="L19" s="249"/>
    </row>
    <row r="20" spans="1:12" s="2" customFormat="1" ht="63">
      <c r="A20" s="249">
        <v>9</v>
      </c>
      <c r="B20" s="299" t="str">
        <f>หมวดยานพาหนะ!B14</f>
        <v>รถบรรทุก 6 ล้อติดเครนพับ พร้อมกระบะบรรทุกความยาว ไม่น้อยกว่า 6 เมตร พร้อมหลังคาเลื่อนเปิด - ปิด ได้ตลอด</v>
      </c>
      <c r="C20" s="246">
        <f>หมวดยานพาหนะ!AE14</f>
        <v>1</v>
      </c>
      <c r="D20" s="375">
        <f>หมวดยานพาหนะ!AF14</f>
        <v>3680000</v>
      </c>
      <c r="E20" s="376"/>
      <c r="F20" s="376"/>
      <c r="G20" s="376"/>
      <c r="H20" s="375">
        <f>หมวดยานพาหนะ!AG14</f>
        <v>3680000</v>
      </c>
      <c r="I20" s="375">
        <v>0</v>
      </c>
      <c r="J20" s="375">
        <v>0</v>
      </c>
      <c r="K20" s="375">
        <f>'ประมาณเบิกจ่าย หมวดยานพาหนะ'!BQ17</f>
        <v>3680000</v>
      </c>
      <c r="L20" s="249"/>
    </row>
    <row r="21" spans="1:12" s="2" customFormat="1">
      <c r="A21" s="249">
        <v>10</v>
      </c>
      <c r="B21" s="249" t="str">
        <f>หมวดยานพาหนะ!B15</f>
        <v>รถขุดเจาะ 4x4</v>
      </c>
      <c r="C21" s="246">
        <f>หมวดยานพาหนะ!AE15</f>
        <v>2</v>
      </c>
      <c r="D21" s="375">
        <f>หมวดยานพาหนะ!AF15</f>
        <v>14900000</v>
      </c>
      <c r="E21" s="376"/>
      <c r="F21" s="376"/>
      <c r="G21" s="376"/>
      <c r="H21" s="375">
        <f>หมวดยานพาหนะ!AG15</f>
        <v>29800000</v>
      </c>
      <c r="I21" s="375">
        <v>0</v>
      </c>
      <c r="J21" s="375">
        <v>0</v>
      </c>
      <c r="K21" s="375">
        <f>'ประมาณเบิกจ่าย หมวดยานพาหนะ'!BQ25</f>
        <v>29800000</v>
      </c>
      <c r="L21" s="249"/>
    </row>
    <row r="22" spans="1:12" s="5" customFormat="1">
      <c r="A22" s="636" t="s">
        <v>660</v>
      </c>
      <c r="B22" s="637"/>
      <c r="C22" s="637"/>
      <c r="D22" s="637"/>
      <c r="E22" s="637"/>
      <c r="F22" s="637"/>
      <c r="G22" s="638"/>
      <c r="H22" s="525">
        <f>SUM(H12:H21)</f>
        <v>1036780000</v>
      </c>
      <c r="I22" s="525">
        <f t="shared" ref="I22:K22" si="0">SUM(I12:I21)</f>
        <v>67520000</v>
      </c>
      <c r="J22" s="525">
        <f t="shared" si="0"/>
        <v>279540000</v>
      </c>
      <c r="K22" s="525">
        <f t="shared" si="0"/>
        <v>689720000</v>
      </c>
      <c r="L22" s="526"/>
    </row>
    <row r="23" spans="1:1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 ht="27.95" customHeight="1">
      <c r="A29" s="48" t="s">
        <v>661</v>
      </c>
      <c r="B29" s="18" t="s">
        <v>662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>
      <c r="B30" s="18" t="s">
        <v>663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</sheetData>
  <mergeCells count="13">
    <mergeCell ref="I10:K10"/>
    <mergeCell ref="L10:L11"/>
    <mergeCell ref="A22:G22"/>
    <mergeCell ref="A2:L2"/>
    <mergeCell ref="A3:L3"/>
    <mergeCell ref="A4:M4"/>
    <mergeCell ref="A5:L5"/>
    <mergeCell ref="A10:A11"/>
    <mergeCell ref="B10:B11"/>
    <mergeCell ref="C10:C11"/>
    <mergeCell ref="D10:D11"/>
    <mergeCell ref="E10:G10"/>
    <mergeCell ref="H10:H11"/>
  </mergeCells>
  <printOptions horizontalCentered="1"/>
  <pageMargins left="0.62992125984251968" right="0.39370078740157483" top="0.78740157480314965" bottom="0.59055118110236227" header="0.51181102362204722" footer="0.51181102362204722"/>
  <pageSetup paperSize="9" scale="52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92D050"/>
    <pageSetUpPr fitToPage="1"/>
  </sheetPr>
  <dimension ref="A1:M32"/>
  <sheetViews>
    <sheetView showGridLines="0" topLeftCell="A4" zoomScaleNormal="100" workbookViewId="0">
      <selection activeCell="F19" sqref="F19"/>
    </sheetView>
  </sheetViews>
  <sheetFormatPr defaultColWidth="9.140625" defaultRowHeight="21"/>
  <cols>
    <col min="1" max="1" width="4.5703125" style="6" customWidth="1"/>
    <col min="2" max="2" width="35.28515625" style="6" customWidth="1"/>
    <col min="3" max="3" width="9.5703125" style="6" customWidth="1"/>
    <col min="4" max="4" width="10" style="6" customWidth="1"/>
    <col min="5" max="5" width="16.42578125" style="6" customWidth="1"/>
    <col min="6" max="6" width="14.140625" style="6" customWidth="1"/>
    <col min="7" max="7" width="7.85546875" style="6" customWidth="1"/>
    <col min="8" max="9" width="16.42578125" style="6" bestFit="1" customWidth="1"/>
    <col min="10" max="10" width="16.42578125" style="6" customWidth="1"/>
    <col min="11" max="11" width="16.140625" style="6" bestFit="1" customWidth="1"/>
    <col min="12" max="12" width="10.7109375" style="6" bestFit="1" customWidth="1"/>
    <col min="13" max="16384" width="9.140625" style="6"/>
  </cols>
  <sheetData>
    <row r="1" spans="1:13">
      <c r="L1" s="13" t="s">
        <v>18</v>
      </c>
    </row>
    <row r="2" spans="1:13" ht="26.25">
      <c r="A2" s="701" t="s">
        <v>521</v>
      </c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</row>
    <row r="3" spans="1:13" ht="26.25">
      <c r="A3" s="708" t="s">
        <v>664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8"/>
    </row>
    <row r="4" spans="1:13" ht="26.25">
      <c r="A4" s="708" t="s">
        <v>665</v>
      </c>
      <c r="B4" s="708"/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708"/>
    </row>
    <row r="5" spans="1:13" ht="26.25">
      <c r="A5" s="708" t="s">
        <v>657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8"/>
    </row>
    <row r="6" spans="1:13">
      <c r="A6" s="5" t="s">
        <v>523</v>
      </c>
    </row>
    <row r="7" spans="1:13" ht="26.25">
      <c r="A7" s="5" t="s">
        <v>524</v>
      </c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3">
      <c r="A8" s="5" t="s">
        <v>525</v>
      </c>
    </row>
    <row r="9" spans="1:13" ht="23.25" customHeight="1">
      <c r="L9" s="66" t="s">
        <v>55</v>
      </c>
    </row>
    <row r="10" spans="1:13">
      <c r="A10" s="601" t="s">
        <v>56</v>
      </c>
      <c r="B10" s="601" t="s">
        <v>120</v>
      </c>
      <c r="C10" s="601" t="s">
        <v>119</v>
      </c>
      <c r="D10" s="687" t="s">
        <v>646</v>
      </c>
      <c r="E10" s="636" t="s">
        <v>647</v>
      </c>
      <c r="F10" s="637"/>
      <c r="G10" s="638"/>
      <c r="H10" s="601" t="s">
        <v>658</v>
      </c>
      <c r="I10" s="654" t="s">
        <v>649</v>
      </c>
      <c r="J10" s="655"/>
      <c r="K10" s="656"/>
      <c r="L10" s="601" t="s">
        <v>650</v>
      </c>
    </row>
    <row r="11" spans="1:13" ht="48" customHeight="1">
      <c r="A11" s="706"/>
      <c r="B11" s="706"/>
      <c r="C11" s="706"/>
      <c r="D11" s="653"/>
      <c r="E11" s="65" t="s">
        <v>651</v>
      </c>
      <c r="F11" s="65" t="s">
        <v>652</v>
      </c>
      <c r="G11" s="27" t="s">
        <v>653</v>
      </c>
      <c r="H11" s="706"/>
      <c r="I11" s="47" t="s">
        <v>271</v>
      </c>
      <c r="J11" s="47" t="s">
        <v>654</v>
      </c>
      <c r="K11" s="47" t="s">
        <v>659</v>
      </c>
      <c r="L11" s="706"/>
    </row>
    <row r="12" spans="1:13" ht="23.25" customHeight="1">
      <c r="A12" s="67">
        <v>1</v>
      </c>
      <c r="B12" s="15" t="s">
        <v>666</v>
      </c>
      <c r="C12" s="15">
        <f>SUM('เครื่องมือ(ส่วนกลาง) ปี 2568'!AD254:AE254)+SUM('เครื่องมือ(ส่วนภูมิภาค) ปี 2568'!AB262:AC262)</f>
        <v>970</v>
      </c>
      <c r="D12" s="15"/>
      <c r="E12" s="15"/>
      <c r="F12" s="15"/>
      <c r="G12" s="15"/>
      <c r="H12" s="373">
        <f>'เครื่องมือ(ส่วนกลาง) ปี 2568'!BH254+'เครื่องมือ(ส่วนภูมิภาค) ปี 2568'!BD262</f>
        <v>522930000</v>
      </c>
      <c r="I12" s="373">
        <v>130000000</v>
      </c>
      <c r="J12" s="373">
        <v>185000000</v>
      </c>
      <c r="K12" s="374">
        <f>H12-I12-J12</f>
        <v>207930000</v>
      </c>
      <c r="L12" s="15"/>
    </row>
    <row r="13" spans="1: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 ht="27.95" customHeight="1">
      <c r="A29" s="48" t="s">
        <v>661</v>
      </c>
      <c r="B29" s="18" t="s">
        <v>662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>
      <c r="B30" s="18" t="s">
        <v>663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</sheetData>
  <mergeCells count="12">
    <mergeCell ref="A2:L2"/>
    <mergeCell ref="A10:A11"/>
    <mergeCell ref="A5:L5"/>
    <mergeCell ref="L10:L11"/>
    <mergeCell ref="H10:H11"/>
    <mergeCell ref="C10:C11"/>
    <mergeCell ref="B10:B11"/>
    <mergeCell ref="A3:L3"/>
    <mergeCell ref="E10:G10"/>
    <mergeCell ref="D10:D11"/>
    <mergeCell ref="I10:K10"/>
    <mergeCell ref="A4:M4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55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rgb="FF92D050"/>
  </sheetPr>
  <dimension ref="A1:V27"/>
  <sheetViews>
    <sheetView showGridLines="0" view="pageBreakPreview" topLeftCell="A7" zoomScaleNormal="115" zoomScaleSheetLayoutView="100" workbookViewId="0">
      <selection activeCell="I22" sqref="I22"/>
    </sheetView>
  </sheetViews>
  <sheetFormatPr defaultColWidth="9.140625" defaultRowHeight="21"/>
  <cols>
    <col min="1" max="1" width="8.42578125" style="6" customWidth="1"/>
    <col min="2" max="2" width="31.28515625" style="6" customWidth="1"/>
    <col min="3" max="3" width="15.85546875" style="6" customWidth="1"/>
    <col min="4" max="5" width="8.5703125" style="6" customWidth="1"/>
    <col min="6" max="6" width="8.5703125" style="7" customWidth="1"/>
    <col min="7" max="15" width="8.5703125" style="6" customWidth="1"/>
    <col min="16" max="18" width="9" style="5" bestFit="1" customWidth="1"/>
    <col min="19" max="19" width="8.85546875" style="5" bestFit="1" customWidth="1"/>
    <col min="20" max="20" width="8.5703125" style="5" customWidth="1"/>
    <col min="21" max="21" width="9.140625" style="6" customWidth="1"/>
    <col min="22" max="16384" width="9.140625" style="6"/>
  </cols>
  <sheetData>
    <row r="1" spans="1:20">
      <c r="N1" s="10"/>
      <c r="O1" s="10"/>
    </row>
    <row r="2" spans="1:20" ht="26.25">
      <c r="A2" s="701" t="s">
        <v>23</v>
      </c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</row>
    <row r="3" spans="1:20" ht="26.25">
      <c r="A3" s="701" t="s">
        <v>667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</row>
    <row r="4" spans="1:20">
      <c r="A4" s="5" t="s">
        <v>523</v>
      </c>
      <c r="F4" s="6"/>
    </row>
    <row r="5" spans="1:20">
      <c r="A5" s="5" t="s">
        <v>524</v>
      </c>
    </row>
    <row r="6" spans="1:20">
      <c r="A6" s="5" t="s">
        <v>525</v>
      </c>
    </row>
    <row r="7" spans="1:20">
      <c r="P7" s="66"/>
      <c r="Q7" s="66"/>
      <c r="R7" s="66"/>
      <c r="S7" s="66"/>
      <c r="T7" s="66" t="s">
        <v>668</v>
      </c>
    </row>
    <row r="8" spans="1:20">
      <c r="A8" s="601" t="s">
        <v>367</v>
      </c>
      <c r="B8" s="601" t="s">
        <v>669</v>
      </c>
      <c r="C8" s="541" t="s">
        <v>670</v>
      </c>
      <c r="D8" s="636" t="s">
        <v>671</v>
      </c>
      <c r="E8" s="637"/>
      <c r="F8" s="637"/>
      <c r="G8" s="637"/>
      <c r="H8" s="637"/>
      <c r="I8" s="637"/>
      <c r="J8" s="637"/>
      <c r="K8" s="637"/>
      <c r="L8" s="637"/>
      <c r="M8" s="637"/>
      <c r="N8" s="637"/>
      <c r="O8" s="637"/>
      <c r="P8" s="637"/>
      <c r="Q8" s="637"/>
      <c r="R8" s="637"/>
      <c r="S8" s="637"/>
      <c r="T8" s="638"/>
    </row>
    <row r="9" spans="1:20">
      <c r="A9" s="710"/>
      <c r="B9" s="652"/>
      <c r="C9" s="46" t="s">
        <v>672</v>
      </c>
      <c r="D9" s="636" t="s">
        <v>673</v>
      </c>
      <c r="E9" s="637"/>
      <c r="F9" s="637"/>
      <c r="G9" s="637"/>
      <c r="H9" s="637"/>
      <c r="I9" s="637"/>
      <c r="J9" s="637"/>
      <c r="K9" s="637"/>
      <c r="L9" s="637"/>
      <c r="M9" s="637"/>
      <c r="N9" s="637"/>
      <c r="O9" s="637"/>
      <c r="P9" s="638"/>
      <c r="Q9" s="601" t="s">
        <v>654</v>
      </c>
      <c r="R9" s="604" t="s">
        <v>674</v>
      </c>
      <c r="S9" s="604" t="s">
        <v>675</v>
      </c>
      <c r="T9" s="604" t="s">
        <v>676</v>
      </c>
    </row>
    <row r="10" spans="1:20">
      <c r="A10" s="49" t="s">
        <v>56</v>
      </c>
      <c r="B10" s="653"/>
      <c r="C10" s="14" t="s">
        <v>271</v>
      </c>
      <c r="D10" s="431" t="s">
        <v>677</v>
      </c>
      <c r="E10" s="431" t="s">
        <v>678</v>
      </c>
      <c r="F10" s="431" t="s">
        <v>679</v>
      </c>
      <c r="G10" s="431" t="s">
        <v>680</v>
      </c>
      <c r="H10" s="431" t="s">
        <v>681</v>
      </c>
      <c r="I10" s="431" t="s">
        <v>682</v>
      </c>
      <c r="J10" s="431" t="s">
        <v>683</v>
      </c>
      <c r="K10" s="431" t="s">
        <v>684</v>
      </c>
      <c r="L10" s="431" t="s">
        <v>685</v>
      </c>
      <c r="M10" s="431" t="s">
        <v>686</v>
      </c>
      <c r="N10" s="431" t="s">
        <v>687</v>
      </c>
      <c r="O10" s="431" t="s">
        <v>688</v>
      </c>
      <c r="P10" s="431" t="s">
        <v>61</v>
      </c>
      <c r="Q10" s="653"/>
      <c r="R10" s="606"/>
      <c r="S10" s="606"/>
      <c r="T10" s="606"/>
    </row>
    <row r="11" spans="1:20">
      <c r="A11" s="353">
        <v>1</v>
      </c>
      <c r="B11" s="354" t="s">
        <v>689</v>
      </c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6"/>
      <c r="S11" s="356"/>
      <c r="T11" s="356"/>
    </row>
    <row r="12" spans="1:20" ht="31.5" customHeight="1">
      <c r="A12" s="357">
        <v>2</v>
      </c>
      <c r="B12" s="358" t="s">
        <v>690</v>
      </c>
      <c r="C12" s="359"/>
      <c r="D12" s="360"/>
      <c r="E12" s="360"/>
      <c r="F12" s="361"/>
      <c r="G12" s="360"/>
      <c r="H12" s="360"/>
      <c r="I12" s="360"/>
      <c r="J12" s="360"/>
      <c r="K12" s="360"/>
      <c r="L12" s="360"/>
      <c r="M12" s="360"/>
      <c r="N12" s="360"/>
      <c r="O12" s="360"/>
      <c r="P12" s="362"/>
      <c r="Q12" s="362"/>
      <c r="R12" s="363"/>
      <c r="S12" s="363"/>
      <c r="T12" s="363"/>
    </row>
    <row r="13" spans="1:20" ht="31.5" customHeight="1">
      <c r="A13" s="359"/>
      <c r="B13" s="358" t="s">
        <v>691</v>
      </c>
      <c r="C13" s="359"/>
      <c r="D13" s="360"/>
      <c r="E13" s="360"/>
      <c r="F13" s="361"/>
      <c r="G13" s="360"/>
      <c r="H13" s="360"/>
      <c r="I13" s="360"/>
      <c r="J13" s="360"/>
      <c r="K13" s="360"/>
      <c r="L13" s="360"/>
      <c r="M13" s="360"/>
      <c r="N13" s="360"/>
      <c r="O13" s="360"/>
      <c r="P13" s="362"/>
      <c r="Q13" s="362"/>
      <c r="R13" s="363"/>
      <c r="S13" s="363"/>
      <c r="T13" s="363"/>
    </row>
    <row r="14" spans="1:20" ht="31.5" customHeight="1">
      <c r="A14" s="359"/>
      <c r="B14" s="358" t="s">
        <v>692</v>
      </c>
      <c r="C14" s="359"/>
      <c r="D14" s="360"/>
      <c r="E14" s="360"/>
      <c r="F14" s="361"/>
      <c r="G14" s="360"/>
      <c r="H14" s="360"/>
      <c r="I14" s="360"/>
      <c r="J14" s="360"/>
      <c r="K14" s="360"/>
      <c r="L14" s="360"/>
      <c r="M14" s="360"/>
      <c r="N14" s="360"/>
      <c r="O14" s="360"/>
      <c r="P14" s="362"/>
      <c r="Q14" s="362"/>
      <c r="R14" s="363"/>
      <c r="S14" s="363"/>
      <c r="T14" s="363"/>
    </row>
    <row r="15" spans="1:20" ht="31.5" customHeight="1">
      <c r="A15" s="359"/>
      <c r="B15" s="358" t="s">
        <v>693</v>
      </c>
      <c r="C15" s="359"/>
      <c r="D15" s="360"/>
      <c r="E15" s="360"/>
      <c r="F15" s="361"/>
      <c r="G15" s="360"/>
      <c r="H15" s="360"/>
      <c r="I15" s="360"/>
      <c r="J15" s="360"/>
      <c r="K15" s="360"/>
      <c r="L15" s="360"/>
      <c r="M15" s="360"/>
      <c r="N15" s="360"/>
      <c r="O15" s="360"/>
      <c r="P15" s="362"/>
      <c r="Q15" s="362"/>
      <c r="R15" s="363"/>
      <c r="S15" s="363"/>
      <c r="T15" s="363"/>
    </row>
    <row r="16" spans="1:20" ht="31.5" customHeight="1">
      <c r="A16" s="359"/>
      <c r="B16" s="358" t="s">
        <v>694</v>
      </c>
      <c r="C16" s="359"/>
      <c r="D16" s="360"/>
      <c r="E16" s="360"/>
      <c r="F16" s="361"/>
      <c r="G16" s="360"/>
      <c r="H16" s="360"/>
      <c r="I16" s="360"/>
      <c r="J16" s="360"/>
      <c r="K16" s="360"/>
      <c r="L16" s="360"/>
      <c r="M16" s="360"/>
      <c r="N16" s="360"/>
      <c r="O16" s="360"/>
      <c r="P16" s="362"/>
      <c r="Q16" s="362"/>
      <c r="R16" s="363"/>
      <c r="S16" s="363"/>
      <c r="T16" s="363"/>
    </row>
    <row r="17" spans="1:22" ht="31.5" customHeight="1">
      <c r="A17" s="357">
        <v>3</v>
      </c>
      <c r="B17" s="358" t="s">
        <v>695</v>
      </c>
      <c r="C17" s="359"/>
      <c r="D17" s="360"/>
      <c r="E17" s="360"/>
      <c r="F17" s="361"/>
      <c r="G17" s="360"/>
      <c r="H17" s="360"/>
      <c r="I17" s="360"/>
      <c r="J17" s="360"/>
      <c r="K17" s="360"/>
      <c r="L17" s="360"/>
      <c r="M17" s="360"/>
      <c r="N17" s="360"/>
      <c r="O17" s="360"/>
      <c r="P17" s="362"/>
      <c r="Q17" s="362"/>
      <c r="R17" s="363"/>
      <c r="S17" s="363"/>
      <c r="T17" s="363"/>
    </row>
    <row r="18" spans="1:22" ht="31.5" customHeight="1">
      <c r="A18" s="357">
        <v>4</v>
      </c>
      <c r="B18" s="358" t="s">
        <v>696</v>
      </c>
      <c r="C18" s="359"/>
      <c r="D18" s="360"/>
      <c r="E18" s="360"/>
      <c r="F18" s="361"/>
      <c r="G18" s="360"/>
      <c r="H18" s="360"/>
      <c r="I18" s="360"/>
      <c r="J18" s="360"/>
      <c r="K18" s="360"/>
      <c r="L18" s="360"/>
      <c r="M18" s="360"/>
      <c r="N18" s="360"/>
      <c r="O18" s="360"/>
      <c r="P18" s="362"/>
      <c r="Q18" s="362"/>
      <c r="R18" s="363"/>
      <c r="S18" s="363"/>
      <c r="T18" s="363"/>
    </row>
    <row r="19" spans="1:22" s="18" customFormat="1" ht="31.5" customHeight="1">
      <c r="A19" s="357">
        <v>5</v>
      </c>
      <c r="B19" s="358" t="s">
        <v>697</v>
      </c>
      <c r="C19" s="370"/>
      <c r="D19" s="370"/>
      <c r="E19" s="370"/>
      <c r="F19" s="370"/>
      <c r="G19" s="370"/>
      <c r="H19" s="370"/>
      <c r="I19" s="371"/>
      <c r="J19" s="371"/>
      <c r="K19" s="371"/>
      <c r="L19" s="371"/>
      <c r="M19" s="371"/>
      <c r="N19" s="371"/>
      <c r="O19" s="371"/>
      <c r="P19" s="369"/>
      <c r="Q19" s="369"/>
      <c r="R19" s="372"/>
      <c r="S19" s="372"/>
      <c r="T19" s="372"/>
      <c r="V19" s="6"/>
    </row>
    <row r="20" spans="1:22" s="18" customFormat="1" ht="31.5" customHeight="1">
      <c r="A20" s="357"/>
      <c r="B20" s="364" t="s">
        <v>698</v>
      </c>
      <c r="C20" s="370"/>
      <c r="D20" s="370">
        <v>0</v>
      </c>
      <c r="E20" s="370">
        <v>0</v>
      </c>
      <c r="F20" s="370">
        <v>0</v>
      </c>
      <c r="G20" s="370">
        <v>0</v>
      </c>
      <c r="H20" s="370">
        <v>0</v>
      </c>
      <c r="I20" s="371">
        <v>0</v>
      </c>
      <c r="J20" s="371">
        <v>0</v>
      </c>
      <c r="K20" s="371">
        <v>0</v>
      </c>
      <c r="L20" s="371">
        <v>0</v>
      </c>
      <c r="M20" s="371">
        <v>0</v>
      </c>
      <c r="N20" s="371">
        <v>0</v>
      </c>
      <c r="O20" s="371">
        <f>'004-4'!H7/1000000</f>
        <v>92.5</v>
      </c>
      <c r="P20" s="369">
        <f>SUM(D20:O20)</f>
        <v>92.5</v>
      </c>
      <c r="Q20" s="369">
        <f>'004-4'!I7/1000000</f>
        <v>193.9</v>
      </c>
      <c r="R20" s="369">
        <f>'004-4'!J7/1000000</f>
        <v>204.9</v>
      </c>
      <c r="S20" s="369">
        <f>'004-4'!K7/1000000</f>
        <v>0</v>
      </c>
      <c r="T20" s="369">
        <f>'004-4'!L7/1000000</f>
        <v>0</v>
      </c>
      <c r="V20" s="6"/>
    </row>
    <row r="21" spans="1:22" s="18" customFormat="1" ht="31.5" customHeight="1">
      <c r="A21" s="357"/>
      <c r="B21" s="364" t="s">
        <v>699</v>
      </c>
      <c r="C21" s="370"/>
      <c r="D21" s="370">
        <v>0</v>
      </c>
      <c r="E21" s="370">
        <v>0</v>
      </c>
      <c r="F21" s="370">
        <v>0</v>
      </c>
      <c r="G21" s="370">
        <v>0</v>
      </c>
      <c r="H21" s="370">
        <v>0</v>
      </c>
      <c r="I21" s="371">
        <v>0</v>
      </c>
      <c r="J21" s="371">
        <v>0</v>
      </c>
      <c r="K21" s="371">
        <v>0</v>
      </c>
      <c r="L21" s="371">
        <v>0</v>
      </c>
      <c r="M21" s="371">
        <f>('004-4'!H9*0.2+'004-4'!H14*0.2)/1000000</f>
        <v>11.705000000000002</v>
      </c>
      <c r="N21" s="371">
        <f>('004-4'!H9*0.4+'004-4'!H14*0.4)/1000000</f>
        <v>23.410000000000004</v>
      </c>
      <c r="O21" s="371">
        <f>('004-4'!H9*0.4+'004-4'!H14*0.4)/1000000</f>
        <v>23.410000000000004</v>
      </c>
      <c r="P21" s="369">
        <f>SUM(D21:O21)</f>
        <v>58.525000000000013</v>
      </c>
      <c r="Q21" s="369">
        <f>('004-4'!I9+'004-4'!I14)/1000000</f>
        <v>403.53399999999999</v>
      </c>
      <c r="R21" s="369">
        <f>('004-4'!J9+'004-4'!J14)/1000000</f>
        <v>298.86500000000001</v>
      </c>
      <c r="S21" s="369">
        <f>('004-4'!K9+'004-4'!K14)/1000000</f>
        <v>24.967000000000002</v>
      </c>
      <c r="T21" s="369">
        <f>('004-4'!L9+'004-4'!L14)/1000000</f>
        <v>31.209</v>
      </c>
      <c r="V21" s="6"/>
    </row>
    <row r="22" spans="1:22" s="18" customFormat="1" ht="31.5" customHeight="1">
      <c r="A22" s="357"/>
      <c r="B22" s="364" t="s">
        <v>700</v>
      </c>
      <c r="C22" s="370"/>
      <c r="D22" s="370">
        <v>0</v>
      </c>
      <c r="E22" s="370">
        <v>0</v>
      </c>
      <c r="F22" s="370">
        <v>0</v>
      </c>
      <c r="G22" s="370">
        <v>0</v>
      </c>
      <c r="H22" s="370">
        <v>0</v>
      </c>
      <c r="I22" s="371">
        <v>30</v>
      </c>
      <c r="J22" s="371">
        <v>0</v>
      </c>
      <c r="K22" s="371">
        <v>0</v>
      </c>
      <c r="L22" s="371">
        <v>40</v>
      </c>
      <c r="M22" s="371">
        <v>0</v>
      </c>
      <c r="N22" s="371">
        <v>0</v>
      </c>
      <c r="O22" s="371">
        <v>60</v>
      </c>
      <c r="P22" s="369">
        <f>SUM(D22:O22)</f>
        <v>130</v>
      </c>
      <c r="Q22" s="369">
        <f>'008 (2)'!J12/1000000</f>
        <v>185</v>
      </c>
      <c r="R22" s="369">
        <f>'008 (2)'!K12/1000000</f>
        <v>207.93</v>
      </c>
      <c r="S22" s="369">
        <f>'008 (2)'!L12/1000000</f>
        <v>0</v>
      </c>
      <c r="T22" s="369">
        <f>'008 (2)'!M12/1000000</f>
        <v>0</v>
      </c>
      <c r="V22" s="6"/>
    </row>
    <row r="23" spans="1:22" s="18" customFormat="1" ht="31.5" customHeight="1">
      <c r="A23" s="357"/>
      <c r="B23" s="364" t="s">
        <v>701</v>
      </c>
      <c r="C23" s="370"/>
      <c r="D23" s="370">
        <v>0</v>
      </c>
      <c r="E23" s="370">
        <v>0</v>
      </c>
      <c r="F23" s="370">
        <v>0</v>
      </c>
      <c r="G23" s="370">
        <v>0</v>
      </c>
      <c r="H23" s="370">
        <v>0</v>
      </c>
      <c r="I23" s="371">
        <v>0</v>
      </c>
      <c r="J23" s="371">
        <v>0</v>
      </c>
      <c r="K23" s="371">
        <v>0</v>
      </c>
      <c r="L23" s="371">
        <v>0</v>
      </c>
      <c r="M23" s="371">
        <v>0</v>
      </c>
      <c r="N23" s="371">
        <v>0</v>
      </c>
      <c r="O23" s="371">
        <f>'008'!I22/1000000</f>
        <v>67.52</v>
      </c>
      <c r="P23" s="369">
        <f>SUM(D23:O23)</f>
        <v>67.52</v>
      </c>
      <c r="Q23" s="369">
        <f>'008'!J22/1000000</f>
        <v>279.54000000000002</v>
      </c>
      <c r="R23" s="369">
        <f>'008'!K22/1000000</f>
        <v>689.72</v>
      </c>
      <c r="S23" s="369">
        <f>'008'!L22/1000000</f>
        <v>0</v>
      </c>
      <c r="T23" s="369">
        <f>'008'!M22/1000000</f>
        <v>0</v>
      </c>
      <c r="V23" s="6"/>
    </row>
    <row r="24" spans="1:22" s="18" customFormat="1" ht="31.5" customHeight="1">
      <c r="A24" s="365"/>
      <c r="B24" s="366" t="s">
        <v>702</v>
      </c>
      <c r="C24" s="365"/>
      <c r="D24" s="365"/>
      <c r="E24" s="365"/>
      <c r="F24" s="365"/>
      <c r="G24" s="365"/>
      <c r="H24" s="365"/>
      <c r="I24" s="365"/>
      <c r="J24" s="365"/>
      <c r="K24" s="365"/>
      <c r="L24" s="365"/>
      <c r="M24" s="365"/>
      <c r="N24" s="365"/>
      <c r="O24" s="365"/>
      <c r="P24" s="367"/>
      <c r="Q24" s="367"/>
      <c r="R24" s="368"/>
      <c r="S24" s="368"/>
      <c r="T24" s="368"/>
      <c r="V24" s="6"/>
    </row>
    <row r="25" spans="1:22" s="18" customFormat="1" ht="23.25" customHeight="1">
      <c r="A25" s="50" t="s">
        <v>703</v>
      </c>
      <c r="B25" s="51" t="s">
        <v>704</v>
      </c>
      <c r="C25" s="19"/>
      <c r="P25" s="19"/>
      <c r="Q25" s="19"/>
      <c r="R25" s="19"/>
      <c r="S25" s="19"/>
      <c r="T25" s="19"/>
      <c r="U25" s="709" t="s">
        <v>22</v>
      </c>
      <c r="V25" s="6"/>
    </row>
    <row r="26" spans="1:22" ht="23.25" customHeight="1">
      <c r="B26" s="51" t="s">
        <v>705</v>
      </c>
      <c r="U26" s="709"/>
    </row>
    <row r="27" spans="1:22" ht="23.25" customHeight="1">
      <c r="B27" s="19" t="s">
        <v>706</v>
      </c>
      <c r="U27" s="709"/>
    </row>
  </sheetData>
  <mergeCells count="11">
    <mergeCell ref="A2:T2"/>
    <mergeCell ref="A3:T3"/>
    <mergeCell ref="U25:U27"/>
    <mergeCell ref="A8:A9"/>
    <mergeCell ref="B8:B10"/>
    <mergeCell ref="D9:P9"/>
    <mergeCell ref="D8:T8"/>
    <mergeCell ref="Q9:Q10"/>
    <mergeCell ref="T9:T10"/>
    <mergeCell ref="R9:R10"/>
    <mergeCell ref="S9:S10"/>
  </mergeCells>
  <phoneticPr fontId="0" type="noConversion"/>
  <printOptions horizontalCentered="1"/>
  <pageMargins left="0.15748031496062992" right="7.874015748031496E-2" top="0.51181102362204722" bottom="0.39370078740157483" header="0.51181102362204722" footer="0.51181102362204722"/>
  <pageSetup paperSize="9" scale="75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92D050"/>
  </sheetPr>
  <dimension ref="A1:J33"/>
  <sheetViews>
    <sheetView showGridLines="0" view="pageBreakPreview" topLeftCell="A13" zoomScaleNormal="100" zoomScaleSheetLayoutView="100" workbookViewId="0">
      <selection activeCell="J28" sqref="J28"/>
    </sheetView>
  </sheetViews>
  <sheetFormatPr defaultColWidth="9.140625" defaultRowHeight="21"/>
  <cols>
    <col min="1" max="1" width="10" style="6" customWidth="1"/>
    <col min="2" max="2" width="30.5703125" style="6" customWidth="1"/>
    <col min="3" max="3" width="22.42578125" style="6" customWidth="1"/>
    <col min="4" max="4" width="13.42578125" style="6" customWidth="1"/>
    <col min="5" max="5" width="19.140625" style="6" customWidth="1"/>
    <col min="6" max="6" width="12.5703125" style="6" customWidth="1"/>
    <col min="7" max="7" width="13.28515625" style="6" customWidth="1"/>
    <col min="8" max="8" width="13.85546875" style="6" customWidth="1"/>
    <col min="9" max="9" width="21.28515625" style="6" customWidth="1"/>
    <col min="10" max="10" width="15.42578125" style="6" customWidth="1"/>
    <col min="11" max="16384" width="9.140625" style="6"/>
  </cols>
  <sheetData>
    <row r="1" spans="1:10">
      <c r="G1" s="5"/>
      <c r="J1" s="5"/>
    </row>
    <row r="2" spans="1:10" ht="26.25">
      <c r="A2" s="701" t="s">
        <v>707</v>
      </c>
      <c r="B2" s="701"/>
      <c r="C2" s="701"/>
      <c r="D2" s="701"/>
      <c r="E2" s="701"/>
      <c r="F2" s="701"/>
      <c r="G2" s="701"/>
      <c r="H2" s="701"/>
      <c r="I2" s="701"/>
      <c r="J2" s="701"/>
    </row>
    <row r="3" spans="1:10">
      <c r="A3" s="5" t="s">
        <v>708</v>
      </c>
    </row>
    <row r="4" spans="1:10">
      <c r="A4" s="5" t="s">
        <v>524</v>
      </c>
    </row>
    <row r="5" spans="1:10" ht="21" customHeight="1">
      <c r="A5" s="5" t="s">
        <v>525</v>
      </c>
    </row>
    <row r="6" spans="1:10" ht="21" customHeight="1">
      <c r="A6" s="5"/>
      <c r="J6" s="13" t="s">
        <v>55</v>
      </c>
    </row>
    <row r="7" spans="1:10" ht="21" customHeight="1">
      <c r="A7" s="562"/>
      <c r="B7" s="563"/>
      <c r="C7" s="603" t="s">
        <v>246</v>
      </c>
      <c r="D7" s="639"/>
      <c r="E7" s="639"/>
      <c r="F7" s="639"/>
      <c r="G7" s="639"/>
      <c r="H7" s="639"/>
      <c r="I7" s="604"/>
      <c r="J7" s="601" t="s">
        <v>61</v>
      </c>
    </row>
    <row r="8" spans="1:10" ht="24.75" customHeight="1">
      <c r="A8" s="650" t="s">
        <v>120</v>
      </c>
      <c r="B8" s="651"/>
      <c r="C8" s="605" t="s">
        <v>709</v>
      </c>
      <c r="D8" s="640"/>
      <c r="E8" s="640"/>
      <c r="F8" s="640"/>
      <c r="G8" s="640"/>
      <c r="H8" s="640"/>
      <c r="I8" s="606"/>
      <c r="J8" s="652"/>
    </row>
    <row r="9" spans="1:10" ht="24.75" customHeight="1">
      <c r="A9" s="74"/>
      <c r="B9" s="75"/>
      <c r="C9" s="508" t="s">
        <v>710</v>
      </c>
      <c r="D9" s="508" t="s">
        <v>711</v>
      </c>
      <c r="E9" s="431" t="s">
        <v>271</v>
      </c>
      <c r="F9" s="509" t="s">
        <v>654</v>
      </c>
      <c r="G9" s="509" t="s">
        <v>659</v>
      </c>
      <c r="H9" s="509" t="s">
        <v>712</v>
      </c>
      <c r="I9" s="431" t="s">
        <v>713</v>
      </c>
      <c r="J9" s="653"/>
    </row>
    <row r="10" spans="1:10" ht="21" customHeight="1">
      <c r="A10" s="421" t="s">
        <v>714</v>
      </c>
      <c r="B10" s="76"/>
      <c r="C10" s="76"/>
      <c r="D10" s="15"/>
      <c r="E10" s="381">
        <f>'004-4'!M7</f>
        <v>491300000</v>
      </c>
      <c r="F10" s="15"/>
      <c r="G10" s="15"/>
      <c r="I10" s="15"/>
      <c r="J10" s="382">
        <f>E10</f>
        <v>491300000</v>
      </c>
    </row>
    <row r="11" spans="1:10" ht="21" customHeight="1">
      <c r="A11" s="421" t="s">
        <v>274</v>
      </c>
      <c r="B11" s="76"/>
      <c r="C11" s="76"/>
      <c r="D11" s="15"/>
      <c r="E11" s="381"/>
      <c r="F11" s="15"/>
      <c r="G11" s="15"/>
      <c r="I11" s="15"/>
      <c r="J11" s="15"/>
    </row>
    <row r="12" spans="1:10" ht="21" customHeight="1">
      <c r="A12" s="422" t="s">
        <v>715</v>
      </c>
      <c r="B12" s="78"/>
      <c r="C12" s="78"/>
      <c r="D12" s="15"/>
      <c r="E12" s="381">
        <f>'004-4'!M9</f>
        <v>793300000</v>
      </c>
      <c r="F12" s="15"/>
      <c r="G12" s="15"/>
      <c r="I12" s="15"/>
      <c r="J12" s="382">
        <f>E12</f>
        <v>793300000</v>
      </c>
    </row>
    <row r="13" spans="1:10" ht="21" customHeight="1">
      <c r="A13" s="422" t="s">
        <v>276</v>
      </c>
      <c r="B13" s="78"/>
      <c r="C13" s="78"/>
      <c r="D13" s="15"/>
      <c r="E13" s="381"/>
      <c r="F13" s="15"/>
      <c r="G13" s="15"/>
      <c r="I13" s="15"/>
      <c r="J13" s="15"/>
    </row>
    <row r="14" spans="1:10" ht="21" customHeight="1">
      <c r="A14" s="422"/>
      <c r="B14" s="78" t="s">
        <v>716</v>
      </c>
      <c r="C14" s="78"/>
      <c r="D14" s="15"/>
      <c r="E14" s="381"/>
      <c r="F14" s="15"/>
      <c r="G14" s="15"/>
      <c r="I14" s="15"/>
      <c r="J14" s="15"/>
    </row>
    <row r="15" spans="1:10" ht="21" customHeight="1">
      <c r="A15" s="422"/>
      <c r="B15" s="78" t="s">
        <v>278</v>
      </c>
      <c r="C15" s="78"/>
      <c r="D15" s="15"/>
      <c r="E15" s="381"/>
      <c r="F15" s="15"/>
      <c r="G15" s="15"/>
      <c r="I15" s="15"/>
      <c r="J15" s="15"/>
    </row>
    <row r="16" spans="1:10" ht="21" customHeight="1">
      <c r="A16" s="422"/>
      <c r="B16" s="78" t="s">
        <v>279</v>
      </c>
      <c r="C16" s="78"/>
      <c r="D16" s="15"/>
      <c r="E16" s="381"/>
      <c r="F16" s="15"/>
      <c r="G16" s="15"/>
      <c r="H16" s="15"/>
      <c r="I16" s="15"/>
      <c r="J16" s="15"/>
    </row>
    <row r="17" spans="1:10" ht="21" customHeight="1">
      <c r="A17" s="422"/>
      <c r="B17" s="78" t="s">
        <v>280</v>
      </c>
      <c r="C17" s="78"/>
      <c r="D17" s="15"/>
      <c r="E17" s="381">
        <f>'004-4'!M14</f>
        <v>23800000</v>
      </c>
      <c r="F17" s="15"/>
      <c r="G17" s="15"/>
      <c r="H17" s="15"/>
      <c r="I17" s="15"/>
      <c r="J17" s="382">
        <f>E17</f>
        <v>23800000</v>
      </c>
    </row>
    <row r="18" spans="1:10" ht="21" customHeight="1">
      <c r="A18" s="422"/>
      <c r="B18" s="78" t="s">
        <v>281</v>
      </c>
      <c r="C18" s="78"/>
      <c r="D18" s="15"/>
      <c r="E18" s="381"/>
      <c r="F18" s="15"/>
      <c r="G18" s="15"/>
      <c r="H18" s="15"/>
      <c r="I18" s="15"/>
      <c r="J18" s="15"/>
    </row>
    <row r="19" spans="1:10" ht="21" customHeight="1">
      <c r="A19" s="422"/>
      <c r="B19" s="78" t="s">
        <v>282</v>
      </c>
      <c r="C19" s="78"/>
      <c r="D19" s="31"/>
      <c r="E19" s="381"/>
      <c r="F19" s="15"/>
      <c r="G19" s="15"/>
      <c r="H19" s="15"/>
      <c r="I19" s="15"/>
      <c r="J19" s="15"/>
    </row>
    <row r="20" spans="1:10" ht="21" customHeight="1">
      <c r="A20" s="422"/>
      <c r="B20" s="79" t="s">
        <v>283</v>
      </c>
      <c r="C20" s="431"/>
      <c r="D20" s="510"/>
      <c r="E20" s="527"/>
      <c r="F20" s="510"/>
      <c r="G20" s="510"/>
      <c r="H20" s="510"/>
      <c r="I20" s="510"/>
      <c r="J20" s="510"/>
    </row>
    <row r="21" spans="1:10" ht="21" customHeight="1">
      <c r="A21" s="421" t="s">
        <v>717</v>
      </c>
      <c r="B21" s="79"/>
      <c r="C21" s="79"/>
      <c r="D21" s="15"/>
      <c r="E21" s="381"/>
      <c r="F21" s="15"/>
      <c r="G21" s="15"/>
      <c r="H21" s="15"/>
      <c r="I21" s="15"/>
      <c r="J21" s="15"/>
    </row>
    <row r="22" spans="1:10" ht="21" customHeight="1">
      <c r="A22" s="421" t="s">
        <v>718</v>
      </c>
      <c r="B22" s="79"/>
      <c r="C22" s="79"/>
      <c r="D22" s="15"/>
      <c r="E22" s="381">
        <f>'004-4'!M19</f>
        <v>1036780000</v>
      </c>
      <c r="F22" s="15"/>
      <c r="G22" s="15"/>
      <c r="H22" s="15"/>
      <c r="I22" s="15"/>
      <c r="J22" s="382">
        <f>E22</f>
        <v>1036780000</v>
      </c>
    </row>
    <row r="23" spans="1:10" ht="21" customHeight="1">
      <c r="A23" s="422" t="s">
        <v>719</v>
      </c>
      <c r="B23" s="79"/>
      <c r="C23" s="79"/>
      <c r="D23" s="15"/>
      <c r="E23" s="381">
        <f>'004-4'!M20</f>
        <v>522930000</v>
      </c>
      <c r="F23" s="15"/>
      <c r="G23" s="15"/>
      <c r="H23" s="15"/>
      <c r="I23" s="15"/>
      <c r="J23" s="382">
        <f>E23</f>
        <v>522930000</v>
      </c>
    </row>
    <row r="24" spans="1:10" ht="21" customHeight="1">
      <c r="A24" s="422" t="s">
        <v>720</v>
      </c>
      <c r="B24" s="79"/>
      <c r="C24" s="79"/>
      <c r="D24" s="15"/>
      <c r="E24" s="381"/>
      <c r="F24" s="15"/>
      <c r="G24" s="15"/>
      <c r="H24" s="15"/>
      <c r="I24" s="15"/>
      <c r="J24" s="15"/>
    </row>
    <row r="25" spans="1:10" ht="21" customHeight="1">
      <c r="A25" s="422" t="s">
        <v>721</v>
      </c>
      <c r="B25" s="79"/>
      <c r="C25" s="79"/>
      <c r="D25" s="15"/>
      <c r="E25" s="381"/>
      <c r="F25" s="15"/>
      <c r="G25" s="15"/>
      <c r="H25" s="15"/>
      <c r="I25" s="15"/>
      <c r="J25" s="15"/>
    </row>
    <row r="26" spans="1:10" ht="21" customHeight="1">
      <c r="A26" s="668" t="s">
        <v>61</v>
      </c>
      <c r="B26" s="669"/>
      <c r="C26" s="431"/>
      <c r="D26" s="510"/>
      <c r="E26" s="527">
        <f>SUM(E10:E25)</f>
        <v>2868110000</v>
      </c>
      <c r="F26" s="510"/>
      <c r="G26" s="510"/>
      <c r="H26" s="510"/>
      <c r="I26" s="510"/>
      <c r="J26" s="528">
        <f>E26</f>
        <v>2868110000</v>
      </c>
    </row>
    <row r="27" spans="1:10" ht="21" customHeight="1">
      <c r="A27" s="422" t="s">
        <v>722</v>
      </c>
      <c r="B27" s="79"/>
      <c r="C27" s="431"/>
      <c r="D27" s="15"/>
      <c r="E27" s="15"/>
      <c r="F27" s="15"/>
      <c r="G27" s="15"/>
      <c r="H27" s="15"/>
      <c r="I27" s="15"/>
      <c r="J27" s="15"/>
    </row>
    <row r="28" spans="1:10" ht="21" customHeight="1">
      <c r="A28" s="80"/>
      <c r="B28" s="77" t="s">
        <v>289</v>
      </c>
      <c r="C28" s="431"/>
      <c r="D28" s="510"/>
      <c r="E28" s="529">
        <f>E26</f>
        <v>2868110000</v>
      </c>
      <c r="F28" s="510"/>
      <c r="G28" s="510"/>
      <c r="H28" s="510"/>
      <c r="I28" s="510"/>
      <c r="J28" s="528">
        <f>E28</f>
        <v>2868110000</v>
      </c>
    </row>
    <row r="29" spans="1:10" ht="21" customHeight="1">
      <c r="A29" s="5" t="s">
        <v>723</v>
      </c>
      <c r="B29" s="6" t="s">
        <v>724</v>
      </c>
      <c r="C29" s="10"/>
      <c r="E29" s="81"/>
    </row>
    <row r="30" spans="1:10" ht="23.25" customHeight="1">
      <c r="B30" s="6" t="s">
        <v>725</v>
      </c>
      <c r="J30" s="711" t="s">
        <v>25</v>
      </c>
    </row>
    <row r="31" spans="1:10">
      <c r="J31" s="711"/>
    </row>
    <row r="32" spans="1:10">
      <c r="J32" s="711"/>
    </row>
    <row r="33" spans="10:10">
      <c r="J33" s="711"/>
    </row>
  </sheetData>
  <mergeCells count="7">
    <mergeCell ref="J30:J33"/>
    <mergeCell ref="A26:B26"/>
    <mergeCell ref="A2:J2"/>
    <mergeCell ref="J7:J9"/>
    <mergeCell ref="A8:B8"/>
    <mergeCell ref="C7:I7"/>
    <mergeCell ref="C8:I8"/>
  </mergeCells>
  <phoneticPr fontId="0" type="noConversion"/>
  <printOptions horizontalCentered="1"/>
  <pageMargins left="0.43307086614173229" right="0.39370078740157483" top="0.19685039370078741" bottom="0.19685039370078741" header="0.51181102362204722" footer="0.51181102362204722"/>
  <pageSetup paperSize="9" scale="81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rgb="FF92D050"/>
  </sheetPr>
  <dimension ref="A2:W30"/>
  <sheetViews>
    <sheetView showGridLines="0" view="pageBreakPreview" zoomScaleNormal="115" zoomScaleSheetLayoutView="100" workbookViewId="0">
      <selection activeCell="I16" sqref="I16"/>
    </sheetView>
  </sheetViews>
  <sheetFormatPr defaultColWidth="9.140625" defaultRowHeight="21.75"/>
  <cols>
    <col min="1" max="1" width="34.42578125" style="61" customWidth="1"/>
    <col min="2" max="3" width="15.28515625" style="61" bestFit="1" customWidth="1"/>
    <col min="4" max="4" width="7.5703125" style="61" bestFit="1" customWidth="1"/>
    <col min="5" max="5" width="6" style="61" bestFit="1" customWidth="1"/>
    <col min="6" max="7" width="15.28515625" style="61" bestFit="1" customWidth="1"/>
    <col min="8" max="8" width="6" style="61" bestFit="1" customWidth="1"/>
    <col min="9" max="10" width="13.42578125" style="61" bestFit="1" customWidth="1"/>
    <col min="11" max="11" width="15" style="61" bestFit="1" customWidth="1"/>
    <col min="12" max="12" width="5.7109375" style="61" bestFit="1" customWidth="1"/>
    <col min="13" max="14" width="15.28515625" style="61" bestFit="1" customWidth="1"/>
    <col min="15" max="15" width="5.7109375" style="61" bestFit="1" customWidth="1"/>
    <col min="16" max="17" width="15.28515625" style="61" bestFit="1" customWidth="1"/>
    <col min="18" max="18" width="5.7109375" style="61" bestFit="1" customWidth="1"/>
    <col min="19" max="19" width="15.28515625" style="61" bestFit="1" customWidth="1"/>
    <col min="20" max="20" width="15" style="61" bestFit="1" customWidth="1"/>
    <col min="21" max="21" width="5.7109375" style="61" bestFit="1" customWidth="1"/>
    <col min="22" max="22" width="15" style="61" bestFit="1" customWidth="1"/>
    <col min="23" max="16384" width="9.140625" style="61"/>
  </cols>
  <sheetData>
    <row r="2" spans="1:22" ht="23.25">
      <c r="A2" s="713" t="s">
        <v>29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</row>
    <row r="3" spans="1:22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3" t="s">
        <v>55</v>
      </c>
    </row>
    <row r="4" spans="1:22">
      <c r="A4" s="714" t="s">
        <v>120</v>
      </c>
      <c r="B4" s="715" t="s">
        <v>726</v>
      </c>
      <c r="C4" s="715" t="s">
        <v>727</v>
      </c>
      <c r="D4" s="715" t="s">
        <v>728</v>
      </c>
      <c r="E4" s="714" t="s">
        <v>271</v>
      </c>
      <c r="F4" s="714"/>
      <c r="G4" s="714"/>
      <c r="H4" s="714"/>
      <c r="I4" s="714"/>
      <c r="J4" s="714"/>
      <c r="K4" s="714" t="s">
        <v>654</v>
      </c>
      <c r="L4" s="714"/>
      <c r="M4" s="714"/>
      <c r="N4" s="714"/>
      <c r="O4" s="714"/>
      <c r="P4" s="714"/>
      <c r="Q4" s="714" t="s">
        <v>659</v>
      </c>
      <c r="R4" s="714"/>
      <c r="S4" s="714"/>
      <c r="T4" s="714"/>
      <c r="U4" s="714"/>
      <c r="V4" s="714"/>
    </row>
    <row r="5" spans="1:22">
      <c r="A5" s="714"/>
      <c r="B5" s="714"/>
      <c r="C5" s="714"/>
      <c r="D5" s="714"/>
      <c r="E5" s="714" t="s">
        <v>729</v>
      </c>
      <c r="F5" s="714"/>
      <c r="G5" s="714"/>
      <c r="H5" s="714" t="s">
        <v>649</v>
      </c>
      <c r="I5" s="714"/>
      <c r="J5" s="714"/>
      <c r="K5" s="714" t="s">
        <v>729</v>
      </c>
      <c r="L5" s="714"/>
      <c r="M5" s="714"/>
      <c r="N5" s="714" t="s">
        <v>649</v>
      </c>
      <c r="O5" s="714"/>
      <c r="P5" s="714"/>
      <c r="Q5" s="714" t="s">
        <v>729</v>
      </c>
      <c r="R5" s="714"/>
      <c r="S5" s="714"/>
      <c r="T5" s="714" t="s">
        <v>649</v>
      </c>
      <c r="U5" s="714"/>
      <c r="V5" s="714"/>
    </row>
    <row r="6" spans="1:22">
      <c r="A6" s="714"/>
      <c r="B6" s="714"/>
      <c r="C6" s="714"/>
      <c r="D6" s="714"/>
      <c r="E6" s="432" t="s">
        <v>730</v>
      </c>
      <c r="F6" s="432" t="s">
        <v>731</v>
      </c>
      <c r="G6" s="432" t="s">
        <v>61</v>
      </c>
      <c r="H6" s="432" t="s">
        <v>730</v>
      </c>
      <c r="I6" s="432" t="s">
        <v>731</v>
      </c>
      <c r="J6" s="432" t="s">
        <v>61</v>
      </c>
      <c r="K6" s="432" t="s">
        <v>730</v>
      </c>
      <c r="L6" s="432" t="s">
        <v>731</v>
      </c>
      <c r="M6" s="432" t="s">
        <v>61</v>
      </c>
      <c r="N6" s="432" t="s">
        <v>730</v>
      </c>
      <c r="O6" s="432" t="s">
        <v>731</v>
      </c>
      <c r="P6" s="432" t="s">
        <v>61</v>
      </c>
      <c r="Q6" s="432" t="s">
        <v>730</v>
      </c>
      <c r="R6" s="432" t="s">
        <v>731</v>
      </c>
      <c r="S6" s="432" t="s">
        <v>61</v>
      </c>
      <c r="T6" s="432" t="s">
        <v>730</v>
      </c>
      <c r="U6" s="432" t="s">
        <v>731</v>
      </c>
      <c r="V6" s="432" t="s">
        <v>61</v>
      </c>
    </row>
    <row r="7" spans="1:22">
      <c r="A7" s="564" t="s">
        <v>714</v>
      </c>
      <c r="B7" s="565">
        <f>วงเงิน!B5*1000000</f>
        <v>491300000</v>
      </c>
      <c r="C7" s="565">
        <f>'004-4'!M7</f>
        <v>491300000</v>
      </c>
      <c r="D7" s="566"/>
      <c r="E7" s="566"/>
      <c r="F7" s="567">
        <f>C7</f>
        <v>491300000</v>
      </c>
      <c r="G7" s="567">
        <f>E7+F7</f>
        <v>491300000</v>
      </c>
      <c r="H7" s="566"/>
      <c r="I7" s="395">
        <f>'004-4'!H7</f>
        <v>92500000</v>
      </c>
      <c r="J7" s="568">
        <f>I7</f>
        <v>92500000</v>
      </c>
      <c r="K7" s="568">
        <f>G7-J7</f>
        <v>398800000</v>
      </c>
      <c r="L7" s="566"/>
      <c r="M7" s="565">
        <f>K7+L7</f>
        <v>398800000</v>
      </c>
      <c r="N7" s="565">
        <f>'004-4'!I7</f>
        <v>193900000</v>
      </c>
      <c r="O7" s="567"/>
      <c r="P7" s="567">
        <f>N7</f>
        <v>193900000</v>
      </c>
      <c r="Q7" s="565">
        <f>M7-P7</f>
        <v>204900000</v>
      </c>
      <c r="R7" s="566"/>
      <c r="S7" s="567">
        <f>Q7</f>
        <v>204900000</v>
      </c>
      <c r="T7" s="567">
        <f>S7</f>
        <v>204900000</v>
      </c>
      <c r="U7" s="566"/>
      <c r="V7" s="567">
        <f>T7</f>
        <v>204900000</v>
      </c>
    </row>
    <row r="8" spans="1:22">
      <c r="A8" s="147" t="s">
        <v>274</v>
      </c>
      <c r="B8" s="396"/>
      <c r="C8" s="396"/>
      <c r="D8" s="397"/>
      <c r="E8" s="397"/>
      <c r="F8" s="397"/>
      <c r="G8" s="397"/>
      <c r="H8" s="397"/>
      <c r="I8" s="395"/>
      <c r="J8" s="398"/>
      <c r="K8" s="398"/>
      <c r="L8" s="397"/>
      <c r="M8" s="396"/>
      <c r="N8" s="396"/>
      <c r="O8" s="397"/>
      <c r="P8" s="397"/>
      <c r="Q8" s="396"/>
      <c r="R8" s="397"/>
      <c r="S8" s="397"/>
      <c r="T8" s="397"/>
      <c r="U8" s="397"/>
      <c r="V8" s="397"/>
    </row>
    <row r="9" spans="1:22">
      <c r="A9" s="148" t="s">
        <v>597</v>
      </c>
      <c r="B9" s="396">
        <f>วงเงิน!B6*1000000</f>
        <v>1917600000</v>
      </c>
      <c r="C9" s="396">
        <f>'004-4'!M9</f>
        <v>793300000</v>
      </c>
      <c r="D9" s="397"/>
      <c r="E9" s="397"/>
      <c r="F9" s="399">
        <f>C9</f>
        <v>793300000</v>
      </c>
      <c r="G9" s="399">
        <f>F9+E9</f>
        <v>793300000</v>
      </c>
      <c r="H9" s="397"/>
      <c r="I9" s="395">
        <f>'004-4'!H9</f>
        <v>56820000.000000007</v>
      </c>
      <c r="J9" s="398">
        <f>I9</f>
        <v>56820000.000000007</v>
      </c>
      <c r="K9" s="400">
        <f>G9-J9</f>
        <v>736480000</v>
      </c>
      <c r="L9" s="397"/>
      <c r="M9" s="396">
        <f>K9+L9</f>
        <v>736480000</v>
      </c>
      <c r="N9" s="396">
        <f>'004-4'!I9</f>
        <v>391780000</v>
      </c>
      <c r="O9" s="399"/>
      <c r="P9" s="399">
        <f>N9</f>
        <v>391780000</v>
      </c>
      <c r="Q9" s="396">
        <f>M9-P9</f>
        <v>344700000</v>
      </c>
      <c r="R9" s="397"/>
      <c r="S9" s="399">
        <f>Q9</f>
        <v>344700000</v>
      </c>
      <c r="T9" s="398">
        <f>'004-4'!J9</f>
        <v>290160000</v>
      </c>
      <c r="U9" s="397"/>
      <c r="V9" s="398">
        <f>T9</f>
        <v>290160000</v>
      </c>
    </row>
    <row r="10" spans="1:22">
      <c r="A10" s="148" t="s">
        <v>732</v>
      </c>
      <c r="B10" s="396"/>
      <c r="C10" s="396"/>
      <c r="D10" s="397"/>
      <c r="E10" s="397"/>
      <c r="F10" s="397"/>
      <c r="G10" s="397"/>
      <c r="H10" s="397"/>
      <c r="I10" s="395"/>
      <c r="J10" s="398"/>
      <c r="K10" s="398"/>
      <c r="L10" s="397"/>
      <c r="M10" s="396"/>
      <c r="N10" s="396"/>
      <c r="O10" s="397"/>
      <c r="P10" s="397"/>
      <c r="Q10" s="396"/>
      <c r="R10" s="397"/>
      <c r="S10" s="397"/>
      <c r="T10" s="398"/>
      <c r="U10" s="397"/>
      <c r="V10" s="398"/>
    </row>
    <row r="11" spans="1:22">
      <c r="A11" s="149" t="s">
        <v>716</v>
      </c>
      <c r="B11" s="396"/>
      <c r="C11" s="396"/>
      <c r="D11" s="397"/>
      <c r="E11" s="397"/>
      <c r="F11" s="397"/>
      <c r="G11" s="397"/>
      <c r="H11" s="397"/>
      <c r="I11" s="395"/>
      <c r="J11" s="398"/>
      <c r="K11" s="398"/>
      <c r="L11" s="397"/>
      <c r="M11" s="396"/>
      <c r="N11" s="396"/>
      <c r="O11" s="397"/>
      <c r="P11" s="397"/>
      <c r="Q11" s="396"/>
      <c r="R11" s="397"/>
      <c r="S11" s="397"/>
      <c r="T11" s="398"/>
      <c r="U11" s="397"/>
      <c r="V11" s="398"/>
    </row>
    <row r="12" spans="1:22">
      <c r="A12" s="149" t="s">
        <v>278</v>
      </c>
      <c r="B12" s="396"/>
      <c r="C12" s="396"/>
      <c r="D12" s="397"/>
      <c r="E12" s="397"/>
      <c r="F12" s="397"/>
      <c r="G12" s="397"/>
      <c r="H12" s="397"/>
      <c r="I12" s="395"/>
      <c r="J12" s="398"/>
      <c r="K12" s="398"/>
      <c r="L12" s="397"/>
      <c r="M12" s="396"/>
      <c r="N12" s="396"/>
      <c r="O12" s="397"/>
      <c r="P12" s="397"/>
      <c r="Q12" s="396"/>
      <c r="R12" s="397"/>
      <c r="S12" s="397"/>
      <c r="T12" s="398"/>
      <c r="U12" s="397"/>
      <c r="V12" s="398"/>
    </row>
    <row r="13" spans="1:22">
      <c r="A13" s="149" t="s">
        <v>279</v>
      </c>
      <c r="B13" s="396"/>
      <c r="C13" s="396"/>
      <c r="D13" s="397"/>
      <c r="E13" s="397"/>
      <c r="F13" s="397"/>
      <c r="G13" s="397"/>
      <c r="H13" s="397"/>
      <c r="I13" s="395"/>
      <c r="J13" s="398"/>
      <c r="K13" s="398"/>
      <c r="L13" s="397"/>
      <c r="M13" s="396"/>
      <c r="N13" s="396"/>
      <c r="O13" s="397"/>
      <c r="P13" s="397"/>
      <c r="Q13" s="396"/>
      <c r="R13" s="397"/>
      <c r="S13" s="397"/>
      <c r="T13" s="398"/>
      <c r="U13" s="397"/>
      <c r="V13" s="398"/>
    </row>
    <row r="14" spans="1:22">
      <c r="A14" s="149" t="s">
        <v>733</v>
      </c>
      <c r="B14" s="396">
        <f>วงเงิน!B7*1000000</f>
        <v>57529999.999999993</v>
      </c>
      <c r="C14" s="396">
        <f>'004-4'!M14</f>
        <v>23800000</v>
      </c>
      <c r="D14" s="397"/>
      <c r="E14" s="397"/>
      <c r="F14" s="399">
        <f>C14</f>
        <v>23800000</v>
      </c>
      <c r="G14" s="399">
        <f>F14+E14</f>
        <v>23800000</v>
      </c>
      <c r="H14" s="397"/>
      <c r="I14" s="395">
        <f>'004-4'!H14</f>
        <v>1705000</v>
      </c>
      <c r="J14" s="398">
        <f>I14</f>
        <v>1705000</v>
      </c>
      <c r="K14" s="400">
        <f>G14-J14</f>
        <v>22095000</v>
      </c>
      <c r="L14" s="397"/>
      <c r="M14" s="396">
        <f>K14+L14</f>
        <v>22095000</v>
      </c>
      <c r="N14" s="396">
        <f>'004-4'!I14</f>
        <v>11754000</v>
      </c>
      <c r="O14" s="399"/>
      <c r="P14" s="399">
        <f>N14</f>
        <v>11754000</v>
      </c>
      <c r="Q14" s="396">
        <f>M14-P14</f>
        <v>10341000</v>
      </c>
      <c r="R14" s="397"/>
      <c r="S14" s="399">
        <f>Q14</f>
        <v>10341000</v>
      </c>
      <c r="T14" s="398">
        <f>'004-4'!J14</f>
        <v>8705000</v>
      </c>
      <c r="U14" s="397"/>
      <c r="V14" s="398">
        <f>T14</f>
        <v>8705000</v>
      </c>
    </row>
    <row r="15" spans="1:22">
      <c r="A15" s="149" t="s">
        <v>734</v>
      </c>
      <c r="B15" s="396"/>
      <c r="C15" s="396"/>
      <c r="D15" s="397"/>
      <c r="E15" s="397"/>
      <c r="F15" s="397"/>
      <c r="G15" s="397"/>
      <c r="H15" s="397"/>
      <c r="I15" s="395"/>
      <c r="J15" s="398"/>
      <c r="K15" s="398"/>
      <c r="L15" s="397"/>
      <c r="M15" s="396"/>
      <c r="N15" s="396"/>
      <c r="O15" s="397"/>
      <c r="P15" s="397"/>
      <c r="Q15" s="396"/>
      <c r="R15" s="397"/>
      <c r="S15" s="397"/>
      <c r="T15" s="398"/>
      <c r="U15" s="397"/>
      <c r="V15" s="398"/>
    </row>
    <row r="16" spans="1:22">
      <c r="A16" s="149" t="s">
        <v>735</v>
      </c>
      <c r="B16" s="396"/>
      <c r="C16" s="396"/>
      <c r="D16" s="397"/>
      <c r="E16" s="397"/>
      <c r="F16" s="397"/>
      <c r="G16" s="397"/>
      <c r="H16" s="397"/>
      <c r="I16" s="395"/>
      <c r="J16" s="398"/>
      <c r="K16" s="398"/>
      <c r="L16" s="397"/>
      <c r="M16" s="396"/>
      <c r="N16" s="396"/>
      <c r="O16" s="397"/>
      <c r="P16" s="397"/>
      <c r="Q16" s="396"/>
      <c r="R16" s="397"/>
      <c r="S16" s="397"/>
      <c r="T16" s="398"/>
      <c r="U16" s="397"/>
      <c r="V16" s="398"/>
    </row>
    <row r="17" spans="1:23">
      <c r="A17" s="150" t="s">
        <v>283</v>
      </c>
      <c r="B17" s="530"/>
      <c r="C17" s="530"/>
      <c r="D17" s="531"/>
      <c r="E17" s="531"/>
      <c r="F17" s="531"/>
      <c r="G17" s="531"/>
      <c r="H17" s="531"/>
      <c r="I17" s="532"/>
      <c r="J17" s="532"/>
      <c r="K17" s="532"/>
      <c r="L17" s="531"/>
      <c r="M17" s="530"/>
      <c r="N17" s="530"/>
      <c r="O17" s="531"/>
      <c r="P17" s="531"/>
      <c r="Q17" s="530"/>
      <c r="R17" s="531"/>
      <c r="S17" s="531"/>
      <c r="T17" s="532"/>
      <c r="U17" s="531"/>
      <c r="V17" s="532"/>
    </row>
    <row r="18" spans="1:23">
      <c r="A18" s="147" t="s">
        <v>736</v>
      </c>
      <c r="B18" s="396"/>
      <c r="C18" s="396"/>
      <c r="D18" s="397"/>
      <c r="E18" s="397"/>
      <c r="F18" s="397"/>
      <c r="G18" s="397"/>
      <c r="H18" s="397"/>
      <c r="I18" s="395"/>
      <c r="J18" s="398"/>
      <c r="K18" s="398"/>
      <c r="L18" s="397"/>
      <c r="M18" s="396"/>
      <c r="N18" s="396"/>
      <c r="O18" s="397"/>
      <c r="P18" s="397"/>
      <c r="Q18" s="396"/>
      <c r="R18" s="397"/>
      <c r="S18" s="397"/>
      <c r="T18" s="398"/>
      <c r="U18" s="397"/>
      <c r="V18" s="398"/>
    </row>
    <row r="19" spans="1:23">
      <c r="A19" s="147" t="s">
        <v>718</v>
      </c>
      <c r="B19" s="396">
        <f>วงเงิน!B9*1000000</f>
        <v>2094745000</v>
      </c>
      <c r="C19" s="396">
        <f>'004-4'!M19</f>
        <v>1036780000</v>
      </c>
      <c r="D19" s="397"/>
      <c r="E19" s="397"/>
      <c r="F19" s="399">
        <f>C19</f>
        <v>1036780000</v>
      </c>
      <c r="G19" s="399">
        <f>F19+E19</f>
        <v>1036780000</v>
      </c>
      <c r="H19" s="397"/>
      <c r="I19" s="395">
        <f>'004-4'!H19</f>
        <v>67520000</v>
      </c>
      <c r="J19" s="398">
        <f>I19</f>
        <v>67520000</v>
      </c>
      <c r="K19" s="400">
        <f>G19-J19</f>
        <v>969260000</v>
      </c>
      <c r="L19" s="397"/>
      <c r="M19" s="396">
        <f>K19+L19</f>
        <v>969260000</v>
      </c>
      <c r="N19" s="396">
        <f>'004-4'!I19</f>
        <v>279540000</v>
      </c>
      <c r="O19" s="399"/>
      <c r="P19" s="399">
        <f>N19</f>
        <v>279540000</v>
      </c>
      <c r="Q19" s="396">
        <f>M19-P19</f>
        <v>689720000</v>
      </c>
      <c r="R19" s="397"/>
      <c r="S19" s="399">
        <f>Q19</f>
        <v>689720000</v>
      </c>
      <c r="T19" s="398">
        <f>'004-4'!J19</f>
        <v>689720000</v>
      </c>
      <c r="U19" s="397"/>
      <c r="V19" s="398">
        <f>T19</f>
        <v>689720000</v>
      </c>
    </row>
    <row r="20" spans="1:23">
      <c r="A20" s="147" t="s">
        <v>719</v>
      </c>
      <c r="B20" s="396">
        <f>วงเงิน!B8*1000000</f>
        <v>1363596000</v>
      </c>
      <c r="C20" s="396">
        <f>'004-4'!M20</f>
        <v>522930000</v>
      </c>
      <c r="D20" s="397"/>
      <c r="E20" s="397"/>
      <c r="F20" s="399">
        <f>C20</f>
        <v>522930000</v>
      </c>
      <c r="G20" s="399">
        <f>F20+E20</f>
        <v>522930000</v>
      </c>
      <c r="H20" s="397"/>
      <c r="I20" s="395">
        <f>'004-4'!H20</f>
        <v>130000000</v>
      </c>
      <c r="J20" s="398">
        <f>I20</f>
        <v>130000000</v>
      </c>
      <c r="K20" s="400">
        <f>G20-J20</f>
        <v>392930000</v>
      </c>
      <c r="L20" s="397"/>
      <c r="M20" s="396">
        <f>K20+L20</f>
        <v>392930000</v>
      </c>
      <c r="N20" s="396">
        <f>'004-4'!I20</f>
        <v>185000000</v>
      </c>
      <c r="O20" s="399"/>
      <c r="P20" s="399">
        <f>N20</f>
        <v>185000000</v>
      </c>
      <c r="Q20" s="396">
        <f>M20-P20</f>
        <v>207930000</v>
      </c>
      <c r="R20" s="397"/>
      <c r="S20" s="399">
        <f>Q20</f>
        <v>207930000</v>
      </c>
      <c r="T20" s="398">
        <f>'004-4'!J20</f>
        <v>207930000</v>
      </c>
      <c r="U20" s="397"/>
      <c r="V20" s="398">
        <f>T20</f>
        <v>207930000</v>
      </c>
    </row>
    <row r="21" spans="1:23">
      <c r="A21" s="147" t="s">
        <v>737</v>
      </c>
      <c r="B21" s="396"/>
      <c r="C21" s="396"/>
      <c r="D21" s="397"/>
      <c r="E21" s="397"/>
      <c r="F21" s="397"/>
      <c r="G21" s="397"/>
      <c r="H21" s="397"/>
      <c r="I21" s="395"/>
      <c r="J21" s="398"/>
      <c r="K21" s="398"/>
      <c r="L21" s="397"/>
      <c r="M21" s="396"/>
      <c r="N21" s="396"/>
      <c r="O21" s="397"/>
      <c r="P21" s="397"/>
      <c r="Q21" s="396"/>
      <c r="R21" s="397"/>
      <c r="S21" s="397"/>
      <c r="T21" s="398"/>
      <c r="U21" s="397"/>
      <c r="V21" s="398"/>
    </row>
    <row r="22" spans="1:23">
      <c r="A22" s="147" t="s">
        <v>738</v>
      </c>
      <c r="B22" s="396"/>
      <c r="C22" s="396"/>
      <c r="D22" s="397"/>
      <c r="E22" s="397"/>
      <c r="F22" s="397"/>
      <c r="G22" s="397"/>
      <c r="H22" s="397"/>
      <c r="I22" s="395"/>
      <c r="J22" s="398"/>
      <c r="K22" s="398"/>
      <c r="L22" s="397"/>
      <c r="M22" s="396"/>
      <c r="N22" s="396"/>
      <c r="O22" s="397"/>
      <c r="P22" s="397"/>
      <c r="Q22" s="396"/>
      <c r="R22" s="397"/>
      <c r="S22" s="397"/>
      <c r="T22" s="398"/>
      <c r="U22" s="397"/>
      <c r="V22" s="398"/>
    </row>
    <row r="23" spans="1:23">
      <c r="A23" s="151" t="s">
        <v>61</v>
      </c>
      <c r="B23" s="530">
        <f>SUM(B7:B20)</f>
        <v>5924771000</v>
      </c>
      <c r="C23" s="530">
        <f>SUM(C7:C20)</f>
        <v>2868110000</v>
      </c>
      <c r="D23" s="531"/>
      <c r="E23" s="531"/>
      <c r="F23" s="530">
        <f>SUM(F7:F20)</f>
        <v>2868110000</v>
      </c>
      <c r="G23" s="530">
        <f>SUM(G7:G20)</f>
        <v>2868110000</v>
      </c>
      <c r="H23" s="531"/>
      <c r="I23" s="533">
        <f>SUM(I7:I20)</f>
        <v>348545000</v>
      </c>
      <c r="J23" s="532">
        <f>I23+H23</f>
        <v>348545000</v>
      </c>
      <c r="K23" s="533">
        <f>G23-J23</f>
        <v>2519565000</v>
      </c>
      <c r="L23" s="531"/>
      <c r="M23" s="530">
        <f>K23+L23</f>
        <v>2519565000</v>
      </c>
      <c r="N23" s="530">
        <f>SUM(N7:N20)</f>
        <v>1061974000</v>
      </c>
      <c r="O23" s="534"/>
      <c r="P23" s="534">
        <f>N23</f>
        <v>1061974000</v>
      </c>
      <c r="Q23" s="530">
        <f>M23-P23</f>
        <v>1457591000</v>
      </c>
      <c r="R23" s="531"/>
      <c r="S23" s="534">
        <f>Q23</f>
        <v>1457591000</v>
      </c>
      <c r="T23" s="533">
        <f>SUM(T7:T20)</f>
        <v>1401415000</v>
      </c>
      <c r="U23" s="531"/>
      <c r="V23" s="532">
        <f>T23</f>
        <v>1401415000</v>
      </c>
    </row>
    <row r="24" spans="1:23">
      <c r="A24" s="564" t="s">
        <v>739</v>
      </c>
      <c r="B24" s="530">
        <f>วงเงิน!B11*1000000</f>
        <v>225228999.99999997</v>
      </c>
      <c r="C24" s="530"/>
      <c r="D24" s="531"/>
      <c r="E24" s="531"/>
      <c r="F24" s="531"/>
      <c r="G24" s="531"/>
      <c r="H24" s="531"/>
      <c r="I24" s="532"/>
      <c r="J24" s="532"/>
      <c r="K24" s="532"/>
      <c r="L24" s="531"/>
      <c r="M24" s="530"/>
      <c r="N24" s="530"/>
      <c r="O24" s="531"/>
      <c r="P24" s="531"/>
      <c r="Q24" s="530"/>
      <c r="R24" s="531"/>
      <c r="S24" s="531"/>
      <c r="T24" s="532"/>
      <c r="U24" s="531"/>
      <c r="V24" s="532"/>
    </row>
    <row r="25" spans="1:23">
      <c r="A25" s="151" t="s">
        <v>289</v>
      </c>
      <c r="B25" s="534">
        <f>B23+B24</f>
        <v>6150000000</v>
      </c>
      <c r="C25" s="530">
        <f>C23+C24</f>
        <v>2868110000</v>
      </c>
      <c r="D25" s="531"/>
      <c r="E25" s="531"/>
      <c r="F25" s="530">
        <f>F23+F24</f>
        <v>2868110000</v>
      </c>
      <c r="G25" s="530">
        <f>G23+G24</f>
        <v>2868110000</v>
      </c>
      <c r="H25" s="531"/>
      <c r="I25" s="533">
        <f>I23+I24</f>
        <v>348545000</v>
      </c>
      <c r="J25" s="533">
        <f>J23+J24</f>
        <v>348545000</v>
      </c>
      <c r="K25" s="533">
        <f>K23+K24</f>
        <v>2519565000</v>
      </c>
      <c r="L25" s="531"/>
      <c r="M25" s="533">
        <f>M23+M24</f>
        <v>2519565000</v>
      </c>
      <c r="N25" s="530">
        <f>N23+N24</f>
        <v>1061974000</v>
      </c>
      <c r="O25" s="534"/>
      <c r="P25" s="534">
        <f>N25</f>
        <v>1061974000</v>
      </c>
      <c r="Q25" s="530">
        <f>Q23+Q24</f>
        <v>1457591000</v>
      </c>
      <c r="R25" s="531"/>
      <c r="S25" s="534">
        <f>Q25</f>
        <v>1457591000</v>
      </c>
      <c r="T25" s="533">
        <f>T23+T24</f>
        <v>1401415000</v>
      </c>
      <c r="U25" s="531"/>
      <c r="V25" s="532">
        <f>T25</f>
        <v>1401415000</v>
      </c>
    </row>
    <row r="28" spans="1:23">
      <c r="W28" s="712" t="s">
        <v>28</v>
      </c>
    </row>
    <row r="29" spans="1:23">
      <c r="W29" s="712"/>
    </row>
    <row r="30" spans="1:23" ht="72" customHeight="1">
      <c r="W30" s="712"/>
    </row>
  </sheetData>
  <mergeCells count="15">
    <mergeCell ref="W28:W30"/>
    <mergeCell ref="A2:V2"/>
    <mergeCell ref="A4:A6"/>
    <mergeCell ref="B4:B6"/>
    <mergeCell ref="C4:C6"/>
    <mergeCell ref="D4:D6"/>
    <mergeCell ref="E4:J4"/>
    <mergeCell ref="K4:P4"/>
    <mergeCell ref="Q4:V4"/>
    <mergeCell ref="E5:G5"/>
    <mergeCell ref="H5:J5"/>
    <mergeCell ref="K5:M5"/>
    <mergeCell ref="N5:P5"/>
    <mergeCell ref="Q5:S5"/>
    <mergeCell ref="T5:V5"/>
  </mergeCells>
  <pageMargins left="0.51181102362204722" right="0.51181102362204722" top="0.74803149606299213" bottom="0.74803149606299213" header="0.31496062992125984" footer="0.31496062992125984"/>
  <pageSetup paperSize="9" scale="4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tabColor rgb="FFFF0000"/>
  </sheetPr>
  <dimension ref="A1:P19"/>
  <sheetViews>
    <sheetView showGridLines="0" zoomScaleNormal="100" zoomScaleSheetLayoutView="100" workbookViewId="0">
      <selection activeCell="L11" sqref="L11"/>
    </sheetView>
  </sheetViews>
  <sheetFormatPr defaultColWidth="9.140625" defaultRowHeight="28.5" customHeight="1"/>
  <cols>
    <col min="1" max="1" width="6.7109375" style="112" customWidth="1"/>
    <col min="2" max="2" width="8.28515625" style="109" customWidth="1"/>
    <col min="3" max="3" width="23.5703125" style="109" customWidth="1"/>
    <col min="4" max="15" width="12.85546875" style="109" customWidth="1"/>
    <col min="16" max="16" width="15" style="109" customWidth="1"/>
    <col min="17" max="16384" width="9.140625" style="109"/>
  </cols>
  <sheetData>
    <row r="1" spans="1:16" ht="28.5" customHeight="1">
      <c r="A1" s="106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108"/>
      <c r="P1" s="108" t="s">
        <v>740</v>
      </c>
    </row>
    <row r="2" spans="1:16" ht="21">
      <c r="A2" s="722" t="s">
        <v>32</v>
      </c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</row>
    <row r="3" spans="1:16" ht="25.15" customHeight="1">
      <c r="A3" s="106" t="s">
        <v>741</v>
      </c>
      <c r="B3" s="110"/>
      <c r="C3" s="110"/>
      <c r="D3" s="110"/>
      <c r="E3" s="110"/>
      <c r="F3" s="110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6" ht="25.15" customHeight="1">
      <c r="A4" s="106" t="s">
        <v>742</v>
      </c>
      <c r="B4" s="107"/>
      <c r="C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</row>
    <row r="5" spans="1:16" ht="25.15" customHeight="1">
      <c r="A5" s="106" t="s">
        <v>743</v>
      </c>
      <c r="B5" s="107"/>
      <c r="C5" s="106"/>
      <c r="D5" s="107"/>
      <c r="E5" s="107"/>
      <c r="F5" s="106"/>
      <c r="G5" s="107"/>
      <c r="H5" s="107"/>
      <c r="I5" s="107"/>
      <c r="J5" s="106"/>
      <c r="K5" s="107"/>
      <c r="L5" s="107"/>
      <c r="M5" s="107"/>
      <c r="N5" s="107"/>
      <c r="O5" s="107"/>
      <c r="P5" s="111" t="s">
        <v>744</v>
      </c>
    </row>
    <row r="6" spans="1:16" ht="25.15" customHeight="1">
      <c r="A6" s="723" t="s">
        <v>745</v>
      </c>
      <c r="B6" s="724" t="s">
        <v>746</v>
      </c>
      <c r="C6" s="725"/>
      <c r="D6" s="716" t="s">
        <v>747</v>
      </c>
      <c r="E6" s="717"/>
      <c r="F6" s="717"/>
      <c r="G6" s="717"/>
      <c r="H6" s="717"/>
      <c r="I6" s="717"/>
      <c r="J6" s="717"/>
      <c r="K6" s="717"/>
      <c r="L6" s="717"/>
      <c r="M6" s="717"/>
      <c r="N6" s="717"/>
      <c r="O6" s="717"/>
      <c r="P6" s="730"/>
    </row>
    <row r="7" spans="1:16" ht="25.15" customHeight="1">
      <c r="A7" s="720"/>
      <c r="B7" s="726"/>
      <c r="C7" s="727"/>
      <c r="D7" s="720" t="s">
        <v>677</v>
      </c>
      <c r="E7" s="720" t="s">
        <v>678</v>
      </c>
      <c r="F7" s="720" t="s">
        <v>679</v>
      </c>
      <c r="G7" s="720" t="s">
        <v>680</v>
      </c>
      <c r="H7" s="720" t="s">
        <v>681</v>
      </c>
      <c r="I7" s="720" t="s">
        <v>682</v>
      </c>
      <c r="J7" s="720" t="s">
        <v>683</v>
      </c>
      <c r="K7" s="720" t="s">
        <v>684</v>
      </c>
      <c r="L7" s="720" t="s">
        <v>685</v>
      </c>
      <c r="M7" s="720" t="s">
        <v>686</v>
      </c>
      <c r="N7" s="720" t="s">
        <v>687</v>
      </c>
      <c r="O7" s="720" t="s">
        <v>688</v>
      </c>
      <c r="P7" s="720" t="s">
        <v>61</v>
      </c>
    </row>
    <row r="8" spans="1:16" ht="25.15" customHeight="1">
      <c r="A8" s="721"/>
      <c r="B8" s="728"/>
      <c r="C8" s="729"/>
      <c r="D8" s="721"/>
      <c r="E8" s="721"/>
      <c r="F8" s="721"/>
      <c r="G8" s="721"/>
      <c r="H8" s="721"/>
      <c r="I8" s="721"/>
      <c r="J8" s="721"/>
      <c r="K8" s="721"/>
      <c r="L8" s="721"/>
      <c r="M8" s="721"/>
      <c r="N8" s="721"/>
      <c r="O8" s="721"/>
      <c r="P8" s="721"/>
    </row>
    <row r="9" spans="1:16" s="112" customFormat="1" ht="27" customHeight="1">
      <c r="A9" s="569">
        <v>1</v>
      </c>
      <c r="B9" s="426" t="s">
        <v>748</v>
      </c>
      <c r="C9" s="106"/>
      <c r="D9" s="427"/>
      <c r="E9" s="113"/>
      <c r="F9" s="106"/>
      <c r="G9" s="113"/>
      <c r="H9" s="106"/>
      <c r="I9" s="113"/>
      <c r="J9" s="106"/>
      <c r="K9" s="113"/>
      <c r="L9" s="106"/>
      <c r="M9" s="113"/>
      <c r="N9" s="106"/>
      <c r="O9" s="113"/>
      <c r="P9" s="570"/>
    </row>
    <row r="10" spans="1:16" s="112" customFormat="1" ht="27" customHeight="1">
      <c r="A10" s="425">
        <v>2</v>
      </c>
      <c r="B10" s="426" t="s">
        <v>749</v>
      </c>
      <c r="C10" s="106"/>
      <c r="D10" s="428"/>
      <c r="E10" s="114"/>
      <c r="F10" s="115"/>
      <c r="G10" s="114"/>
      <c r="H10" s="115"/>
      <c r="I10" s="114"/>
      <c r="J10" s="115"/>
      <c r="K10" s="114"/>
      <c r="L10" s="115"/>
      <c r="M10" s="114"/>
      <c r="N10" s="115"/>
      <c r="O10" s="114"/>
      <c r="P10" s="116"/>
    </row>
    <row r="11" spans="1:16" s="112" customFormat="1" ht="27" customHeight="1">
      <c r="A11" s="425">
        <v>3</v>
      </c>
      <c r="B11" s="426" t="s">
        <v>750</v>
      </c>
      <c r="C11" s="106"/>
      <c r="D11" s="428"/>
      <c r="E11" s="114"/>
      <c r="F11" s="115"/>
      <c r="G11" s="114"/>
      <c r="H11" s="115"/>
      <c r="I11" s="114"/>
      <c r="J11" s="115"/>
      <c r="K11" s="114"/>
      <c r="L11" s="115"/>
      <c r="M11" s="114"/>
      <c r="N11" s="115"/>
      <c r="O11" s="114"/>
      <c r="P11" s="117"/>
    </row>
    <row r="12" spans="1:16" s="112" customFormat="1" ht="27" customHeight="1">
      <c r="A12" s="425">
        <v>4</v>
      </c>
      <c r="B12" s="426" t="s">
        <v>751</v>
      </c>
      <c r="C12" s="106"/>
      <c r="D12" s="428"/>
      <c r="E12" s="114"/>
      <c r="F12" s="115"/>
      <c r="G12" s="114"/>
      <c r="H12" s="115"/>
      <c r="I12" s="114"/>
      <c r="J12" s="115"/>
      <c r="K12" s="114"/>
      <c r="L12" s="115"/>
      <c r="M12" s="114"/>
      <c r="N12" s="115"/>
      <c r="O12" s="114"/>
      <c r="P12" s="116"/>
    </row>
    <row r="13" spans="1:16" s="112" customFormat="1" ht="27" customHeight="1">
      <c r="A13" s="118">
        <v>5</v>
      </c>
      <c r="B13" s="119" t="s">
        <v>752</v>
      </c>
      <c r="C13" s="106"/>
      <c r="D13" s="428"/>
      <c r="E13" s="114"/>
      <c r="F13" s="115"/>
      <c r="G13" s="114"/>
      <c r="H13" s="115"/>
      <c r="I13" s="114"/>
      <c r="J13" s="115"/>
      <c r="K13" s="114"/>
      <c r="L13" s="115"/>
      <c r="M13" s="114"/>
      <c r="N13" s="115"/>
      <c r="O13" s="114"/>
      <c r="P13" s="117"/>
    </row>
    <row r="14" spans="1:16" ht="27" customHeight="1">
      <c r="A14" s="716" t="s">
        <v>289</v>
      </c>
      <c r="B14" s="717"/>
      <c r="C14" s="717"/>
      <c r="D14" s="823"/>
      <c r="E14" s="823"/>
      <c r="F14" s="823"/>
      <c r="G14" s="823"/>
      <c r="H14" s="823"/>
      <c r="I14" s="823"/>
      <c r="J14" s="823"/>
      <c r="K14" s="823"/>
      <c r="L14" s="823"/>
      <c r="M14" s="823"/>
      <c r="N14" s="823"/>
      <c r="O14" s="823"/>
      <c r="P14" s="823"/>
    </row>
    <row r="15" spans="1:16" s="120" customFormat="1" ht="23.25" customHeight="1">
      <c r="C15" s="120" t="s">
        <v>753</v>
      </c>
    </row>
    <row r="16" spans="1:16" s="120" customFormat="1" ht="18.75">
      <c r="C16" s="718" t="s">
        <v>754</v>
      </c>
      <c r="D16" s="719"/>
      <c r="E16" s="719"/>
      <c r="F16" s="719"/>
      <c r="G16" s="719"/>
      <c r="H16" s="719"/>
      <c r="I16" s="719"/>
      <c r="J16" s="719"/>
      <c r="K16" s="719"/>
      <c r="L16" s="719"/>
      <c r="M16" s="719"/>
      <c r="N16" s="719"/>
      <c r="O16" s="719"/>
      <c r="P16" s="719"/>
    </row>
    <row r="17" spans="1:16" s="120" customFormat="1" ht="18.75">
      <c r="A17" s="121"/>
      <c r="B17" s="121"/>
      <c r="C17" s="718"/>
      <c r="D17" s="719"/>
      <c r="E17" s="719"/>
      <c r="F17" s="719"/>
      <c r="G17" s="719"/>
      <c r="H17" s="719"/>
      <c r="I17" s="719"/>
      <c r="J17" s="719"/>
      <c r="K17" s="719"/>
      <c r="L17" s="719"/>
      <c r="M17" s="719"/>
      <c r="N17" s="719"/>
      <c r="O17" s="719"/>
      <c r="P17" s="719"/>
    </row>
    <row r="18" spans="1:16" s="120" customFormat="1" ht="18.75">
      <c r="A18" s="121"/>
      <c r="B18" s="121"/>
      <c r="C18" s="719"/>
      <c r="D18" s="719"/>
      <c r="E18" s="719"/>
      <c r="F18" s="719"/>
      <c r="G18" s="719"/>
      <c r="H18" s="719"/>
      <c r="I18" s="719"/>
      <c r="J18" s="719"/>
      <c r="K18" s="719"/>
      <c r="L18" s="719"/>
      <c r="M18" s="719"/>
      <c r="N18" s="719"/>
      <c r="O18" s="719"/>
      <c r="P18" s="719"/>
    </row>
    <row r="19" spans="1:16" ht="18.75"/>
  </sheetData>
  <mergeCells count="21">
    <mergeCell ref="A2:P2"/>
    <mergeCell ref="A6:A8"/>
    <mergeCell ref="B6:C8"/>
    <mergeCell ref="D6:P6"/>
    <mergeCell ref="D7:D8"/>
    <mergeCell ref="E7:E8"/>
    <mergeCell ref="F7:F8"/>
    <mergeCell ref="G7:G8"/>
    <mergeCell ref="H7:H8"/>
    <mergeCell ref="I7:I8"/>
    <mergeCell ref="P7:P8"/>
    <mergeCell ref="A14:C14"/>
    <mergeCell ref="C16:P16"/>
    <mergeCell ref="C17:P17"/>
    <mergeCell ref="C18:P18"/>
    <mergeCell ref="J7:J8"/>
    <mergeCell ref="K7:K8"/>
    <mergeCell ref="L7:L8"/>
    <mergeCell ref="M7:M8"/>
    <mergeCell ref="N7:N8"/>
    <mergeCell ref="O7:O8"/>
  </mergeCells>
  <pageMargins left="0.39370078740157483" right="0.39370078740157483" top="0.39370078740157483" bottom="0" header="0.19685039370078741" footer="0.11811023622047245"/>
  <pageSetup paperSize="9" scale="7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theme="9" tint="0.39997558519241921"/>
    <pageSetUpPr fitToPage="1"/>
  </sheetPr>
  <dimension ref="A1:V31"/>
  <sheetViews>
    <sheetView showGridLines="0" view="pageBreakPreview" zoomScaleNormal="100" zoomScaleSheetLayoutView="100" workbookViewId="0">
      <selection activeCell="Q16" sqref="Q16"/>
    </sheetView>
  </sheetViews>
  <sheetFormatPr defaultColWidth="9.140625" defaultRowHeight="21"/>
  <cols>
    <col min="1" max="1" width="10" style="6" customWidth="1"/>
    <col min="2" max="2" width="38.5703125" style="6" customWidth="1"/>
    <col min="3" max="5" width="11.140625" style="6" customWidth="1"/>
    <col min="6" max="6" width="4.5703125" style="6" bestFit="1" customWidth="1"/>
    <col min="7" max="7" width="4.7109375" style="6" bestFit="1" customWidth="1"/>
    <col min="8" max="8" width="4.5703125" style="6" bestFit="1" customWidth="1"/>
    <col min="9" max="9" width="5.140625" style="6" bestFit="1" customWidth="1"/>
    <col min="10" max="10" width="4.7109375" style="6" bestFit="1" customWidth="1"/>
    <col min="11" max="11" width="12.140625" style="6" bestFit="1" customWidth="1"/>
    <col min="12" max="13" width="4.42578125" style="6" bestFit="1" customWidth="1"/>
    <col min="14" max="16" width="12.140625" style="6" bestFit="1" customWidth="1"/>
    <col min="17" max="18" width="13.42578125" style="6" bestFit="1" customWidth="1"/>
    <col min="19" max="20" width="13.140625" style="6" customWidth="1"/>
    <col min="21" max="16384" width="9.140625" style="6"/>
  </cols>
  <sheetData>
    <row r="1" spans="1:20">
      <c r="T1" s="13"/>
    </row>
    <row r="2" spans="1:20" ht="32.1" customHeight="1">
      <c r="A2" s="701" t="s">
        <v>755</v>
      </c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</row>
    <row r="3" spans="1:20" ht="32.1" customHeight="1">
      <c r="A3" s="701" t="s">
        <v>756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</row>
    <row r="4" spans="1:20" ht="32.1" customHeight="1">
      <c r="A4" s="701" t="s">
        <v>65</v>
      </c>
      <c r="B4" s="701"/>
      <c r="C4" s="701"/>
      <c r="D4" s="701"/>
      <c r="E4" s="701"/>
      <c r="F4" s="701"/>
      <c r="G4" s="701"/>
      <c r="H4" s="701"/>
      <c r="I4" s="701"/>
      <c r="J4" s="701"/>
      <c r="K4" s="701"/>
      <c r="L4" s="701"/>
      <c r="M4" s="701"/>
      <c r="N4" s="701"/>
      <c r="O4" s="701"/>
      <c r="P4" s="701"/>
      <c r="Q4" s="701"/>
      <c r="R4" s="701"/>
      <c r="S4" s="701"/>
      <c r="T4" s="701"/>
    </row>
    <row r="5" spans="1:20">
      <c r="A5" s="5" t="s">
        <v>708</v>
      </c>
    </row>
    <row r="6" spans="1:20" ht="27" customHeight="1">
      <c r="A6" s="5" t="s">
        <v>57</v>
      </c>
    </row>
    <row r="7" spans="1:20" ht="27" customHeight="1">
      <c r="A7" s="5" t="s">
        <v>757</v>
      </c>
    </row>
    <row r="8" spans="1:20" ht="18" customHeight="1" thickBot="1">
      <c r="A8" s="5"/>
      <c r="T8" s="13" t="s">
        <v>55</v>
      </c>
    </row>
    <row r="9" spans="1:20" ht="18" customHeight="1">
      <c r="A9" s="681" t="s">
        <v>56</v>
      </c>
      <c r="B9" s="681" t="s">
        <v>120</v>
      </c>
      <c r="C9" s="692" t="s">
        <v>758</v>
      </c>
      <c r="D9" s="681" t="s">
        <v>759</v>
      </c>
      <c r="E9" s="654" t="s">
        <v>711</v>
      </c>
      <c r="F9" s="731" t="s">
        <v>271</v>
      </c>
      <c r="G9" s="732"/>
      <c r="H9" s="732"/>
      <c r="I9" s="732"/>
      <c r="J9" s="732"/>
      <c r="K9" s="732"/>
      <c r="L9" s="732"/>
      <c r="M9" s="732"/>
      <c r="N9" s="732"/>
      <c r="O9" s="732"/>
      <c r="P9" s="732"/>
      <c r="Q9" s="732"/>
      <c r="R9" s="733"/>
      <c r="S9" s="656" t="s">
        <v>654</v>
      </c>
      <c r="T9" s="692" t="s">
        <v>760</v>
      </c>
    </row>
    <row r="10" spans="1:20" ht="27" customHeight="1">
      <c r="A10" s="681"/>
      <c r="B10" s="681"/>
      <c r="C10" s="692"/>
      <c r="D10" s="681"/>
      <c r="E10" s="654"/>
      <c r="F10" s="736" t="s">
        <v>761</v>
      </c>
      <c r="G10" s="684"/>
      <c r="H10" s="684"/>
      <c r="I10" s="684"/>
      <c r="J10" s="684"/>
      <c r="K10" s="684"/>
      <c r="L10" s="684"/>
      <c r="M10" s="684"/>
      <c r="N10" s="684"/>
      <c r="O10" s="684"/>
      <c r="P10" s="684"/>
      <c r="Q10" s="684"/>
      <c r="R10" s="734" t="s">
        <v>61</v>
      </c>
      <c r="S10" s="656"/>
      <c r="T10" s="692"/>
    </row>
    <row r="11" spans="1:20" ht="27" customHeight="1">
      <c r="A11" s="681"/>
      <c r="B11" s="681"/>
      <c r="C11" s="692"/>
      <c r="D11" s="681"/>
      <c r="E11" s="654"/>
      <c r="F11" s="430" t="s">
        <v>677</v>
      </c>
      <c r="G11" s="431" t="s">
        <v>678</v>
      </c>
      <c r="H11" s="431" t="s">
        <v>679</v>
      </c>
      <c r="I11" s="431" t="s">
        <v>680</v>
      </c>
      <c r="J11" s="431" t="s">
        <v>681</v>
      </c>
      <c r="K11" s="431" t="s">
        <v>682</v>
      </c>
      <c r="L11" s="431" t="s">
        <v>683</v>
      </c>
      <c r="M11" s="431" t="s">
        <v>684</v>
      </c>
      <c r="N11" s="431" t="s">
        <v>685</v>
      </c>
      <c r="O11" s="431" t="s">
        <v>686</v>
      </c>
      <c r="P11" s="431" t="s">
        <v>687</v>
      </c>
      <c r="Q11" s="431" t="s">
        <v>688</v>
      </c>
      <c r="R11" s="735"/>
      <c r="S11" s="656"/>
      <c r="T11" s="692"/>
    </row>
    <row r="12" spans="1:20" ht="27" customHeight="1">
      <c r="A12" s="52"/>
      <c r="B12" s="48" t="s">
        <v>762</v>
      </c>
      <c r="C12" s="15"/>
      <c r="D12" s="15"/>
      <c r="E12" s="16"/>
      <c r="F12" s="6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56"/>
      <c r="R12" s="73"/>
      <c r="S12" s="17"/>
      <c r="T12" s="17"/>
    </row>
    <row r="13" spans="1:20" ht="27" customHeight="1">
      <c r="A13" s="52"/>
      <c r="C13" s="15"/>
      <c r="D13" s="15"/>
      <c r="E13" s="16"/>
      <c r="F13" s="389"/>
      <c r="G13" s="390"/>
      <c r="H13" s="390"/>
      <c r="I13" s="390"/>
      <c r="J13" s="390"/>
      <c r="K13" s="388"/>
      <c r="L13" s="388"/>
      <c r="M13" s="388"/>
      <c r="N13" s="388"/>
      <c r="O13" s="388"/>
      <c r="P13" s="388"/>
      <c r="Q13" s="388"/>
      <c r="R13" s="391"/>
      <c r="S13" s="388"/>
      <c r="T13" s="388"/>
    </row>
    <row r="14" spans="1:20" ht="27" customHeight="1">
      <c r="A14" s="52"/>
      <c r="C14" s="15"/>
      <c r="D14" s="15"/>
      <c r="E14" s="16"/>
      <c r="F14" s="389"/>
      <c r="G14" s="390"/>
      <c r="H14" s="390"/>
      <c r="I14" s="390"/>
      <c r="J14" s="390"/>
      <c r="K14" s="388"/>
      <c r="L14" s="388"/>
      <c r="M14" s="388"/>
      <c r="N14" s="388"/>
      <c r="O14" s="388"/>
      <c r="P14" s="388"/>
      <c r="Q14" s="388"/>
      <c r="R14" s="391"/>
      <c r="S14" s="388"/>
      <c r="T14" s="388"/>
    </row>
    <row r="15" spans="1:20" ht="27" customHeight="1">
      <c r="A15" s="52"/>
      <c r="C15" s="15"/>
      <c r="D15" s="15"/>
      <c r="E15" s="16"/>
      <c r="F15" s="389"/>
      <c r="G15" s="390"/>
      <c r="H15" s="390"/>
      <c r="I15" s="390"/>
      <c r="J15" s="390"/>
      <c r="K15" s="388"/>
      <c r="L15" s="388"/>
      <c r="M15" s="388"/>
      <c r="N15" s="388"/>
      <c r="O15" s="388"/>
      <c r="P15" s="388"/>
      <c r="Q15" s="388"/>
      <c r="R15" s="391"/>
      <c r="S15" s="388"/>
      <c r="T15" s="388"/>
    </row>
    <row r="16" spans="1:20" ht="27" customHeight="1">
      <c r="A16" s="52"/>
      <c r="C16" s="15"/>
      <c r="D16" s="15"/>
      <c r="E16" s="16"/>
      <c r="F16" s="389"/>
      <c r="G16" s="390"/>
      <c r="H16" s="390"/>
      <c r="I16" s="390"/>
      <c r="J16" s="390"/>
      <c r="K16" s="388"/>
      <c r="L16" s="388"/>
      <c r="M16" s="388"/>
      <c r="N16" s="388"/>
      <c r="O16" s="388"/>
      <c r="P16" s="388"/>
      <c r="Q16" s="388"/>
      <c r="R16" s="391"/>
      <c r="S16" s="388"/>
      <c r="T16" s="388"/>
    </row>
    <row r="17" spans="1:22" ht="27" customHeight="1">
      <c r="A17" s="52"/>
      <c r="B17" s="5"/>
      <c r="C17" s="15"/>
      <c r="D17" s="15"/>
      <c r="E17" s="16"/>
      <c r="F17" s="69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73"/>
      <c r="S17" s="17"/>
      <c r="T17" s="17"/>
    </row>
    <row r="18" spans="1:22" ht="27" customHeight="1">
      <c r="A18" s="52"/>
      <c r="B18" s="48" t="s">
        <v>763</v>
      </c>
      <c r="C18" s="15"/>
      <c r="D18" s="15"/>
      <c r="E18" s="16"/>
      <c r="F18" s="6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73"/>
      <c r="S18" s="17"/>
      <c r="T18" s="17"/>
      <c r="V18" s="18"/>
    </row>
    <row r="19" spans="1:22" ht="27" customHeight="1">
      <c r="A19" s="52"/>
      <c r="B19" s="18" t="s">
        <v>764</v>
      </c>
      <c r="C19" s="15"/>
      <c r="D19" s="15"/>
      <c r="E19" s="16"/>
      <c r="F19" s="69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73"/>
      <c r="S19" s="17"/>
      <c r="T19" s="17"/>
    </row>
    <row r="20" spans="1:22" ht="27" customHeight="1">
      <c r="A20" s="52"/>
      <c r="B20" s="18" t="s">
        <v>765</v>
      </c>
      <c r="C20" s="15"/>
      <c r="D20" s="15"/>
      <c r="E20" s="16"/>
      <c r="F20" s="69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73"/>
      <c r="S20" s="17"/>
      <c r="T20" s="17"/>
    </row>
    <row r="21" spans="1:22" ht="27" customHeight="1">
      <c r="A21" s="46"/>
      <c r="C21" s="15"/>
      <c r="D21" s="15"/>
      <c r="E21" s="16"/>
      <c r="F21" s="69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73"/>
      <c r="S21" s="17"/>
      <c r="T21" s="17"/>
    </row>
    <row r="22" spans="1:22" ht="27" customHeight="1">
      <c r="A22" s="52"/>
      <c r="C22" s="15"/>
      <c r="D22" s="15"/>
      <c r="E22" s="16"/>
      <c r="F22" s="69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73"/>
      <c r="S22" s="17"/>
      <c r="T22" s="17"/>
    </row>
    <row r="23" spans="1:22" ht="27" customHeight="1">
      <c r="A23" s="52"/>
      <c r="C23" s="15"/>
      <c r="D23" s="15"/>
      <c r="E23" s="16"/>
      <c r="F23" s="69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73"/>
      <c r="S23" s="17"/>
      <c r="T23" s="17"/>
    </row>
    <row r="24" spans="1:22" ht="27" customHeight="1">
      <c r="A24" s="15"/>
      <c r="C24" s="15"/>
      <c r="D24" s="15"/>
      <c r="E24" s="16"/>
      <c r="F24" s="69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73"/>
      <c r="S24" s="17"/>
      <c r="T24" s="17"/>
    </row>
    <row r="25" spans="1:22" ht="27" customHeight="1">
      <c r="A25" s="46"/>
      <c r="C25" s="15"/>
      <c r="D25" s="15"/>
      <c r="E25" s="16"/>
      <c r="F25" s="69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73"/>
      <c r="S25" s="17"/>
      <c r="T25" s="17"/>
    </row>
    <row r="26" spans="1:22" ht="29.1" customHeight="1" thickBot="1">
      <c r="A26" s="53"/>
      <c r="B26" s="36"/>
      <c r="C26" s="31"/>
      <c r="D26" s="31"/>
      <c r="E26" s="32"/>
      <c r="F26" s="70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2"/>
      <c r="S26" s="36"/>
      <c r="T26" s="36"/>
    </row>
    <row r="27" spans="1:22">
      <c r="A27" s="54" t="s">
        <v>766</v>
      </c>
      <c r="B27" s="18" t="s">
        <v>767</v>
      </c>
    </row>
    <row r="28" spans="1:22" ht="21" customHeight="1">
      <c r="B28" s="18" t="s">
        <v>768</v>
      </c>
      <c r="U28" s="712" t="s">
        <v>34</v>
      </c>
    </row>
    <row r="29" spans="1:22">
      <c r="U29" s="712"/>
    </row>
    <row r="30" spans="1:22">
      <c r="U30" s="712"/>
    </row>
    <row r="31" spans="1:22">
      <c r="U31" s="712"/>
    </row>
  </sheetData>
  <mergeCells count="14">
    <mergeCell ref="A2:T2"/>
    <mergeCell ref="A3:T3"/>
    <mergeCell ref="A4:T4"/>
    <mergeCell ref="U28:U31"/>
    <mergeCell ref="T9:T11"/>
    <mergeCell ref="A9:A11"/>
    <mergeCell ref="B9:B11"/>
    <mergeCell ref="C9:C11"/>
    <mergeCell ref="D9:D11"/>
    <mergeCell ref="E9:E11"/>
    <mergeCell ref="S9:S11"/>
    <mergeCell ref="F9:R9"/>
    <mergeCell ref="R10:R11"/>
    <mergeCell ref="F10:Q10"/>
  </mergeCells>
  <phoneticPr fontId="0" type="noConversion"/>
  <printOptions horizontalCentered="1"/>
  <pageMargins left="0.62992125984251968" right="0.39370078740157483" top="0.55118110236220474" bottom="0.39370078740157483" header="0.51181102362204722" footer="0.51181102362204722"/>
  <pageSetup paperSize="9" scale="65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C7B3-18DE-4BFC-AB46-0B8D8AB48CA1}">
  <sheetPr>
    <tabColor rgb="FF92D050"/>
  </sheetPr>
  <dimension ref="A2:W30"/>
  <sheetViews>
    <sheetView showGridLines="0" view="pageBreakPreview" zoomScaleNormal="115" zoomScaleSheetLayoutView="100" workbookViewId="0">
      <selection activeCell="K21" sqref="K21"/>
    </sheetView>
  </sheetViews>
  <sheetFormatPr defaultColWidth="9.140625" defaultRowHeight="21.75"/>
  <cols>
    <col min="1" max="1" width="34.42578125" style="61" customWidth="1"/>
    <col min="2" max="5" width="21" style="61" customWidth="1"/>
    <col min="6" max="6" width="5.85546875" style="61" bestFit="1" customWidth="1"/>
    <col min="7" max="8" width="16.28515625" style="61" customWidth="1"/>
    <col min="9" max="9" width="5.85546875" style="61" bestFit="1" customWidth="1"/>
    <col min="10" max="11" width="18.85546875" style="61" customWidth="1"/>
    <col min="12" max="12" width="5.7109375" style="61" bestFit="1" customWidth="1"/>
    <col min="13" max="14" width="17.28515625" style="61" customWidth="1"/>
    <col min="15" max="15" width="5.85546875" style="61" bestFit="1" customWidth="1"/>
    <col min="16" max="16" width="17.42578125" style="61" customWidth="1"/>
    <col min="17" max="17" width="6.140625" style="61" bestFit="1" customWidth="1"/>
    <col min="18" max="18" width="5.7109375" style="61" bestFit="1" customWidth="1"/>
    <col min="19" max="19" width="5.42578125" style="61" bestFit="1" customWidth="1"/>
    <col min="20" max="20" width="6" style="61" bestFit="1" customWidth="1"/>
    <col min="21" max="21" width="5.85546875" style="61" bestFit="1" customWidth="1"/>
    <col min="22" max="22" width="11.5703125" style="61" bestFit="1" customWidth="1"/>
    <col min="23" max="16384" width="9.140625" style="61"/>
  </cols>
  <sheetData>
    <row r="2" spans="1:22" ht="23.25">
      <c r="A2" s="713" t="s">
        <v>29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</row>
    <row r="3" spans="1:22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3" t="s">
        <v>55</v>
      </c>
    </row>
    <row r="4" spans="1:22">
      <c r="A4" s="714" t="s">
        <v>120</v>
      </c>
      <c r="B4" s="715" t="s">
        <v>726</v>
      </c>
      <c r="C4" s="715" t="s">
        <v>727</v>
      </c>
      <c r="D4" s="715" t="s">
        <v>769</v>
      </c>
      <c r="E4" s="714" t="s">
        <v>712</v>
      </c>
      <c r="F4" s="714"/>
      <c r="G4" s="714"/>
      <c r="H4" s="714"/>
      <c r="I4" s="714"/>
      <c r="J4" s="714"/>
      <c r="K4" s="714" t="s">
        <v>770</v>
      </c>
      <c r="L4" s="714"/>
      <c r="M4" s="714"/>
      <c r="N4" s="714"/>
      <c r="O4" s="714"/>
      <c r="P4" s="714"/>
      <c r="Q4" s="714" t="s">
        <v>771</v>
      </c>
      <c r="R4" s="714"/>
      <c r="S4" s="714"/>
      <c r="T4" s="714"/>
      <c r="U4" s="714"/>
      <c r="V4" s="714"/>
    </row>
    <row r="5" spans="1:22">
      <c r="A5" s="714"/>
      <c r="B5" s="714"/>
      <c r="C5" s="714"/>
      <c r="D5" s="714"/>
      <c r="E5" s="714" t="s">
        <v>729</v>
      </c>
      <c r="F5" s="714"/>
      <c r="G5" s="714"/>
      <c r="H5" s="714" t="s">
        <v>649</v>
      </c>
      <c r="I5" s="714"/>
      <c r="J5" s="714"/>
      <c r="K5" s="714" t="s">
        <v>729</v>
      </c>
      <c r="L5" s="714"/>
      <c r="M5" s="714"/>
      <c r="N5" s="714" t="s">
        <v>649</v>
      </c>
      <c r="O5" s="714"/>
      <c r="P5" s="714"/>
      <c r="Q5" s="714" t="s">
        <v>729</v>
      </c>
      <c r="R5" s="714"/>
      <c r="S5" s="714"/>
      <c r="T5" s="714" t="s">
        <v>649</v>
      </c>
      <c r="U5" s="714"/>
      <c r="V5" s="714"/>
    </row>
    <row r="6" spans="1:22">
      <c r="A6" s="714"/>
      <c r="B6" s="714"/>
      <c r="C6" s="714"/>
      <c r="D6" s="714"/>
      <c r="E6" s="432" t="s">
        <v>730</v>
      </c>
      <c r="F6" s="432" t="s">
        <v>731</v>
      </c>
      <c r="G6" s="432" t="s">
        <v>61</v>
      </c>
      <c r="H6" s="432" t="s">
        <v>730</v>
      </c>
      <c r="I6" s="432" t="s">
        <v>731</v>
      </c>
      <c r="J6" s="432" t="s">
        <v>61</v>
      </c>
      <c r="K6" s="432" t="s">
        <v>730</v>
      </c>
      <c r="L6" s="432" t="s">
        <v>731</v>
      </c>
      <c r="M6" s="432" t="s">
        <v>61</v>
      </c>
      <c r="N6" s="432" t="s">
        <v>730</v>
      </c>
      <c r="O6" s="432" t="s">
        <v>731</v>
      </c>
      <c r="P6" s="432" t="s">
        <v>61</v>
      </c>
      <c r="Q6" s="432" t="s">
        <v>730</v>
      </c>
      <c r="R6" s="432" t="s">
        <v>731</v>
      </c>
      <c r="S6" s="432" t="s">
        <v>61</v>
      </c>
      <c r="T6" s="432" t="s">
        <v>730</v>
      </c>
      <c r="U6" s="432" t="s">
        <v>731</v>
      </c>
      <c r="V6" s="432" t="s">
        <v>61</v>
      </c>
    </row>
    <row r="7" spans="1:22">
      <c r="A7" s="564" t="s">
        <v>714</v>
      </c>
      <c r="B7" s="571">
        <f>วงเงิน!B5*1000000</f>
        <v>491300000</v>
      </c>
      <c r="C7" s="571">
        <f>'004-4'!M7</f>
        <v>491300000</v>
      </c>
      <c r="D7" s="572">
        <f>C7</f>
        <v>491300000</v>
      </c>
      <c r="E7" s="573"/>
      <c r="F7" s="572">
        <v>0</v>
      </c>
      <c r="G7" s="572">
        <f>E7+F7</f>
        <v>0</v>
      </c>
      <c r="H7" s="573"/>
      <c r="I7" s="385">
        <v>0</v>
      </c>
      <c r="J7" s="574">
        <f>I7</f>
        <v>0</v>
      </c>
      <c r="K7" s="574">
        <f>G7-J7</f>
        <v>0</v>
      </c>
      <c r="L7" s="573"/>
      <c r="M7" s="571">
        <f>K7+L7</f>
        <v>0</v>
      </c>
      <c r="N7" s="573"/>
      <c r="O7" s="571">
        <v>0</v>
      </c>
      <c r="P7" s="572">
        <f>O7</f>
        <v>0</v>
      </c>
      <c r="Q7" s="571">
        <v>0</v>
      </c>
      <c r="R7" s="573"/>
      <c r="S7" s="572">
        <f>Q7</f>
        <v>0</v>
      </c>
      <c r="T7" s="573"/>
      <c r="U7" s="573"/>
      <c r="V7" s="573"/>
    </row>
    <row r="8" spans="1:22">
      <c r="A8" s="147" t="s">
        <v>274</v>
      </c>
      <c r="B8" s="383"/>
      <c r="C8" s="383"/>
      <c r="D8" s="64"/>
      <c r="E8" s="64"/>
      <c r="F8" s="64"/>
      <c r="G8" s="64"/>
      <c r="H8" s="64"/>
      <c r="I8" s="385"/>
      <c r="J8" s="386"/>
      <c r="K8" s="386"/>
      <c r="L8" s="64"/>
      <c r="M8" s="383"/>
      <c r="N8" s="64"/>
      <c r="O8" s="383"/>
      <c r="P8" s="64"/>
      <c r="Q8" s="383"/>
      <c r="R8" s="64"/>
      <c r="S8" s="64"/>
      <c r="T8" s="64"/>
      <c r="U8" s="64"/>
      <c r="V8" s="64"/>
    </row>
    <row r="9" spans="1:22">
      <c r="A9" s="148" t="s">
        <v>597</v>
      </c>
      <c r="B9" s="383">
        <f>วงเงิน!B6*1000000</f>
        <v>1917600000</v>
      </c>
      <c r="C9" s="383">
        <f>'004-4'!M9</f>
        <v>793300000</v>
      </c>
      <c r="D9" s="383">
        <f>'010-2'!J9+'010-2'!P9+'010-2'!V9</f>
        <v>738760000</v>
      </c>
      <c r="E9" s="384">
        <f>'010-2'!S9-'010-2'!V9</f>
        <v>54540000</v>
      </c>
      <c r="F9" s="384">
        <v>0</v>
      </c>
      <c r="G9" s="384">
        <f>F9+E9</f>
        <v>54540000</v>
      </c>
      <c r="H9" s="384">
        <f>'004-4'!K9</f>
        <v>24240000.000000004</v>
      </c>
      <c r="I9" s="385">
        <v>0</v>
      </c>
      <c r="J9" s="386">
        <f>H9</f>
        <v>24240000.000000004</v>
      </c>
      <c r="K9" s="387">
        <f>G9-J9</f>
        <v>30299999.999999996</v>
      </c>
      <c r="L9" s="64"/>
      <c r="M9" s="383">
        <f>K9+L9</f>
        <v>30299999.999999996</v>
      </c>
      <c r="N9" s="384">
        <f>'004-4'!L9</f>
        <v>30300000</v>
      </c>
      <c r="O9" s="383">
        <v>0</v>
      </c>
      <c r="P9" s="384">
        <f>N9</f>
        <v>30300000</v>
      </c>
      <c r="Q9" s="383">
        <f>M9-P9</f>
        <v>0</v>
      </c>
      <c r="R9" s="64"/>
      <c r="S9" s="384">
        <f>Q9</f>
        <v>0</v>
      </c>
      <c r="T9" s="64"/>
      <c r="U9" s="386">
        <v>0</v>
      </c>
      <c r="V9" s="386">
        <f>U9</f>
        <v>0</v>
      </c>
    </row>
    <row r="10" spans="1:22">
      <c r="A10" s="148" t="s">
        <v>732</v>
      </c>
      <c r="B10" s="383"/>
      <c r="C10" s="383"/>
      <c r="D10" s="64"/>
      <c r="E10" s="64"/>
      <c r="F10" s="64"/>
      <c r="G10" s="64"/>
      <c r="H10" s="64"/>
      <c r="I10" s="385"/>
      <c r="J10" s="386"/>
      <c r="K10" s="386"/>
      <c r="L10" s="64"/>
      <c r="M10" s="383"/>
      <c r="N10" s="64"/>
      <c r="O10" s="383"/>
      <c r="P10" s="64"/>
      <c r="Q10" s="383"/>
      <c r="R10" s="64"/>
      <c r="S10" s="64"/>
      <c r="T10" s="64"/>
      <c r="U10" s="386"/>
      <c r="V10" s="386"/>
    </row>
    <row r="11" spans="1:22">
      <c r="A11" s="149" t="s">
        <v>716</v>
      </c>
      <c r="B11" s="383"/>
      <c r="C11" s="383"/>
      <c r="D11" s="64"/>
      <c r="E11" s="64"/>
      <c r="F11" s="64"/>
      <c r="G11" s="64"/>
      <c r="H11" s="64"/>
      <c r="I11" s="385"/>
      <c r="J11" s="386"/>
      <c r="K11" s="386"/>
      <c r="L11" s="64"/>
      <c r="M11" s="383"/>
      <c r="N11" s="64"/>
      <c r="O11" s="383"/>
      <c r="P11" s="64"/>
      <c r="Q11" s="383"/>
      <c r="R11" s="64"/>
      <c r="S11" s="64"/>
      <c r="T11" s="64"/>
      <c r="U11" s="386"/>
      <c r="V11" s="386"/>
    </row>
    <row r="12" spans="1:22">
      <c r="A12" s="149" t="s">
        <v>278</v>
      </c>
      <c r="B12" s="383"/>
      <c r="C12" s="383"/>
      <c r="D12" s="64"/>
      <c r="E12" s="64"/>
      <c r="F12" s="64"/>
      <c r="G12" s="64"/>
      <c r="H12" s="64"/>
      <c r="I12" s="385"/>
      <c r="J12" s="386"/>
      <c r="K12" s="386"/>
      <c r="L12" s="64"/>
      <c r="M12" s="383"/>
      <c r="N12" s="64"/>
      <c r="O12" s="383"/>
      <c r="P12" s="64"/>
      <c r="Q12" s="383"/>
      <c r="R12" s="64"/>
      <c r="S12" s="64"/>
      <c r="T12" s="64"/>
      <c r="U12" s="386"/>
      <c r="V12" s="386"/>
    </row>
    <row r="13" spans="1:22">
      <c r="A13" s="149" t="s">
        <v>279</v>
      </c>
      <c r="B13" s="383"/>
      <c r="C13" s="383"/>
      <c r="D13" s="64"/>
      <c r="E13" s="64"/>
      <c r="F13" s="64"/>
      <c r="G13" s="64"/>
      <c r="H13" s="64"/>
      <c r="I13" s="385"/>
      <c r="J13" s="386"/>
      <c r="K13" s="386"/>
      <c r="L13" s="64"/>
      <c r="M13" s="383"/>
      <c r="N13" s="64"/>
      <c r="O13" s="383"/>
      <c r="P13" s="64"/>
      <c r="Q13" s="383"/>
      <c r="R13" s="64"/>
      <c r="S13" s="64"/>
      <c r="T13" s="64"/>
      <c r="U13" s="386"/>
      <c r="V13" s="386"/>
    </row>
    <row r="14" spans="1:22">
      <c r="A14" s="149" t="s">
        <v>733</v>
      </c>
      <c r="B14" s="383">
        <f>วงเงิน!B7*1000000</f>
        <v>57529999.999999993</v>
      </c>
      <c r="C14" s="383">
        <f>'004-4'!M14</f>
        <v>23800000</v>
      </c>
      <c r="D14" s="383">
        <f>'010-2'!J14+'010-2'!P14+'010-2'!V14</f>
        <v>22164000</v>
      </c>
      <c r="E14" s="384">
        <f>'010-2'!S14-'010-2'!V14</f>
        <v>1636000</v>
      </c>
      <c r="F14" s="384">
        <v>0</v>
      </c>
      <c r="G14" s="384">
        <f>F14+E14</f>
        <v>1636000</v>
      </c>
      <c r="H14" s="384">
        <f>'004-4'!K14</f>
        <v>727000</v>
      </c>
      <c r="I14" s="385">
        <v>0</v>
      </c>
      <c r="J14" s="386">
        <f>H14</f>
        <v>727000</v>
      </c>
      <c r="K14" s="387">
        <f>G14-J14</f>
        <v>909000</v>
      </c>
      <c r="L14" s="64"/>
      <c r="M14" s="383">
        <f>K14+L14</f>
        <v>909000</v>
      </c>
      <c r="N14" s="384">
        <f>'004-4'!L14</f>
        <v>909000</v>
      </c>
      <c r="O14" s="383">
        <v>0</v>
      </c>
      <c r="P14" s="384">
        <f>N14</f>
        <v>909000</v>
      </c>
      <c r="Q14" s="383">
        <f>M14-P14</f>
        <v>0</v>
      </c>
      <c r="R14" s="64"/>
      <c r="S14" s="384">
        <f>Q14</f>
        <v>0</v>
      </c>
      <c r="T14" s="64"/>
      <c r="U14" s="386">
        <v>0</v>
      </c>
      <c r="V14" s="386">
        <f>U14</f>
        <v>0</v>
      </c>
    </row>
    <row r="15" spans="1:22">
      <c r="A15" s="149" t="s">
        <v>734</v>
      </c>
      <c r="B15" s="383"/>
      <c r="C15" s="383"/>
      <c r="D15" s="64"/>
      <c r="E15" s="64"/>
      <c r="F15" s="64"/>
      <c r="G15" s="64"/>
      <c r="H15" s="64"/>
      <c r="I15" s="385"/>
      <c r="J15" s="386"/>
      <c r="K15" s="386"/>
      <c r="L15" s="64"/>
      <c r="M15" s="383"/>
      <c r="N15" s="64"/>
      <c r="O15" s="383"/>
      <c r="P15" s="64"/>
      <c r="Q15" s="383"/>
      <c r="R15" s="64"/>
      <c r="S15" s="64"/>
      <c r="T15" s="64"/>
      <c r="U15" s="386"/>
      <c r="V15" s="386"/>
    </row>
    <row r="16" spans="1:22">
      <c r="A16" s="149" t="s">
        <v>735</v>
      </c>
      <c r="B16" s="383"/>
      <c r="C16" s="383"/>
      <c r="D16" s="64"/>
      <c r="E16" s="64"/>
      <c r="F16" s="64"/>
      <c r="G16" s="64"/>
      <c r="H16" s="64"/>
      <c r="I16" s="385"/>
      <c r="J16" s="386"/>
      <c r="K16" s="386"/>
      <c r="L16" s="64"/>
      <c r="M16" s="383"/>
      <c r="N16" s="64"/>
      <c r="O16" s="383"/>
      <c r="P16" s="64"/>
      <c r="Q16" s="383"/>
      <c r="R16" s="64"/>
      <c r="S16" s="64"/>
      <c r="T16" s="64"/>
      <c r="U16" s="386"/>
      <c r="V16" s="386"/>
    </row>
    <row r="17" spans="1:23">
      <c r="A17" s="150" t="s">
        <v>283</v>
      </c>
      <c r="B17" s="433"/>
      <c r="C17" s="433"/>
      <c r="D17" s="434"/>
      <c r="E17" s="434"/>
      <c r="F17" s="434"/>
      <c r="G17" s="434"/>
      <c r="H17" s="434"/>
      <c r="I17" s="435"/>
      <c r="J17" s="435"/>
      <c r="K17" s="435"/>
      <c r="L17" s="434"/>
      <c r="M17" s="433"/>
      <c r="N17" s="434"/>
      <c r="O17" s="433"/>
      <c r="P17" s="434"/>
      <c r="Q17" s="433"/>
      <c r="R17" s="434"/>
      <c r="S17" s="434"/>
      <c r="T17" s="434"/>
      <c r="U17" s="435"/>
      <c r="V17" s="435"/>
    </row>
    <row r="18" spans="1:23">
      <c r="A18" s="147" t="s">
        <v>736</v>
      </c>
      <c r="B18" s="383"/>
      <c r="C18" s="383"/>
      <c r="D18" s="64"/>
      <c r="E18" s="64"/>
      <c r="F18" s="64"/>
      <c r="G18" s="64"/>
      <c r="H18" s="64"/>
      <c r="I18" s="385"/>
      <c r="J18" s="386"/>
      <c r="K18" s="386"/>
      <c r="L18" s="64"/>
      <c r="M18" s="383"/>
      <c r="N18" s="64"/>
      <c r="O18" s="383"/>
      <c r="P18" s="64"/>
      <c r="Q18" s="383"/>
      <c r="R18" s="64"/>
      <c r="S18" s="64"/>
      <c r="T18" s="64"/>
      <c r="U18" s="386"/>
      <c r="V18" s="386"/>
    </row>
    <row r="19" spans="1:23">
      <c r="A19" s="147" t="s">
        <v>718</v>
      </c>
      <c r="B19" s="383">
        <f>วงเงิน!B9*1000000</f>
        <v>2094745000</v>
      </c>
      <c r="C19" s="383">
        <f>'004-4'!M19</f>
        <v>1036780000</v>
      </c>
      <c r="D19" s="384">
        <f>'010-2 (2)'!C19</f>
        <v>1036780000</v>
      </c>
      <c r="E19" s="64"/>
      <c r="F19" s="384">
        <v>0</v>
      </c>
      <c r="G19" s="384">
        <f>F19+E19</f>
        <v>0</v>
      </c>
      <c r="H19" s="64"/>
      <c r="I19" s="385">
        <v>0</v>
      </c>
      <c r="J19" s="386">
        <f>I19</f>
        <v>0</v>
      </c>
      <c r="K19" s="387">
        <f>G19-J19</f>
        <v>0</v>
      </c>
      <c r="L19" s="64"/>
      <c r="M19" s="383">
        <f>K19+L19</f>
        <v>0</v>
      </c>
      <c r="N19" s="64"/>
      <c r="O19" s="383">
        <v>0</v>
      </c>
      <c r="P19" s="384">
        <f>O19</f>
        <v>0</v>
      </c>
      <c r="Q19" s="383">
        <v>0</v>
      </c>
      <c r="R19" s="64"/>
      <c r="S19" s="384">
        <f>Q19</f>
        <v>0</v>
      </c>
      <c r="T19" s="64"/>
      <c r="U19" s="386">
        <v>0</v>
      </c>
      <c r="V19" s="386">
        <f>U19</f>
        <v>0</v>
      </c>
    </row>
    <row r="20" spans="1:23">
      <c r="A20" s="147" t="s">
        <v>719</v>
      </c>
      <c r="B20" s="383">
        <f>วงเงิน!B8*1000000</f>
        <v>1363596000</v>
      </c>
      <c r="C20" s="383">
        <f>'004-4'!M20</f>
        <v>522930000</v>
      </c>
      <c r="D20" s="384">
        <f>C20</f>
        <v>522930000</v>
      </c>
      <c r="E20" s="64"/>
      <c r="F20" s="384">
        <v>0</v>
      </c>
      <c r="G20" s="384">
        <f>F20+E20</f>
        <v>0</v>
      </c>
      <c r="H20" s="64"/>
      <c r="I20" s="385">
        <v>0</v>
      </c>
      <c r="J20" s="386">
        <f>I20</f>
        <v>0</v>
      </c>
      <c r="K20" s="387">
        <f>G20-J20</f>
        <v>0</v>
      </c>
      <c r="L20" s="64"/>
      <c r="M20" s="383">
        <f>K20+L20</f>
        <v>0</v>
      </c>
      <c r="N20" s="64"/>
      <c r="O20" s="383">
        <v>0</v>
      </c>
      <c r="P20" s="384">
        <f>O20</f>
        <v>0</v>
      </c>
      <c r="Q20" s="383">
        <v>0</v>
      </c>
      <c r="R20" s="64"/>
      <c r="S20" s="384">
        <f>Q20</f>
        <v>0</v>
      </c>
      <c r="T20" s="64"/>
      <c r="U20" s="386">
        <v>0</v>
      </c>
      <c r="V20" s="386">
        <f>U20</f>
        <v>0</v>
      </c>
    </row>
    <row r="21" spans="1:23">
      <c r="A21" s="147" t="s">
        <v>737</v>
      </c>
      <c r="B21" s="383"/>
      <c r="C21" s="383"/>
      <c r="D21" s="64"/>
      <c r="E21" s="64"/>
      <c r="F21" s="64"/>
      <c r="G21" s="64"/>
      <c r="H21" s="64"/>
      <c r="I21" s="385"/>
      <c r="J21" s="386"/>
      <c r="K21" s="386"/>
      <c r="L21" s="64"/>
      <c r="M21" s="383"/>
      <c r="N21" s="64"/>
      <c r="O21" s="383"/>
      <c r="P21" s="64"/>
      <c r="Q21" s="383"/>
      <c r="R21" s="64"/>
      <c r="S21" s="64"/>
      <c r="T21" s="64"/>
      <c r="U21" s="386"/>
      <c r="V21" s="386"/>
    </row>
    <row r="22" spans="1:23">
      <c r="A22" s="147" t="s">
        <v>738</v>
      </c>
      <c r="B22" s="383"/>
      <c r="C22" s="383"/>
      <c r="D22" s="64"/>
      <c r="E22" s="64"/>
      <c r="F22" s="64"/>
      <c r="G22" s="64"/>
      <c r="H22" s="64"/>
      <c r="I22" s="385"/>
      <c r="J22" s="386"/>
      <c r="K22" s="386"/>
      <c r="L22" s="64"/>
      <c r="M22" s="383"/>
      <c r="N22" s="64"/>
      <c r="O22" s="383"/>
      <c r="P22" s="64"/>
      <c r="Q22" s="383"/>
      <c r="R22" s="64"/>
      <c r="S22" s="64"/>
      <c r="T22" s="64"/>
      <c r="U22" s="386"/>
      <c r="V22" s="386"/>
    </row>
    <row r="23" spans="1:23">
      <c r="A23" s="151" t="s">
        <v>61</v>
      </c>
      <c r="B23" s="433">
        <f t="shared" ref="B23:I23" si="0">SUM(B7:B20)</f>
        <v>5924771000</v>
      </c>
      <c r="C23" s="433">
        <f t="shared" si="0"/>
        <v>2868110000</v>
      </c>
      <c r="D23" s="433">
        <f t="shared" si="0"/>
        <v>2811934000</v>
      </c>
      <c r="E23" s="433">
        <f t="shared" si="0"/>
        <v>56176000</v>
      </c>
      <c r="F23" s="433">
        <f t="shared" si="0"/>
        <v>0</v>
      </c>
      <c r="G23" s="433">
        <f t="shared" si="0"/>
        <v>56176000</v>
      </c>
      <c r="H23" s="433">
        <f t="shared" si="0"/>
        <v>24967000.000000004</v>
      </c>
      <c r="I23" s="436">
        <f t="shared" si="0"/>
        <v>0</v>
      </c>
      <c r="J23" s="435">
        <f>I23+H23</f>
        <v>24967000.000000004</v>
      </c>
      <c r="K23" s="436">
        <f>G23-J23</f>
        <v>31208999.999999996</v>
      </c>
      <c r="L23" s="434"/>
      <c r="M23" s="433">
        <f>K23+L23</f>
        <v>31208999.999999996</v>
      </c>
      <c r="N23" s="433">
        <f>L23+M23</f>
        <v>31208999.999999996</v>
      </c>
      <c r="O23" s="433">
        <f>SUM(O7:O20)</f>
        <v>0</v>
      </c>
      <c r="P23" s="433">
        <f>N23+O23</f>
        <v>31208999.999999996</v>
      </c>
      <c r="Q23" s="433">
        <f>M23-P23</f>
        <v>0</v>
      </c>
      <c r="R23" s="434"/>
      <c r="S23" s="437">
        <f>Q23</f>
        <v>0</v>
      </c>
      <c r="T23" s="434"/>
      <c r="U23" s="436">
        <f>SUM(U7:U20)</f>
        <v>0</v>
      </c>
      <c r="V23" s="435">
        <f>U23</f>
        <v>0</v>
      </c>
    </row>
    <row r="24" spans="1:23">
      <c r="A24" s="564" t="s">
        <v>739</v>
      </c>
      <c r="B24" s="433">
        <f>วงเงิน!B11*1000000</f>
        <v>225228999.99999997</v>
      </c>
      <c r="C24" s="433"/>
      <c r="D24" s="434"/>
      <c r="E24" s="434"/>
      <c r="F24" s="434"/>
      <c r="G24" s="434"/>
      <c r="H24" s="434"/>
      <c r="I24" s="435"/>
      <c r="J24" s="435"/>
      <c r="K24" s="435"/>
      <c r="L24" s="434"/>
      <c r="M24" s="433"/>
      <c r="N24" s="434"/>
      <c r="O24" s="433"/>
      <c r="P24" s="434"/>
      <c r="Q24" s="433"/>
      <c r="R24" s="434"/>
      <c r="S24" s="434"/>
      <c r="T24" s="434"/>
      <c r="U24" s="435"/>
      <c r="V24" s="435"/>
    </row>
    <row r="25" spans="1:23">
      <c r="A25" s="151" t="s">
        <v>289</v>
      </c>
      <c r="B25" s="437">
        <f t="shared" ref="B25:K25" si="1">B23+B24</f>
        <v>6150000000</v>
      </c>
      <c r="C25" s="433">
        <f t="shared" si="1"/>
        <v>2868110000</v>
      </c>
      <c r="D25" s="433">
        <f t="shared" si="1"/>
        <v>2811934000</v>
      </c>
      <c r="E25" s="433">
        <f t="shared" si="1"/>
        <v>56176000</v>
      </c>
      <c r="F25" s="433">
        <f t="shared" si="1"/>
        <v>0</v>
      </c>
      <c r="G25" s="433">
        <f t="shared" si="1"/>
        <v>56176000</v>
      </c>
      <c r="H25" s="433">
        <f t="shared" si="1"/>
        <v>24967000.000000004</v>
      </c>
      <c r="I25" s="436">
        <f t="shared" si="1"/>
        <v>0</v>
      </c>
      <c r="J25" s="436">
        <f t="shared" si="1"/>
        <v>24967000.000000004</v>
      </c>
      <c r="K25" s="436">
        <f t="shared" si="1"/>
        <v>31208999.999999996</v>
      </c>
      <c r="L25" s="434"/>
      <c r="M25" s="436">
        <f>M23+M24</f>
        <v>31208999.999999996</v>
      </c>
      <c r="N25" s="436">
        <f>N23+N24</f>
        <v>31208999.999999996</v>
      </c>
      <c r="O25" s="433">
        <f>O23+O24</f>
        <v>0</v>
      </c>
      <c r="P25" s="436">
        <f>P23+P24</f>
        <v>31208999.999999996</v>
      </c>
      <c r="Q25" s="433">
        <f>Q23+Q24</f>
        <v>0</v>
      </c>
      <c r="R25" s="434"/>
      <c r="S25" s="437">
        <f>Q25</f>
        <v>0</v>
      </c>
      <c r="T25" s="434"/>
      <c r="U25" s="436">
        <f>U23+U24</f>
        <v>0</v>
      </c>
      <c r="V25" s="435">
        <f>U25</f>
        <v>0</v>
      </c>
    </row>
    <row r="27" spans="1:23">
      <c r="D27" s="394"/>
    </row>
    <row r="28" spans="1:23">
      <c r="W28" s="712" t="s">
        <v>28</v>
      </c>
    </row>
    <row r="29" spans="1:23">
      <c r="W29" s="712"/>
    </row>
    <row r="30" spans="1:23" ht="72" customHeight="1">
      <c r="W30" s="712"/>
    </row>
  </sheetData>
  <mergeCells count="15">
    <mergeCell ref="W28:W30"/>
    <mergeCell ref="A2:V2"/>
    <mergeCell ref="A4:A6"/>
    <mergeCell ref="B4:B6"/>
    <mergeCell ref="C4:C6"/>
    <mergeCell ref="D4:D6"/>
    <mergeCell ref="E4:J4"/>
    <mergeCell ref="K4:P4"/>
    <mergeCell ref="Q4:V4"/>
    <mergeCell ref="E5:G5"/>
    <mergeCell ref="H5:J5"/>
    <mergeCell ref="K5:M5"/>
    <mergeCell ref="N5:P5"/>
    <mergeCell ref="Q5:S5"/>
    <mergeCell ref="T5:V5"/>
  </mergeCells>
  <pageMargins left="0.51181102362204722" right="0.51181102362204722" top="0.74803149606299213" bottom="0.74803149606299213" header="0.31496062992125984" footer="0.31496062992125984"/>
  <pageSetup paperSize="9" scale="4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B000-F325-4CFA-9425-00F910B9D7AF}">
  <sheetPr>
    <tabColor rgb="FFFFFF00"/>
    <pageSetUpPr fitToPage="1"/>
  </sheetPr>
  <dimension ref="A1:X27"/>
  <sheetViews>
    <sheetView view="pageBreakPreview" zoomScale="160" zoomScaleSheetLayoutView="160" workbookViewId="0">
      <selection activeCell="C16" sqref="C16:C20"/>
    </sheetView>
  </sheetViews>
  <sheetFormatPr defaultColWidth="9" defaultRowHeight="21"/>
  <cols>
    <col min="1" max="1" width="26" style="261" bestFit="1" customWidth="1"/>
    <col min="2" max="2" width="21.42578125" style="261" customWidth="1"/>
    <col min="3" max="11" width="13.28515625" style="261" customWidth="1"/>
    <col min="12" max="21" width="9" style="261" customWidth="1"/>
    <col min="22" max="16384" width="9" style="261"/>
  </cols>
  <sheetData>
    <row r="1" spans="1:24" ht="26.25">
      <c r="A1" s="738" t="s">
        <v>772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</row>
    <row r="2" spans="1:24" ht="21.75" thickBot="1">
      <c r="J2" s="737"/>
      <c r="K2" s="737"/>
    </row>
    <row r="3" spans="1:24">
      <c r="A3" s="739" t="s">
        <v>120</v>
      </c>
      <c r="B3" s="741" t="s">
        <v>773</v>
      </c>
      <c r="C3" s="262" t="s">
        <v>119</v>
      </c>
      <c r="D3" s="743" t="s">
        <v>774</v>
      </c>
      <c r="E3" s="739"/>
      <c r="F3" s="739"/>
      <c r="G3" s="739" t="s">
        <v>775</v>
      </c>
      <c r="H3" s="739"/>
      <c r="I3" s="739"/>
      <c r="J3" s="739"/>
      <c r="K3" s="739"/>
    </row>
    <row r="4" spans="1:24">
      <c r="A4" s="740"/>
      <c r="B4" s="742"/>
      <c r="C4" s="263" t="s">
        <v>776</v>
      </c>
      <c r="D4" s="438" t="s">
        <v>271</v>
      </c>
      <c r="E4" s="439" t="s">
        <v>654</v>
      </c>
      <c r="F4" s="440" t="s">
        <v>659</v>
      </c>
      <c r="G4" s="438" t="s">
        <v>271</v>
      </c>
      <c r="H4" s="439" t="s">
        <v>654</v>
      </c>
      <c r="I4" s="439" t="s">
        <v>659</v>
      </c>
      <c r="J4" s="439" t="s">
        <v>712</v>
      </c>
      <c r="K4" s="440" t="s">
        <v>770</v>
      </c>
    </row>
    <row r="5" spans="1:24">
      <c r="A5" s="264" t="s">
        <v>714</v>
      </c>
      <c r="B5" s="265">
        <f>SUM(D5:F5)</f>
        <v>491.3</v>
      </c>
      <c r="C5" s="266">
        <f>'[1]สรุปรวม (ที่ดิน+สิ่งก่อสร้าง)'!C8</f>
        <v>56</v>
      </c>
      <c r="D5" s="535">
        <f>'[1]สรุปรวม (ที่ดิน+สิ่งก่อสร้าง)'!D8</f>
        <v>491.3</v>
      </c>
      <c r="E5" s="575" t="str">
        <f>'[1]สรุปรวม (ที่ดิน+สิ่งก่อสร้าง)'!E8</f>
        <v>-</v>
      </c>
      <c r="F5" s="536" t="str">
        <f>'[1]สรุปรวม (ที่ดิน+สิ่งก่อสร้าง)'!F8</f>
        <v>-</v>
      </c>
      <c r="G5" s="267">
        <f>'[2]งานด้านจัดหาที่ดิน 15 พย.66'!N79</f>
        <v>92.5</v>
      </c>
      <c r="H5" s="268">
        <f>'[2]งานด้านจัดหาที่ดิน 15 พย.66'!O79</f>
        <v>193.9</v>
      </c>
      <c r="I5" s="268">
        <f>'[2]งานด้านจัดหาที่ดิน 15 พย.66'!P79</f>
        <v>204.9</v>
      </c>
      <c r="J5" s="268">
        <v>0</v>
      </c>
      <c r="K5" s="269">
        <f>'[2]งานด้านจัดหาที่ดิน 15 พย.66'!Q79</f>
        <v>0</v>
      </c>
      <c r="L5" s="270">
        <f>G5/$B$5</f>
        <v>0.18827600244249948</v>
      </c>
      <c r="M5" s="270">
        <f t="shared" ref="M5:P5" si="0">H5/$B$5</f>
        <v>0.39466720944433137</v>
      </c>
      <c r="N5" s="270">
        <f t="shared" si="0"/>
        <v>0.41705678811316915</v>
      </c>
      <c r="O5" s="270">
        <f t="shared" si="0"/>
        <v>0</v>
      </c>
      <c r="P5" s="270">
        <f t="shared" si="0"/>
        <v>0</v>
      </c>
      <c r="Q5" s="271">
        <f t="shared" ref="Q5:Q12" si="1">SUM(G5:K5)-SUM(D5:F5)</f>
        <v>0</v>
      </c>
    </row>
    <row r="6" spans="1:24">
      <c r="A6" s="264" t="s">
        <v>274</v>
      </c>
      <c r="B6" s="265">
        <f>SUM(D6:F6)</f>
        <v>1917.6</v>
      </c>
      <c r="C6" s="266">
        <f>'[1]สรุปรวม (ที่ดิน+สิ่งก่อสร้าง)'!C10</f>
        <v>79</v>
      </c>
      <c r="D6" s="267">
        <f>'[1]สรุปรวม (ที่ดิน+สิ่งก่อสร้าง)'!D10</f>
        <v>793.30000000000007</v>
      </c>
      <c r="E6" s="268">
        <f>'[1]สรุปรวม (ที่ดิน+สิ่งก่อสร้าง)'!E10</f>
        <v>632.29999999999995</v>
      </c>
      <c r="F6" s="269">
        <f>'[1]สรุปรวม (ที่ดิน+สิ่งก่อสร้าง)'!F10</f>
        <v>491.99999999999994</v>
      </c>
      <c r="G6" s="267">
        <f>[2]รายละเอียดสิ่งก่อสร้าง!G179</f>
        <v>56.820000000000007</v>
      </c>
      <c r="H6" s="268">
        <f>[2]รายละเอียดสิ่งก่อสร้าง!H179</f>
        <v>439.79999999999995</v>
      </c>
      <c r="I6" s="268">
        <f>[2]รายละเอียดสิ่งก่อสร้าง!I179</f>
        <v>670.43000000000006</v>
      </c>
      <c r="J6" s="268">
        <f>[2]รายละเอียดสิ่งก่อสร้าง!J179</f>
        <v>539.79999999999995</v>
      </c>
      <c r="K6" s="269">
        <f>[2]รายละเอียดสิ่งก่อสร้าง!K179</f>
        <v>210.75</v>
      </c>
      <c r="L6" s="270">
        <f>G6/$B$6</f>
        <v>2.9630788485607015E-2</v>
      </c>
      <c r="M6" s="270">
        <f t="shared" ref="M6:P6" si="2">H6/$B$6</f>
        <v>0.22934918648310387</v>
      </c>
      <c r="N6" s="270">
        <f t="shared" si="2"/>
        <v>0.34961931581143102</v>
      </c>
      <c r="O6" s="270">
        <f t="shared" si="2"/>
        <v>0.28149770546516478</v>
      </c>
      <c r="P6" s="270">
        <f t="shared" si="2"/>
        <v>0.10990300375469338</v>
      </c>
      <c r="Q6" s="271">
        <f t="shared" si="1"/>
        <v>0</v>
      </c>
      <c r="R6" s="268">
        <v>634.70000000000005</v>
      </c>
      <c r="S6" s="269">
        <v>485.6</v>
      </c>
    </row>
    <row r="7" spans="1:24">
      <c r="A7" s="272" t="s">
        <v>777</v>
      </c>
      <c r="B7" s="265">
        <f>SUM(D7:F7)</f>
        <v>57.529999999999994</v>
      </c>
      <c r="C7" s="266"/>
      <c r="D7" s="267">
        <f>'[1]สรุปรวม (ที่ดิน+สิ่งก่อสร้าง)'!D12</f>
        <v>23.8</v>
      </c>
      <c r="E7" s="268">
        <f>'[1]สรุปรวม (ที่ดิน+สิ่งก่อสร้าง)'!E12</f>
        <v>18.97</v>
      </c>
      <c r="F7" s="269">
        <f>'[1]สรุปรวม (ที่ดิน+สิ่งก่อสร้าง)'!F12</f>
        <v>14.76</v>
      </c>
      <c r="G7" s="267">
        <f>ROUND(G6*0.03,3)</f>
        <v>1.7050000000000001</v>
      </c>
      <c r="H7" s="268">
        <f>ROUND(H6*0.03,3)</f>
        <v>13.194000000000001</v>
      </c>
      <c r="I7" s="268">
        <f>ROUND(I6*0.03,3)</f>
        <v>20.113</v>
      </c>
      <c r="J7" s="268">
        <f>ROUND(J6*0.03,3)</f>
        <v>16.193999999999999</v>
      </c>
      <c r="K7" s="269">
        <f>ROUND(K6*0.03,3)+0.001</f>
        <v>6.3240000000000007</v>
      </c>
      <c r="L7" s="270">
        <f>G7/$B$7</f>
        <v>2.963671128107075E-2</v>
      </c>
      <c r="M7" s="270">
        <f t="shared" ref="M7:P7" si="3">H7/$B$7</f>
        <v>0.22934121328002785</v>
      </c>
      <c r="N7" s="270">
        <f t="shared" si="3"/>
        <v>0.34960889970450204</v>
      </c>
      <c r="O7" s="270">
        <f t="shared" si="3"/>
        <v>0.28148791934642797</v>
      </c>
      <c r="P7" s="270">
        <f t="shared" si="3"/>
        <v>0.10992525638797151</v>
      </c>
      <c r="Q7" s="271">
        <f t="shared" si="1"/>
        <v>0</v>
      </c>
    </row>
    <row r="8" spans="1:24">
      <c r="A8" s="264" t="s">
        <v>778</v>
      </c>
      <c r="B8" s="265">
        <f>SUM(D8:F8)</f>
        <v>1363.596</v>
      </c>
      <c r="C8" s="266">
        <f>(SUM('[1]รวมทุกปีเครื่องมือ (ส่วนกลาง)'!AD254:AE254)+SUM('[1]รวมทุกปีเครื่องมือ (ภูมิภาค)'!AB262:AC262))</f>
        <v>2622</v>
      </c>
      <c r="D8" s="267">
        <f>('[1]ปี 2568 (ส่วนกลาง)'!BH254+'[1]ปี 2568 (ภูมิภาค)'!BD262)/1000000</f>
        <v>522.92999999999995</v>
      </c>
      <c r="E8" s="268">
        <f>('[1]ปี 2569 (ส่วนกลาง)'!BH254+'[1]ปี 2569 (ภูมิภาค)'!BD262)/1000000</f>
        <v>495.62599999999998</v>
      </c>
      <c r="F8" s="269">
        <f>('[1]ปี 2570 (ส่วนกลาง)'!BH254+'[1]ปี 2570 (ภูมิภาค)'!BD262)/1000000</f>
        <v>345.04</v>
      </c>
      <c r="G8" s="267">
        <v>130</v>
      </c>
      <c r="H8" s="268">
        <v>385</v>
      </c>
      <c r="I8" s="268">
        <v>460</v>
      </c>
      <c r="J8" s="268">
        <v>300</v>
      </c>
      <c r="K8" s="269">
        <v>88.596000000000004</v>
      </c>
      <c r="L8" s="270">
        <f>G8/$B$8</f>
        <v>9.5336155283529719E-2</v>
      </c>
      <c r="M8" s="270">
        <f t="shared" ref="M8:P8" si="4">H8/$B$8</f>
        <v>0.28234169064737652</v>
      </c>
      <c r="N8" s="270">
        <f t="shared" si="4"/>
        <v>0.33734331869556672</v>
      </c>
      <c r="O8" s="270">
        <f t="shared" si="4"/>
        <v>0.22000651219276091</v>
      </c>
      <c r="P8" s="270">
        <f t="shared" si="4"/>
        <v>6.4972323180766151E-2</v>
      </c>
      <c r="Q8" s="271">
        <f t="shared" si="1"/>
        <v>0</v>
      </c>
      <c r="S8" s="261">
        <v>68</v>
      </c>
      <c r="T8" s="261">
        <v>69</v>
      </c>
      <c r="U8" s="261">
        <v>70</v>
      </c>
      <c r="V8" s="261">
        <v>71</v>
      </c>
      <c r="W8" s="261">
        <v>72</v>
      </c>
    </row>
    <row r="9" spans="1:24" ht="21.75" thickBot="1">
      <c r="A9" s="273" t="s">
        <v>718</v>
      </c>
      <c r="B9" s="274">
        <f>SUM(D9:F9)</f>
        <v>2094.7449999999999</v>
      </c>
      <c r="C9" s="275">
        <f>'[1]สรุปแผนงาน (ยานพาหนะ)'!AE16+'[1]สรุปแผนงาน (ยานพาหนะ)'!AE37</f>
        <v>519</v>
      </c>
      <c r="D9" s="276">
        <f>'[1]สรุปแผนงาน (ยานพาหนะ)'!AG16/1000000</f>
        <v>1036.78</v>
      </c>
      <c r="E9" s="277">
        <f>'[1]สรุปแผนงาน (ยานพาหนะ)'!AG37/1000000</f>
        <v>1057.9649999999999</v>
      </c>
      <c r="F9" s="278">
        <v>0</v>
      </c>
      <c r="G9" s="276">
        <f>'[2]ประมาณเบิกจ่าย (ยานพาหนะ)'!BO29/1000000</f>
        <v>67.52</v>
      </c>
      <c r="H9" s="277">
        <f>'[2]ประมาณเบิกจ่าย (ยานพาหนะ)'!BP29/1000000</f>
        <v>324.74</v>
      </c>
      <c r="I9" s="277">
        <f>'[2]ประมาณเบิกจ่าย (ยานพาหนะ)'!BQ29/1000000</f>
        <v>893.52</v>
      </c>
      <c r="J9" s="277">
        <f>'[2]ประมาณเบิกจ่าย (ยานพาหนะ)'!BR29/1000000</f>
        <v>808.96500000000003</v>
      </c>
      <c r="K9" s="278">
        <f>'[2]ประมาณเบิกจ่าย (ยานพาหนะ)'!BS29/1000000</f>
        <v>0</v>
      </c>
      <c r="L9" s="270">
        <f>G9/$B$9</f>
        <v>3.2233040298461149E-2</v>
      </c>
      <c r="M9" s="270">
        <f t="shared" ref="M9:P9" si="5">H9/$B$9</f>
        <v>0.15502602942124222</v>
      </c>
      <c r="N9" s="270">
        <f t="shared" si="5"/>
        <v>0.42655311267003859</v>
      </c>
      <c r="O9" s="270">
        <f t="shared" si="5"/>
        <v>0.38618781761025811</v>
      </c>
      <c r="P9" s="270">
        <f t="shared" si="5"/>
        <v>0</v>
      </c>
      <c r="Q9" s="271">
        <f t="shared" si="1"/>
        <v>0</v>
      </c>
      <c r="S9" s="261">
        <f>SUM(S10:S17)</f>
        <v>3</v>
      </c>
      <c r="T9" s="261">
        <f t="shared" ref="T9:X9" si="6">SUM(T10:T17)</f>
        <v>23</v>
      </c>
      <c r="U9" s="261">
        <f t="shared" si="6"/>
        <v>35</v>
      </c>
      <c r="V9" s="261">
        <f t="shared" si="6"/>
        <v>35</v>
      </c>
      <c r="W9" s="261">
        <f t="shared" si="6"/>
        <v>20</v>
      </c>
      <c r="X9" s="261">
        <f t="shared" si="6"/>
        <v>0</v>
      </c>
    </row>
    <row r="10" spans="1:24" ht="21.75" thickTop="1">
      <c r="A10" s="279" t="s">
        <v>779</v>
      </c>
      <c r="B10" s="265">
        <f>SUM(B5:B9)</f>
        <v>5924.7710000000006</v>
      </c>
      <c r="C10" s="280"/>
      <c r="D10" s="281">
        <f>SUM(D5:D9)</f>
        <v>2868.1099999999997</v>
      </c>
      <c r="E10" s="282">
        <f>SUM(E5:E9)</f>
        <v>2204.8609999999999</v>
      </c>
      <c r="F10" s="283">
        <f>SUM(F5:F9)</f>
        <v>851.8</v>
      </c>
      <c r="G10" s="281">
        <f>SUM(G5:G9)</f>
        <v>348.54499999999996</v>
      </c>
      <c r="H10" s="282">
        <f t="shared" ref="H10:K10" si="7">SUM(H5:H9)</f>
        <v>1356.6339999999998</v>
      </c>
      <c r="I10" s="282">
        <f t="shared" si="7"/>
        <v>2248.9629999999997</v>
      </c>
      <c r="J10" s="282">
        <f t="shared" si="7"/>
        <v>1664.9589999999998</v>
      </c>
      <c r="K10" s="283">
        <f t="shared" si="7"/>
        <v>305.67</v>
      </c>
      <c r="Q10" s="271">
        <f t="shared" si="1"/>
        <v>0</v>
      </c>
      <c r="S10" s="261">
        <v>3</v>
      </c>
      <c r="T10" s="261">
        <v>20</v>
      </c>
      <c r="U10" s="261">
        <v>12</v>
      </c>
    </row>
    <row r="11" spans="1:24" ht="21.75" thickBot="1">
      <c r="A11" s="279" t="s">
        <v>780</v>
      </c>
      <c r="B11" s="265">
        <f>SUM(D11:F11)</f>
        <v>225.22899999999998</v>
      </c>
      <c r="C11" s="280"/>
      <c r="D11" s="281">
        <v>0</v>
      </c>
      <c r="E11" s="282">
        <v>180</v>
      </c>
      <c r="F11" s="282">
        <v>45.228999999999999</v>
      </c>
      <c r="G11" s="281">
        <v>0</v>
      </c>
      <c r="H11" s="282">
        <f>ROUND($B$11*H24/100,3)</f>
        <v>42.793999999999997</v>
      </c>
      <c r="I11" s="282">
        <f t="shared" ref="I11:J11" si="8">ROUND($B$11*I24/100,3)</f>
        <v>108.11</v>
      </c>
      <c r="J11" s="282">
        <f t="shared" si="8"/>
        <v>60.811999999999998</v>
      </c>
      <c r="K11" s="283">
        <f>ROUND($B$11*K24/100,3)-0.001</f>
        <v>13.513</v>
      </c>
      <c r="L11" s="284"/>
      <c r="Q11" s="271">
        <f t="shared" si="1"/>
        <v>0</v>
      </c>
      <c r="T11" s="261">
        <v>3</v>
      </c>
      <c r="U11" s="261">
        <v>20</v>
      </c>
      <c r="V11" s="261">
        <v>12</v>
      </c>
    </row>
    <row r="12" spans="1:24" ht="22.5" thickTop="1" thickBot="1">
      <c r="A12" s="285" t="s">
        <v>289</v>
      </c>
      <c r="B12" s="286">
        <f>B11+B10</f>
        <v>6150.0000000000009</v>
      </c>
      <c r="C12" s="287">
        <f>SUM(C5:C9)</f>
        <v>3276</v>
      </c>
      <c r="D12" s="288">
        <f t="shared" ref="D12:K12" si="9">D11+D10</f>
        <v>2868.1099999999997</v>
      </c>
      <c r="E12" s="289">
        <f t="shared" si="9"/>
        <v>2384.8609999999999</v>
      </c>
      <c r="F12" s="290">
        <f t="shared" si="9"/>
        <v>897.029</v>
      </c>
      <c r="G12" s="288">
        <f>G11+G10</f>
        <v>348.54499999999996</v>
      </c>
      <c r="H12" s="289">
        <f t="shared" si="9"/>
        <v>1399.4279999999999</v>
      </c>
      <c r="I12" s="289">
        <f t="shared" si="9"/>
        <v>2357.0729999999999</v>
      </c>
      <c r="J12" s="289">
        <f t="shared" si="9"/>
        <v>1725.7709999999997</v>
      </c>
      <c r="K12" s="290">
        <f t="shared" si="9"/>
        <v>319.18299999999999</v>
      </c>
      <c r="Q12" s="271">
        <f t="shared" si="1"/>
        <v>0</v>
      </c>
      <c r="U12" s="261">
        <v>3</v>
      </c>
      <c r="V12" s="261">
        <v>20</v>
      </c>
    </row>
    <row r="13" spans="1:24">
      <c r="B13" s="291"/>
      <c r="C13" s="292"/>
      <c r="D13" s="292"/>
      <c r="E13" s="293"/>
      <c r="F13" s="293"/>
      <c r="H13" s="294"/>
      <c r="I13" s="294"/>
      <c r="J13" s="294"/>
      <c r="K13" s="294"/>
      <c r="V13" s="261">
        <v>3</v>
      </c>
      <c r="W13" s="261">
        <v>20</v>
      </c>
    </row>
    <row r="14" spans="1:24">
      <c r="B14" s="292"/>
      <c r="C14" s="292"/>
      <c r="D14" s="292"/>
      <c r="E14" s="270"/>
      <c r="F14" s="295"/>
      <c r="M14" s="271">
        <f>B5+B6+B7</f>
        <v>2466.4300000000003</v>
      </c>
      <c r="N14" s="270"/>
    </row>
    <row r="15" spans="1:24">
      <c r="D15" s="271"/>
      <c r="M15" s="261">
        <v>2041.876</v>
      </c>
      <c r="N15" s="261" t="s">
        <v>781</v>
      </c>
    </row>
    <row r="16" spans="1:24">
      <c r="B16" s="261">
        <f>B5/$B$12</f>
        <v>7.9886178861788615E-2</v>
      </c>
      <c r="C16" s="261">
        <v>9</v>
      </c>
      <c r="D16" s="292"/>
      <c r="E16" s="261" t="s">
        <v>782</v>
      </c>
      <c r="M16" s="271">
        <f>M15-M14</f>
        <v>-424.55400000000031</v>
      </c>
    </row>
    <row r="17" spans="2:22">
      <c r="B17" s="261">
        <f t="shared" ref="B17:B20" si="10">B6/$B$12</f>
        <v>0.31180487804878043</v>
      </c>
      <c r="C17" s="261">
        <v>33</v>
      </c>
    </row>
    <row r="18" spans="2:22">
      <c r="D18" s="271"/>
    </row>
    <row r="19" spans="2:22">
      <c r="B19" s="261">
        <f t="shared" si="10"/>
        <v>0.22172292682926825</v>
      </c>
      <c r="C19" s="261">
        <v>23</v>
      </c>
    </row>
    <row r="20" spans="2:22">
      <c r="B20" s="261">
        <f t="shared" si="10"/>
        <v>0.34060894308943085</v>
      </c>
      <c r="C20" s="261">
        <v>35</v>
      </c>
      <c r="K20" s="296"/>
      <c r="V20" s="261" t="s">
        <v>783</v>
      </c>
    </row>
    <row r="21" spans="2:22">
      <c r="K21" s="296" t="s">
        <v>784</v>
      </c>
    </row>
    <row r="22" spans="2:22">
      <c r="F22" s="297"/>
      <c r="J22" s="737" t="s">
        <v>785</v>
      </c>
      <c r="K22" s="737"/>
    </row>
    <row r="24" spans="2:22">
      <c r="G24" s="292">
        <f>SUM(H10:K10)</f>
        <v>5576.2259999999997</v>
      </c>
      <c r="H24" s="292">
        <v>19</v>
      </c>
      <c r="I24" s="292">
        <v>48</v>
      </c>
      <c r="J24" s="292">
        <v>27</v>
      </c>
      <c r="K24" s="292">
        <v>6</v>
      </c>
    </row>
    <row r="26" spans="2:22">
      <c r="E26" s="261">
        <v>128.54300000000001</v>
      </c>
      <c r="F26" s="261">
        <v>97</v>
      </c>
      <c r="H26" s="261">
        <v>42.853000000000002</v>
      </c>
      <c r="I26" s="261">
        <v>108.261</v>
      </c>
      <c r="J26" s="261">
        <v>60.896999999999998</v>
      </c>
      <c r="K26" s="261">
        <v>13.532</v>
      </c>
    </row>
    <row r="27" spans="2:22">
      <c r="G27" s="261">
        <v>485.48944999999998</v>
      </c>
    </row>
  </sheetData>
  <mergeCells count="7">
    <mergeCell ref="J22:K22"/>
    <mergeCell ref="A1:K1"/>
    <mergeCell ref="J2:K2"/>
    <mergeCell ref="A3:A4"/>
    <mergeCell ref="B3:B4"/>
    <mergeCell ref="D3:F3"/>
    <mergeCell ref="G3:K3"/>
  </mergeCells>
  <pageMargins left="0.7" right="0.7" top="0.75" bottom="0.75" header="0.3" footer="0.3"/>
  <pageSetup paperSize="9" scale="85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A5F9-695E-43BA-B747-3BC5929BAE17}">
  <sheetPr codeName="Sheet21">
    <tabColor theme="7" tint="0.59999389629810485"/>
    <pageSetUpPr fitToPage="1"/>
  </sheetPr>
  <dimension ref="A1:K76"/>
  <sheetViews>
    <sheetView view="pageBreakPreview" topLeftCell="A36" zoomScale="160" zoomScaleNormal="106" zoomScaleSheetLayoutView="160" workbookViewId="0">
      <selection activeCell="Q19" sqref="Q19"/>
    </sheetView>
  </sheetViews>
  <sheetFormatPr defaultColWidth="8.7109375" defaultRowHeight="15"/>
  <cols>
    <col min="1" max="1" width="5.5703125" style="152" customWidth="1"/>
    <col min="2" max="2" width="30.85546875" style="152" customWidth="1"/>
    <col min="3" max="3" width="15.140625" style="152" customWidth="1"/>
    <col min="4" max="5" width="11.7109375" style="152" customWidth="1"/>
    <col min="6" max="6" width="24.5703125" style="167" customWidth="1"/>
    <col min="7" max="7" width="0.140625" style="152" hidden="1" customWidth="1"/>
    <col min="8" max="8" width="23.28515625" style="152" hidden="1" customWidth="1"/>
    <col min="9" max="16384" width="8.7109375" style="152"/>
  </cols>
  <sheetData>
    <row r="1" spans="1:11" ht="27" customHeight="1">
      <c r="A1" s="744" t="s">
        <v>786</v>
      </c>
      <c r="B1" s="744"/>
      <c r="C1" s="744"/>
      <c r="D1" s="744"/>
      <c r="E1" s="744"/>
      <c r="F1" s="744"/>
      <c r="G1" s="744"/>
      <c r="H1" s="744"/>
    </row>
    <row r="2" spans="1:11" ht="21" customHeight="1">
      <c r="A2" s="744" t="s">
        <v>787</v>
      </c>
      <c r="B2" s="744"/>
      <c r="C2" s="744"/>
      <c r="D2" s="744"/>
      <c r="E2" s="744"/>
      <c r="F2" s="744"/>
      <c r="G2" s="744"/>
      <c r="H2" s="744"/>
    </row>
    <row r="3" spans="1:11" ht="21" hidden="1" customHeight="1">
      <c r="A3" s="153" t="s">
        <v>788</v>
      </c>
      <c r="B3" s="153"/>
      <c r="C3" s="153"/>
      <c r="D3" s="153"/>
      <c r="E3" s="153"/>
      <c r="F3" s="153"/>
      <c r="G3" s="153"/>
      <c r="H3" s="154"/>
      <c r="I3" s="153"/>
      <c r="J3" s="153"/>
      <c r="K3" s="153"/>
    </row>
    <row r="4" spans="1:11" ht="20.25" customHeight="1">
      <c r="A4" s="745" t="s">
        <v>789</v>
      </c>
      <c r="B4" s="745"/>
      <c r="C4" s="745"/>
      <c r="D4" s="745"/>
      <c r="E4" s="745"/>
      <c r="F4" s="745"/>
      <c r="G4" s="745"/>
      <c r="H4" s="745"/>
    </row>
    <row r="5" spans="1:11" ht="23.25" hidden="1">
      <c r="A5" s="745"/>
      <c r="B5" s="745"/>
      <c r="C5" s="745"/>
      <c r="D5" s="745"/>
      <c r="E5" s="745"/>
      <c r="F5" s="745"/>
      <c r="G5" s="155"/>
    </row>
    <row r="6" spans="1:11" hidden="1"/>
    <row r="7" spans="1:11" ht="21">
      <c r="A7" s="746" t="s">
        <v>56</v>
      </c>
      <c r="B7" s="746" t="s">
        <v>790</v>
      </c>
      <c r="C7" s="576" t="s">
        <v>791</v>
      </c>
      <c r="D7" s="576" t="s">
        <v>670</v>
      </c>
      <c r="E7" s="746" t="s">
        <v>247</v>
      </c>
      <c r="F7" s="746" t="s">
        <v>703</v>
      </c>
    </row>
    <row r="8" spans="1:11" ht="21">
      <c r="A8" s="747"/>
      <c r="B8" s="747"/>
      <c r="C8" s="156" t="s">
        <v>792</v>
      </c>
      <c r="D8" s="157" t="s">
        <v>793</v>
      </c>
      <c r="E8" s="747"/>
      <c r="F8" s="747"/>
    </row>
    <row r="9" spans="1:11" ht="21">
      <c r="A9" s="748" t="s">
        <v>794</v>
      </c>
      <c r="B9" s="749"/>
      <c r="C9" s="749"/>
      <c r="D9" s="749"/>
      <c r="E9" s="749"/>
      <c r="F9" s="750"/>
    </row>
    <row r="10" spans="1:11" ht="21">
      <c r="A10" s="441">
        <v>1</v>
      </c>
      <c r="B10" s="442" t="s">
        <v>535</v>
      </c>
      <c r="C10" s="443" t="s">
        <v>536</v>
      </c>
      <c r="D10" s="444">
        <v>10</v>
      </c>
      <c r="E10" s="445">
        <v>2568</v>
      </c>
      <c r="F10" s="444" t="s">
        <v>537</v>
      </c>
    </row>
    <row r="11" spans="1:11" ht="21">
      <c r="A11" s="441">
        <v>2</v>
      </c>
      <c r="B11" s="442" t="s">
        <v>538</v>
      </c>
      <c r="C11" s="443" t="s">
        <v>536</v>
      </c>
      <c r="D11" s="444">
        <v>30</v>
      </c>
      <c r="E11" s="445">
        <v>2568</v>
      </c>
      <c r="F11" s="444" t="s">
        <v>537</v>
      </c>
    </row>
    <row r="12" spans="1:11" ht="21" customHeight="1">
      <c r="A12" s="751" t="s">
        <v>795</v>
      </c>
      <c r="B12" s="752"/>
      <c r="C12" s="752"/>
      <c r="D12" s="752"/>
      <c r="E12" s="752"/>
      <c r="F12" s="753"/>
    </row>
    <row r="13" spans="1:11" ht="21">
      <c r="A13" s="441">
        <v>3</v>
      </c>
      <c r="B13" s="446" t="s">
        <v>539</v>
      </c>
      <c r="C13" s="443" t="s">
        <v>536</v>
      </c>
      <c r="D13" s="444">
        <v>14.5</v>
      </c>
      <c r="E13" s="445">
        <v>2568</v>
      </c>
      <c r="F13" s="444" t="s">
        <v>537</v>
      </c>
    </row>
    <row r="14" spans="1:11" ht="21">
      <c r="A14" s="441">
        <v>4</v>
      </c>
      <c r="B14" s="446" t="s">
        <v>540</v>
      </c>
      <c r="C14" s="443" t="s">
        <v>536</v>
      </c>
      <c r="D14" s="444">
        <v>5</v>
      </c>
      <c r="E14" s="445">
        <v>2568</v>
      </c>
      <c r="F14" s="444" t="s">
        <v>537</v>
      </c>
    </row>
    <row r="15" spans="1:11" ht="21">
      <c r="A15" s="441">
        <v>5</v>
      </c>
      <c r="B15" s="446" t="s">
        <v>541</v>
      </c>
      <c r="C15" s="443" t="s">
        <v>536</v>
      </c>
      <c r="D15" s="444">
        <v>9.5</v>
      </c>
      <c r="E15" s="445">
        <v>2568</v>
      </c>
      <c r="F15" s="444" t="s">
        <v>537</v>
      </c>
    </row>
    <row r="16" spans="1:11" ht="21">
      <c r="A16" s="441">
        <v>6</v>
      </c>
      <c r="B16" s="446" t="s">
        <v>542</v>
      </c>
      <c r="C16" s="443" t="s">
        <v>536</v>
      </c>
      <c r="D16" s="444">
        <v>9.5</v>
      </c>
      <c r="E16" s="445">
        <v>2568</v>
      </c>
      <c r="F16" s="444" t="s">
        <v>537</v>
      </c>
    </row>
    <row r="17" spans="1:6" ht="21">
      <c r="A17" s="447">
        <v>7</v>
      </c>
      <c r="B17" s="446" t="s">
        <v>543</v>
      </c>
      <c r="C17" s="158" t="s">
        <v>544</v>
      </c>
      <c r="D17" s="444">
        <v>1.5</v>
      </c>
      <c r="E17" s="445">
        <v>2568</v>
      </c>
      <c r="F17" s="444" t="s">
        <v>545</v>
      </c>
    </row>
    <row r="18" spans="1:6" ht="21" customHeight="1">
      <c r="A18" s="748" t="s">
        <v>796</v>
      </c>
      <c r="B18" s="749"/>
      <c r="C18" s="749"/>
      <c r="D18" s="749"/>
      <c r="E18" s="749"/>
      <c r="F18" s="750"/>
    </row>
    <row r="19" spans="1:6" ht="21">
      <c r="A19" s="441">
        <v>8</v>
      </c>
      <c r="B19" s="442" t="s">
        <v>546</v>
      </c>
      <c r="C19" s="443" t="s">
        <v>536</v>
      </c>
      <c r="D19" s="444">
        <v>4</v>
      </c>
      <c r="E19" s="445">
        <v>2568</v>
      </c>
      <c r="F19" s="444" t="s">
        <v>537</v>
      </c>
    </row>
    <row r="20" spans="1:6" ht="21">
      <c r="A20" s="441">
        <v>9</v>
      </c>
      <c r="B20" s="442" t="s">
        <v>547</v>
      </c>
      <c r="C20" s="443" t="s">
        <v>536</v>
      </c>
      <c r="D20" s="444">
        <v>6</v>
      </c>
      <c r="E20" s="445">
        <v>2568</v>
      </c>
      <c r="F20" s="444" t="s">
        <v>537</v>
      </c>
    </row>
    <row r="21" spans="1:6" ht="21">
      <c r="A21" s="447">
        <v>10</v>
      </c>
      <c r="B21" s="442" t="s">
        <v>548</v>
      </c>
      <c r="C21" s="443" t="s">
        <v>536</v>
      </c>
      <c r="D21" s="444">
        <v>5</v>
      </c>
      <c r="E21" s="445">
        <v>2568</v>
      </c>
      <c r="F21" s="444" t="s">
        <v>537</v>
      </c>
    </row>
    <row r="22" spans="1:6" ht="21">
      <c r="A22" s="447">
        <v>11</v>
      </c>
      <c r="B22" s="446" t="s">
        <v>549</v>
      </c>
      <c r="C22" s="443" t="s">
        <v>536</v>
      </c>
      <c r="D22" s="444">
        <v>4</v>
      </c>
      <c r="E22" s="445">
        <v>2568</v>
      </c>
      <c r="F22" s="444" t="s">
        <v>537</v>
      </c>
    </row>
    <row r="23" spans="1:6" ht="21">
      <c r="A23" s="447">
        <v>12</v>
      </c>
      <c r="B23" s="446" t="s">
        <v>550</v>
      </c>
      <c r="C23" s="443" t="s">
        <v>536</v>
      </c>
      <c r="D23" s="444">
        <v>5.5</v>
      </c>
      <c r="E23" s="445">
        <v>2568</v>
      </c>
      <c r="F23" s="444" t="s">
        <v>537</v>
      </c>
    </row>
    <row r="24" spans="1:6" ht="21">
      <c r="A24" s="447">
        <v>13</v>
      </c>
      <c r="B24" s="446" t="s">
        <v>551</v>
      </c>
      <c r="C24" s="443" t="s">
        <v>536</v>
      </c>
      <c r="D24" s="444">
        <v>8</v>
      </c>
      <c r="E24" s="445">
        <v>2568</v>
      </c>
      <c r="F24" s="444" t="s">
        <v>537</v>
      </c>
    </row>
    <row r="25" spans="1:6" ht="21">
      <c r="A25" s="447">
        <v>14</v>
      </c>
      <c r="B25" s="446" t="s">
        <v>552</v>
      </c>
      <c r="C25" s="159" t="s">
        <v>536</v>
      </c>
      <c r="D25" s="160">
        <v>7.5</v>
      </c>
      <c r="E25" s="445">
        <v>2568</v>
      </c>
      <c r="F25" s="444" t="s">
        <v>537</v>
      </c>
    </row>
    <row r="26" spans="1:6" ht="21" customHeight="1">
      <c r="A26" s="748" t="s">
        <v>797</v>
      </c>
      <c r="B26" s="749"/>
      <c r="C26" s="749"/>
      <c r="D26" s="749"/>
      <c r="E26" s="749"/>
      <c r="F26" s="750"/>
    </row>
    <row r="27" spans="1:6" ht="21">
      <c r="A27" s="537">
        <v>15</v>
      </c>
      <c r="B27" s="577" t="s">
        <v>553</v>
      </c>
      <c r="C27" s="578" t="s">
        <v>536</v>
      </c>
      <c r="D27" s="579">
        <v>3.3</v>
      </c>
      <c r="E27" s="580">
        <v>2568</v>
      </c>
      <c r="F27" s="579" t="s">
        <v>537</v>
      </c>
    </row>
    <row r="28" spans="1:6" ht="21">
      <c r="A28" s="447">
        <v>16</v>
      </c>
      <c r="B28" s="442" t="s">
        <v>554</v>
      </c>
      <c r="C28" s="443" t="s">
        <v>536</v>
      </c>
      <c r="D28" s="444">
        <v>6</v>
      </c>
      <c r="E28" s="445">
        <v>2568</v>
      </c>
      <c r="F28" s="444" t="s">
        <v>537</v>
      </c>
    </row>
    <row r="29" spans="1:6" ht="21">
      <c r="A29" s="447">
        <v>17</v>
      </c>
      <c r="B29" s="442" t="s">
        <v>555</v>
      </c>
      <c r="C29" s="443" t="s">
        <v>536</v>
      </c>
      <c r="D29" s="444">
        <v>3.3</v>
      </c>
      <c r="E29" s="445">
        <v>2568</v>
      </c>
      <c r="F29" s="444" t="s">
        <v>537</v>
      </c>
    </row>
    <row r="30" spans="1:6" ht="21">
      <c r="A30" s="447">
        <v>18</v>
      </c>
      <c r="B30" s="442" t="s">
        <v>556</v>
      </c>
      <c r="C30" s="443" t="s">
        <v>536</v>
      </c>
      <c r="D30" s="444">
        <v>3.3</v>
      </c>
      <c r="E30" s="445">
        <v>2568</v>
      </c>
      <c r="F30" s="444" t="s">
        <v>537</v>
      </c>
    </row>
    <row r="31" spans="1:6" ht="21">
      <c r="A31" s="447">
        <v>19</v>
      </c>
      <c r="B31" s="442" t="s">
        <v>557</v>
      </c>
      <c r="C31" s="443" t="s">
        <v>536</v>
      </c>
      <c r="D31" s="444">
        <v>5.7</v>
      </c>
      <c r="E31" s="445">
        <v>2568</v>
      </c>
      <c r="F31" s="444" t="s">
        <v>537</v>
      </c>
    </row>
    <row r="32" spans="1:6" ht="21">
      <c r="A32" s="447">
        <v>20</v>
      </c>
      <c r="B32" s="442" t="s">
        <v>558</v>
      </c>
      <c r="C32" s="443" t="s">
        <v>536</v>
      </c>
      <c r="D32" s="444">
        <v>4.5</v>
      </c>
      <c r="E32" s="445">
        <v>2568</v>
      </c>
      <c r="F32" s="444" t="s">
        <v>537</v>
      </c>
    </row>
    <row r="33" spans="1:8" ht="21">
      <c r="A33" s="447">
        <v>21</v>
      </c>
      <c r="B33" s="446" t="s">
        <v>559</v>
      </c>
      <c r="C33" s="443" t="s">
        <v>536</v>
      </c>
      <c r="D33" s="444">
        <v>3.6</v>
      </c>
      <c r="E33" s="445">
        <v>2568</v>
      </c>
      <c r="F33" s="444" t="s">
        <v>537</v>
      </c>
    </row>
    <row r="34" spans="1:8" ht="21">
      <c r="A34" s="447">
        <v>22</v>
      </c>
      <c r="B34" s="442" t="s">
        <v>560</v>
      </c>
      <c r="C34" s="443" t="s">
        <v>536</v>
      </c>
      <c r="D34" s="444">
        <v>6</v>
      </c>
      <c r="E34" s="445">
        <v>2568</v>
      </c>
      <c r="F34" s="444" t="s">
        <v>537</v>
      </c>
    </row>
    <row r="35" spans="1:8" ht="21">
      <c r="A35" s="447">
        <v>23</v>
      </c>
      <c r="B35" s="442" t="s">
        <v>561</v>
      </c>
      <c r="C35" s="159" t="s">
        <v>536</v>
      </c>
      <c r="D35" s="161">
        <v>6.9</v>
      </c>
      <c r="E35" s="445">
        <v>2568</v>
      </c>
      <c r="F35" s="444" t="s">
        <v>537</v>
      </c>
    </row>
    <row r="36" spans="1:8" ht="21" customHeight="1">
      <c r="A36" s="748" t="s">
        <v>798</v>
      </c>
      <c r="B36" s="749"/>
      <c r="C36" s="749"/>
      <c r="D36" s="749"/>
      <c r="E36" s="749"/>
      <c r="F36" s="750"/>
    </row>
    <row r="37" spans="1:8" ht="21">
      <c r="A37" s="581">
        <v>24</v>
      </c>
      <c r="B37" s="577" t="s">
        <v>562</v>
      </c>
      <c r="C37" s="578" t="s">
        <v>536</v>
      </c>
      <c r="D37" s="579">
        <v>7.5</v>
      </c>
      <c r="E37" s="580">
        <v>2568</v>
      </c>
      <c r="F37" s="579" t="s">
        <v>537</v>
      </c>
      <c r="H37" s="162"/>
    </row>
    <row r="38" spans="1:8" ht="21">
      <c r="A38" s="441">
        <v>25</v>
      </c>
      <c r="B38" s="442" t="s">
        <v>563</v>
      </c>
      <c r="C38" s="443" t="s">
        <v>536</v>
      </c>
      <c r="D38" s="444">
        <v>7.5</v>
      </c>
      <c r="E38" s="445">
        <v>2568</v>
      </c>
      <c r="F38" s="444" t="s">
        <v>537</v>
      </c>
    </row>
    <row r="39" spans="1:8" ht="21">
      <c r="A39" s="441">
        <v>26</v>
      </c>
      <c r="B39" s="442" t="s">
        <v>564</v>
      </c>
      <c r="C39" s="443" t="s">
        <v>536</v>
      </c>
      <c r="D39" s="444">
        <v>7.5</v>
      </c>
      <c r="E39" s="445">
        <v>2568</v>
      </c>
      <c r="F39" s="444" t="s">
        <v>537</v>
      </c>
    </row>
    <row r="40" spans="1:8" ht="21">
      <c r="A40" s="441">
        <v>27</v>
      </c>
      <c r="B40" s="442" t="s">
        <v>565</v>
      </c>
      <c r="C40" s="443" t="s">
        <v>536</v>
      </c>
      <c r="D40" s="444">
        <v>7.5</v>
      </c>
      <c r="E40" s="445">
        <v>2568</v>
      </c>
      <c r="F40" s="444" t="s">
        <v>537</v>
      </c>
    </row>
    <row r="41" spans="1:8" ht="21">
      <c r="A41" s="441">
        <v>28</v>
      </c>
      <c r="B41" s="442" t="s">
        <v>566</v>
      </c>
      <c r="C41" s="443" t="s">
        <v>536</v>
      </c>
      <c r="D41" s="444">
        <v>7.5</v>
      </c>
      <c r="E41" s="445">
        <v>2568</v>
      </c>
      <c r="F41" s="444" t="s">
        <v>537</v>
      </c>
    </row>
    <row r="42" spans="1:8" ht="21">
      <c r="A42" s="163">
        <v>29</v>
      </c>
      <c r="B42" s="164" t="s">
        <v>567</v>
      </c>
      <c r="C42" s="165" t="s">
        <v>536</v>
      </c>
      <c r="D42" s="160">
        <v>7.5</v>
      </c>
      <c r="E42" s="157">
        <v>2568</v>
      </c>
      <c r="F42" s="160" t="s">
        <v>537</v>
      </c>
      <c r="H42" s="166"/>
    </row>
    <row r="43" spans="1:8" ht="21" customHeight="1">
      <c r="A43" s="748" t="s">
        <v>799</v>
      </c>
      <c r="B43" s="749"/>
      <c r="C43" s="749"/>
      <c r="D43" s="749"/>
      <c r="E43" s="749"/>
      <c r="F43" s="750"/>
    </row>
    <row r="44" spans="1:8" ht="21">
      <c r="A44" s="581">
        <v>30</v>
      </c>
      <c r="B44" s="577" t="s">
        <v>568</v>
      </c>
      <c r="C44" s="578" t="s">
        <v>536</v>
      </c>
      <c r="D44" s="579">
        <v>6</v>
      </c>
      <c r="E44" s="580">
        <v>2568</v>
      </c>
      <c r="F44" s="579" t="s">
        <v>537</v>
      </c>
      <c r="H44" s="162"/>
    </row>
    <row r="45" spans="1:8" ht="21">
      <c r="A45" s="441">
        <v>31</v>
      </c>
      <c r="B45" s="442" t="s">
        <v>569</v>
      </c>
      <c r="C45" s="443" t="s">
        <v>536</v>
      </c>
      <c r="D45" s="444">
        <v>6</v>
      </c>
      <c r="E45" s="445">
        <v>2568</v>
      </c>
      <c r="F45" s="444" t="s">
        <v>537</v>
      </c>
      <c r="H45" s="162"/>
    </row>
    <row r="46" spans="1:8" ht="21">
      <c r="A46" s="441">
        <v>32</v>
      </c>
      <c r="B46" s="442" t="s">
        <v>570</v>
      </c>
      <c r="C46" s="443" t="s">
        <v>536</v>
      </c>
      <c r="D46" s="444">
        <v>5.4</v>
      </c>
      <c r="E46" s="445">
        <v>2568</v>
      </c>
      <c r="F46" s="444" t="s">
        <v>537</v>
      </c>
      <c r="H46" s="162"/>
    </row>
    <row r="47" spans="1:8" ht="21">
      <c r="A47" s="441">
        <v>33</v>
      </c>
      <c r="B47" s="442" t="s">
        <v>571</v>
      </c>
      <c r="C47" s="443" t="s">
        <v>536</v>
      </c>
      <c r="D47" s="444">
        <v>3.6</v>
      </c>
      <c r="E47" s="445">
        <v>2568</v>
      </c>
      <c r="F47" s="444" t="s">
        <v>537</v>
      </c>
      <c r="H47" s="162"/>
    </row>
    <row r="48" spans="1:8" ht="21">
      <c r="A48" s="441">
        <v>34</v>
      </c>
      <c r="B48" s="442" t="s">
        <v>572</v>
      </c>
      <c r="C48" s="443" t="s">
        <v>536</v>
      </c>
      <c r="D48" s="444">
        <v>6</v>
      </c>
      <c r="E48" s="445">
        <v>2568</v>
      </c>
      <c r="F48" s="444" t="s">
        <v>537</v>
      </c>
      <c r="H48" s="162"/>
    </row>
    <row r="49" spans="1:8" ht="21">
      <c r="A49" s="441">
        <v>35</v>
      </c>
      <c r="B49" s="442" t="s">
        <v>573</v>
      </c>
      <c r="C49" s="443" t="s">
        <v>536</v>
      </c>
      <c r="D49" s="444">
        <v>4.5</v>
      </c>
      <c r="E49" s="445">
        <v>2568</v>
      </c>
      <c r="F49" s="444" t="s">
        <v>537</v>
      </c>
      <c r="H49" s="162"/>
    </row>
    <row r="50" spans="1:8" ht="21">
      <c r="A50" s="441">
        <v>36</v>
      </c>
      <c r="B50" s="442" t="s">
        <v>574</v>
      </c>
      <c r="C50" s="443" t="s">
        <v>536</v>
      </c>
      <c r="D50" s="444">
        <v>1.5</v>
      </c>
      <c r="E50" s="445">
        <v>2568</v>
      </c>
      <c r="F50" s="444" t="s">
        <v>537</v>
      </c>
      <c r="H50" s="162"/>
    </row>
    <row r="51" spans="1:8" ht="21">
      <c r="A51" s="441">
        <v>37</v>
      </c>
      <c r="B51" s="442" t="s">
        <v>575</v>
      </c>
      <c r="C51" s="443" t="s">
        <v>536</v>
      </c>
      <c r="D51" s="444">
        <v>6</v>
      </c>
      <c r="E51" s="445">
        <v>2568</v>
      </c>
      <c r="F51" s="444" t="s">
        <v>537</v>
      </c>
      <c r="H51" s="162"/>
    </row>
    <row r="52" spans="1:8" ht="21">
      <c r="A52" s="441">
        <v>38</v>
      </c>
      <c r="B52" s="442" t="s">
        <v>576</v>
      </c>
      <c r="C52" s="443" t="s">
        <v>536</v>
      </c>
      <c r="D52" s="444">
        <v>1.2</v>
      </c>
      <c r="E52" s="445">
        <v>2568</v>
      </c>
      <c r="F52" s="444" t="s">
        <v>537</v>
      </c>
      <c r="H52" s="166"/>
    </row>
    <row r="53" spans="1:8" ht="21" customHeight="1">
      <c r="A53" s="748" t="s">
        <v>800</v>
      </c>
      <c r="B53" s="749"/>
      <c r="C53" s="749"/>
      <c r="D53" s="749"/>
      <c r="E53" s="749"/>
      <c r="F53" s="750"/>
    </row>
    <row r="54" spans="1:8" ht="21">
      <c r="A54" s="581">
        <v>39</v>
      </c>
      <c r="B54" s="577" t="s">
        <v>577</v>
      </c>
      <c r="C54" s="578" t="s">
        <v>536</v>
      </c>
      <c r="D54" s="579">
        <v>3.4</v>
      </c>
      <c r="E54" s="580">
        <v>2568</v>
      </c>
      <c r="F54" s="579" t="s">
        <v>537</v>
      </c>
    </row>
    <row r="55" spans="1:8" ht="21">
      <c r="A55" s="441">
        <v>40</v>
      </c>
      <c r="B55" s="442" t="s">
        <v>578</v>
      </c>
      <c r="C55" s="443" t="s">
        <v>536</v>
      </c>
      <c r="D55" s="444">
        <v>8.4</v>
      </c>
      <c r="E55" s="445">
        <v>2568</v>
      </c>
      <c r="F55" s="444" t="s">
        <v>537</v>
      </c>
    </row>
    <row r="56" spans="1:8" ht="21">
      <c r="A56" s="447">
        <v>41</v>
      </c>
      <c r="B56" s="442" t="s">
        <v>579</v>
      </c>
      <c r="C56" s="443" t="s">
        <v>536</v>
      </c>
      <c r="D56" s="444">
        <v>10.199999999999999</v>
      </c>
      <c r="E56" s="445">
        <v>2568</v>
      </c>
      <c r="F56" s="444" t="s">
        <v>537</v>
      </c>
    </row>
    <row r="57" spans="1:8" ht="21">
      <c r="A57" s="441">
        <v>42</v>
      </c>
      <c r="B57" s="442" t="s">
        <v>580</v>
      </c>
      <c r="C57" s="443" t="s">
        <v>536</v>
      </c>
      <c r="D57" s="444">
        <v>18</v>
      </c>
      <c r="E57" s="445">
        <v>2568</v>
      </c>
      <c r="F57" s="444" t="s">
        <v>537</v>
      </c>
      <c r="H57" s="162"/>
    </row>
    <row r="58" spans="1:8" ht="21" customHeight="1">
      <c r="A58" s="748" t="s">
        <v>801</v>
      </c>
      <c r="B58" s="749"/>
      <c r="C58" s="749"/>
      <c r="D58" s="749"/>
      <c r="E58" s="749"/>
      <c r="F58" s="750"/>
    </row>
    <row r="59" spans="1:8" ht="21">
      <c r="A59" s="581">
        <v>43</v>
      </c>
      <c r="B59" s="577" t="s">
        <v>581</v>
      </c>
      <c r="C59" s="578" t="s">
        <v>582</v>
      </c>
      <c r="D59" s="579">
        <v>40</v>
      </c>
      <c r="E59" s="580">
        <v>2568</v>
      </c>
      <c r="F59" s="579" t="s">
        <v>537</v>
      </c>
    </row>
    <row r="60" spans="1:8" ht="21" customHeight="1">
      <c r="A60" s="748" t="s">
        <v>802</v>
      </c>
      <c r="B60" s="749"/>
      <c r="C60" s="749"/>
      <c r="D60" s="749"/>
      <c r="E60" s="749"/>
      <c r="F60" s="750"/>
    </row>
    <row r="61" spans="1:8" ht="21">
      <c r="A61" s="581">
        <v>44</v>
      </c>
      <c r="B61" s="577" t="s">
        <v>583</v>
      </c>
      <c r="C61" s="582" t="s">
        <v>582</v>
      </c>
      <c r="D61" s="579">
        <v>20</v>
      </c>
      <c r="E61" s="580">
        <v>2568</v>
      </c>
      <c r="F61" s="579" t="s">
        <v>537</v>
      </c>
    </row>
    <row r="62" spans="1:8" ht="21">
      <c r="A62" s="441">
        <v>45</v>
      </c>
      <c r="B62" s="442" t="s">
        <v>584</v>
      </c>
      <c r="C62" s="448" t="s">
        <v>536</v>
      </c>
      <c r="D62" s="444">
        <v>7.5</v>
      </c>
      <c r="E62" s="445">
        <v>2568</v>
      </c>
      <c r="F62" s="444" t="s">
        <v>537</v>
      </c>
    </row>
    <row r="63" spans="1:8" ht="21">
      <c r="A63" s="447">
        <v>46</v>
      </c>
      <c r="B63" s="442" t="s">
        <v>585</v>
      </c>
      <c r="C63" s="448" t="s">
        <v>536</v>
      </c>
      <c r="D63" s="444">
        <v>6</v>
      </c>
      <c r="E63" s="445">
        <v>2568</v>
      </c>
      <c r="F63" s="444" t="s">
        <v>537</v>
      </c>
    </row>
    <row r="64" spans="1:8" ht="21" customHeight="1">
      <c r="A64" s="748" t="s">
        <v>803</v>
      </c>
      <c r="B64" s="749"/>
      <c r="C64" s="749"/>
      <c r="D64" s="749"/>
      <c r="E64" s="749"/>
      <c r="F64" s="750"/>
    </row>
    <row r="65" spans="1:6" ht="21">
      <c r="A65" s="581">
        <v>47</v>
      </c>
      <c r="B65" s="577" t="s">
        <v>586</v>
      </c>
      <c r="C65" s="578" t="s">
        <v>582</v>
      </c>
      <c r="D65" s="579">
        <v>50</v>
      </c>
      <c r="E65" s="580">
        <v>2568</v>
      </c>
      <c r="F65" s="579" t="s">
        <v>537</v>
      </c>
    </row>
    <row r="66" spans="1:6" ht="21" customHeight="1">
      <c r="A66" s="748" t="s">
        <v>804</v>
      </c>
      <c r="B66" s="749"/>
      <c r="C66" s="749"/>
      <c r="D66" s="749"/>
      <c r="E66" s="749"/>
      <c r="F66" s="750"/>
    </row>
    <row r="67" spans="1:6" ht="21">
      <c r="A67" s="581">
        <v>48</v>
      </c>
      <c r="B67" s="577" t="s">
        <v>587</v>
      </c>
      <c r="C67" s="578" t="s">
        <v>536</v>
      </c>
      <c r="D67" s="579">
        <v>9</v>
      </c>
      <c r="E67" s="580">
        <v>2568</v>
      </c>
      <c r="F67" s="579" t="s">
        <v>537</v>
      </c>
    </row>
    <row r="68" spans="1:6" ht="21">
      <c r="A68" s="441">
        <v>49</v>
      </c>
      <c r="B68" s="442" t="s">
        <v>588</v>
      </c>
      <c r="C68" s="443" t="s">
        <v>536</v>
      </c>
      <c r="D68" s="444">
        <v>9</v>
      </c>
      <c r="E68" s="445">
        <v>2568</v>
      </c>
      <c r="F68" s="444" t="s">
        <v>537</v>
      </c>
    </row>
    <row r="69" spans="1:6" ht="21">
      <c r="A69" s="447">
        <v>50</v>
      </c>
      <c r="B69" s="442" t="s">
        <v>589</v>
      </c>
      <c r="C69" s="443" t="s">
        <v>536</v>
      </c>
      <c r="D69" s="444">
        <v>14</v>
      </c>
      <c r="E69" s="445">
        <v>2568</v>
      </c>
      <c r="F69" s="444" t="s">
        <v>537</v>
      </c>
    </row>
    <row r="70" spans="1:6" ht="21">
      <c r="A70" s="447">
        <v>51</v>
      </c>
      <c r="B70" s="442" t="s">
        <v>590</v>
      </c>
      <c r="C70" s="443" t="s">
        <v>536</v>
      </c>
      <c r="D70" s="444">
        <v>8</v>
      </c>
      <c r="E70" s="445">
        <v>2568</v>
      </c>
      <c r="F70" s="444" t="s">
        <v>537</v>
      </c>
    </row>
    <row r="71" spans="1:6" ht="21" customHeight="1">
      <c r="A71" s="748" t="s">
        <v>805</v>
      </c>
      <c r="B71" s="749"/>
      <c r="C71" s="749"/>
      <c r="D71" s="749"/>
      <c r="E71" s="749"/>
      <c r="F71" s="750"/>
    </row>
    <row r="72" spans="1:6" ht="21">
      <c r="A72" s="581">
        <v>52</v>
      </c>
      <c r="B72" s="577" t="s">
        <v>591</v>
      </c>
      <c r="C72" s="578" t="s">
        <v>536</v>
      </c>
      <c r="D72" s="579">
        <v>9.5</v>
      </c>
      <c r="E72" s="580">
        <v>2568</v>
      </c>
      <c r="F72" s="579" t="s">
        <v>537</v>
      </c>
    </row>
    <row r="73" spans="1:6" ht="21">
      <c r="A73" s="441">
        <v>53</v>
      </c>
      <c r="B73" s="442" t="s">
        <v>592</v>
      </c>
      <c r="C73" s="443" t="s">
        <v>536</v>
      </c>
      <c r="D73" s="444">
        <v>9.5</v>
      </c>
      <c r="E73" s="445">
        <v>2568</v>
      </c>
      <c r="F73" s="444" t="s">
        <v>537</v>
      </c>
    </row>
    <row r="74" spans="1:6" ht="21">
      <c r="A74" s="441">
        <v>54</v>
      </c>
      <c r="B74" s="442" t="s">
        <v>593</v>
      </c>
      <c r="C74" s="443" t="s">
        <v>536</v>
      </c>
      <c r="D74" s="444">
        <v>8</v>
      </c>
      <c r="E74" s="445">
        <v>2568</v>
      </c>
      <c r="F74" s="444" t="s">
        <v>537</v>
      </c>
    </row>
    <row r="75" spans="1:6" ht="21">
      <c r="A75" s="447">
        <v>55</v>
      </c>
      <c r="B75" s="442" t="s">
        <v>594</v>
      </c>
      <c r="C75" s="443" t="s">
        <v>536</v>
      </c>
      <c r="D75" s="444">
        <v>6</v>
      </c>
      <c r="E75" s="445">
        <v>2568</v>
      </c>
      <c r="F75" s="444" t="s">
        <v>537</v>
      </c>
    </row>
    <row r="76" spans="1:6" ht="21">
      <c r="A76" s="163">
        <v>56</v>
      </c>
      <c r="B76" s="164" t="s">
        <v>595</v>
      </c>
      <c r="C76" s="165" t="s">
        <v>536</v>
      </c>
      <c r="D76" s="160">
        <v>7</v>
      </c>
      <c r="E76" s="157">
        <v>2568</v>
      </c>
      <c r="F76" s="160" t="s">
        <v>537</v>
      </c>
    </row>
  </sheetData>
  <mergeCells count="20">
    <mergeCell ref="A71:F71"/>
    <mergeCell ref="A9:F9"/>
    <mergeCell ref="A12:F12"/>
    <mergeCell ref="A18:F18"/>
    <mergeCell ref="A26:F26"/>
    <mergeCell ref="A36:F36"/>
    <mergeCell ref="A43:F43"/>
    <mergeCell ref="A53:F53"/>
    <mergeCell ref="A58:F58"/>
    <mergeCell ref="A60:F60"/>
    <mergeCell ref="A64:F64"/>
    <mergeCell ref="A66:F66"/>
    <mergeCell ref="A1:H1"/>
    <mergeCell ref="A2:H2"/>
    <mergeCell ref="A4:H4"/>
    <mergeCell ref="A5:F5"/>
    <mergeCell ref="A7:A8"/>
    <mergeCell ref="B7:B8"/>
    <mergeCell ref="E7:E8"/>
    <mergeCell ref="F7:F8"/>
  </mergeCells>
  <pageMargins left="0.70866141732283472" right="0.23622047244094491" top="0.27559055118110237" bottom="0.62992125984251968" header="0.43307086614173229" footer="0.15748031496062992"/>
  <pageSetup paperSize="9" fitToHeight="0" orientation="portrait" r:id="rId1"/>
  <headerFooter>
    <oddFooter>&amp;L&amp;"TH SarabunPSK,Regular"จัดทำโดย กอย.
โทร. 5666</oddFooter>
  </headerFooter>
  <rowBreaks count="1" manualBreakCount="1">
    <brk id="42" max="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F891-C941-4EFE-9162-F8E354935A54}">
  <sheetPr codeName="Sheet22">
    <tabColor theme="9" tint="0.59999389629810485"/>
    <pageSetUpPr fitToPage="1"/>
  </sheetPr>
  <dimension ref="A1:F53"/>
  <sheetViews>
    <sheetView view="pageBreakPreview" topLeftCell="R23" zoomScale="40" zoomScaleNormal="85" zoomScaleSheetLayoutView="40" zoomScalePageLayoutView="50" workbookViewId="0">
      <selection activeCell="R23" sqref="R23"/>
    </sheetView>
  </sheetViews>
  <sheetFormatPr defaultColWidth="9" defaultRowHeight="39" customHeight="1"/>
  <cols>
    <col min="1" max="1" width="7.5703125" style="179" customWidth="1"/>
    <col min="2" max="2" width="60.5703125" style="180" customWidth="1"/>
    <col min="3" max="3" width="100.5703125" style="181" customWidth="1"/>
    <col min="4" max="4" width="28.28515625" style="180" bestFit="1" customWidth="1"/>
    <col min="5" max="5" width="9" style="168"/>
    <col min="6" max="6" width="17.140625" style="169" customWidth="1"/>
    <col min="7" max="7" width="16.42578125" style="168" customWidth="1"/>
    <col min="8" max="16384" width="9" style="168"/>
  </cols>
  <sheetData>
    <row r="1" spans="1:6" ht="39" customHeight="1">
      <c r="A1" s="754" t="s">
        <v>806</v>
      </c>
      <c r="B1" s="754"/>
      <c r="C1" s="754"/>
      <c r="D1" s="754"/>
    </row>
    <row r="2" spans="1:6" ht="39" customHeight="1">
      <c r="A2" s="754" t="s">
        <v>787</v>
      </c>
      <c r="B2" s="754"/>
      <c r="C2" s="754"/>
      <c r="D2" s="754"/>
    </row>
    <row r="3" spans="1:6" ht="39" customHeight="1">
      <c r="A3" s="754" t="s">
        <v>807</v>
      </c>
      <c r="B3" s="754"/>
      <c r="C3" s="754"/>
      <c r="D3" s="754"/>
    </row>
    <row r="4" spans="1:6" ht="39" customHeight="1">
      <c r="A4" s="755" t="s">
        <v>56</v>
      </c>
      <c r="B4" s="755" t="s">
        <v>790</v>
      </c>
      <c r="C4" s="755" t="s">
        <v>808</v>
      </c>
      <c r="D4" s="449" t="s">
        <v>809</v>
      </c>
    </row>
    <row r="5" spans="1:6" ht="39" customHeight="1">
      <c r="A5" s="756"/>
      <c r="B5" s="756"/>
      <c r="C5" s="756"/>
      <c r="D5" s="182" t="s">
        <v>247</v>
      </c>
    </row>
    <row r="6" spans="1:6" ht="39" customHeight="1">
      <c r="A6" s="757"/>
      <c r="B6" s="757"/>
      <c r="C6" s="757"/>
      <c r="D6" s="170">
        <v>2568</v>
      </c>
    </row>
    <row r="7" spans="1:6" s="171" customFormat="1" ht="39" customHeight="1">
      <c r="A7" s="758" t="s">
        <v>794</v>
      </c>
      <c r="B7" s="759"/>
      <c r="C7" s="759"/>
      <c r="D7" s="759"/>
      <c r="F7" s="172"/>
    </row>
    <row r="8" spans="1:6" ht="39" customHeight="1">
      <c r="A8" s="583">
        <v>1</v>
      </c>
      <c r="B8" s="584" t="s">
        <v>600</v>
      </c>
      <c r="C8" s="585" t="s">
        <v>601</v>
      </c>
      <c r="D8" s="586">
        <v>32.200000000000003</v>
      </c>
    </row>
    <row r="9" spans="1:6" ht="39" customHeight="1">
      <c r="A9" s="583">
        <f>A8+1</f>
        <v>2</v>
      </c>
      <c r="B9" s="584" t="s">
        <v>602</v>
      </c>
      <c r="C9" s="585" t="s">
        <v>601</v>
      </c>
      <c r="D9" s="586">
        <v>28.7</v>
      </c>
    </row>
    <row r="10" spans="1:6" s="171" customFormat="1" ht="39" customHeight="1">
      <c r="A10" s="758" t="s">
        <v>795</v>
      </c>
      <c r="B10" s="759"/>
      <c r="C10" s="759"/>
      <c r="D10" s="759"/>
      <c r="F10" s="172"/>
    </row>
    <row r="11" spans="1:6" ht="39" customHeight="1">
      <c r="A11" s="583">
        <v>3</v>
      </c>
      <c r="B11" s="587" t="s">
        <v>603</v>
      </c>
      <c r="C11" s="585" t="s">
        <v>601</v>
      </c>
      <c r="D11" s="586">
        <v>35.9</v>
      </c>
    </row>
    <row r="12" spans="1:6" ht="39" customHeight="1">
      <c r="A12" s="173"/>
      <c r="B12" s="177" t="s">
        <v>604</v>
      </c>
      <c r="C12" s="176"/>
      <c r="D12" s="175"/>
    </row>
    <row r="13" spans="1:6" ht="39" customHeight="1">
      <c r="A13" s="583">
        <f>A11+1</f>
        <v>4</v>
      </c>
      <c r="B13" s="587" t="s">
        <v>603</v>
      </c>
      <c r="C13" s="585" t="s">
        <v>605</v>
      </c>
      <c r="D13" s="586">
        <v>9</v>
      </c>
    </row>
    <row r="14" spans="1:6" ht="39" customHeight="1">
      <c r="A14" s="173"/>
      <c r="B14" s="177" t="s">
        <v>606</v>
      </c>
      <c r="C14" s="174"/>
      <c r="D14" s="175"/>
    </row>
    <row r="15" spans="1:6" s="171" customFormat="1" ht="39" customHeight="1">
      <c r="A15" s="758" t="s">
        <v>796</v>
      </c>
      <c r="B15" s="759"/>
      <c r="C15" s="759"/>
      <c r="D15" s="759"/>
      <c r="F15" s="172"/>
    </row>
    <row r="16" spans="1:6" ht="39" customHeight="1">
      <c r="A16" s="583">
        <v>5</v>
      </c>
      <c r="B16" s="587" t="s">
        <v>607</v>
      </c>
      <c r="C16" s="585" t="s">
        <v>601</v>
      </c>
      <c r="D16" s="586">
        <v>31.7</v>
      </c>
    </row>
    <row r="17" spans="1:4" ht="39" customHeight="1">
      <c r="A17" s="583">
        <f>A16+1</f>
        <v>6</v>
      </c>
      <c r="B17" s="587" t="s">
        <v>608</v>
      </c>
      <c r="C17" s="585" t="s">
        <v>601</v>
      </c>
      <c r="D17" s="586">
        <v>26.1</v>
      </c>
    </row>
    <row r="18" spans="1:4" ht="39" customHeight="1">
      <c r="A18" s="760" t="s">
        <v>797</v>
      </c>
      <c r="B18" s="761"/>
      <c r="C18" s="761"/>
      <c r="D18" s="761"/>
    </row>
    <row r="19" spans="1:4" ht="39" customHeight="1">
      <c r="A19" s="583">
        <v>7</v>
      </c>
      <c r="B19" s="588" t="s">
        <v>609</v>
      </c>
      <c r="C19" s="589" t="s">
        <v>610</v>
      </c>
      <c r="D19" s="586">
        <v>28.2</v>
      </c>
    </row>
    <row r="20" spans="1:4" ht="39" customHeight="1">
      <c r="A20" s="583">
        <f>A19+1</f>
        <v>8</v>
      </c>
      <c r="B20" s="588" t="s">
        <v>611</v>
      </c>
      <c r="C20" s="589" t="s">
        <v>610</v>
      </c>
      <c r="D20" s="586">
        <v>22.9</v>
      </c>
    </row>
    <row r="21" spans="1:4" ht="39" customHeight="1">
      <c r="A21" s="760" t="s">
        <v>798</v>
      </c>
      <c r="B21" s="761"/>
      <c r="C21" s="761"/>
      <c r="D21" s="761"/>
    </row>
    <row r="22" spans="1:4" ht="39" customHeight="1">
      <c r="A22" s="450">
        <v>9</v>
      </c>
      <c r="B22" s="451" t="s">
        <v>612</v>
      </c>
      <c r="C22" s="452" t="s">
        <v>610</v>
      </c>
      <c r="D22" s="453">
        <v>39.700000000000003</v>
      </c>
    </row>
    <row r="23" spans="1:4" ht="39" customHeight="1">
      <c r="A23" s="454">
        <f>A22+1</f>
        <v>10</v>
      </c>
      <c r="B23" s="455" t="s">
        <v>613</v>
      </c>
      <c r="C23" s="456" t="s">
        <v>610</v>
      </c>
      <c r="D23" s="457">
        <v>15.5</v>
      </c>
    </row>
    <row r="24" spans="1:4" ht="39" customHeight="1">
      <c r="A24" s="760" t="s">
        <v>799</v>
      </c>
      <c r="B24" s="761"/>
      <c r="C24" s="761"/>
      <c r="D24" s="761"/>
    </row>
    <row r="25" spans="1:4" ht="39" customHeight="1">
      <c r="A25" s="450">
        <v>11</v>
      </c>
      <c r="B25" s="451" t="s">
        <v>614</v>
      </c>
      <c r="C25" s="452" t="s">
        <v>610</v>
      </c>
      <c r="D25" s="453">
        <v>11.8</v>
      </c>
    </row>
    <row r="26" spans="1:4" ht="39" customHeight="1">
      <c r="A26" s="450">
        <f>A25+1</f>
        <v>12</v>
      </c>
      <c r="B26" s="451" t="s">
        <v>615</v>
      </c>
      <c r="C26" s="452" t="s">
        <v>610</v>
      </c>
      <c r="D26" s="453">
        <v>37.299999999999997</v>
      </c>
    </row>
    <row r="27" spans="1:4" ht="39" customHeight="1">
      <c r="A27" s="760" t="s">
        <v>800</v>
      </c>
      <c r="B27" s="761"/>
      <c r="C27" s="761"/>
      <c r="D27" s="761"/>
    </row>
    <row r="28" spans="1:4" ht="39" customHeight="1">
      <c r="A28" s="450">
        <v>13</v>
      </c>
      <c r="B28" s="458" t="s">
        <v>616</v>
      </c>
      <c r="C28" s="459" t="s">
        <v>617</v>
      </c>
      <c r="D28" s="453">
        <v>16</v>
      </c>
    </row>
    <row r="29" spans="1:4" ht="39" customHeight="1">
      <c r="A29" s="450">
        <f>A28+1</f>
        <v>14</v>
      </c>
      <c r="B29" s="458" t="s">
        <v>618</v>
      </c>
      <c r="C29" s="460" t="s">
        <v>601</v>
      </c>
      <c r="D29" s="453">
        <v>58.7</v>
      </c>
    </row>
    <row r="30" spans="1:4" ht="39" customHeight="1">
      <c r="A30" s="450">
        <f>A29+1</f>
        <v>15</v>
      </c>
      <c r="B30" s="461" t="s">
        <v>619</v>
      </c>
      <c r="C30" s="460" t="s">
        <v>601</v>
      </c>
      <c r="D30" s="453">
        <v>23.1</v>
      </c>
    </row>
    <row r="31" spans="1:4" ht="39" customHeight="1">
      <c r="A31" s="450">
        <f>A30+1</f>
        <v>16</v>
      </c>
      <c r="B31" s="461" t="s">
        <v>620</v>
      </c>
      <c r="C31" s="460" t="s">
        <v>601</v>
      </c>
      <c r="D31" s="453">
        <v>23.1</v>
      </c>
    </row>
    <row r="32" spans="1:4" ht="39" customHeight="1">
      <c r="A32" s="760" t="s">
        <v>801</v>
      </c>
      <c r="B32" s="761"/>
      <c r="C32" s="761"/>
      <c r="D32" s="761"/>
    </row>
    <row r="33" spans="1:4" ht="39" customHeight="1">
      <c r="A33" s="454">
        <v>17</v>
      </c>
      <c r="B33" s="462" t="s">
        <v>621</v>
      </c>
      <c r="C33" s="178" t="s">
        <v>601</v>
      </c>
      <c r="D33" s="457">
        <v>61.3</v>
      </c>
    </row>
    <row r="34" spans="1:4" ht="39" customHeight="1">
      <c r="A34" s="760" t="s">
        <v>802</v>
      </c>
      <c r="B34" s="761"/>
      <c r="C34" s="761"/>
      <c r="D34" s="761"/>
    </row>
    <row r="35" spans="1:4" ht="39" customHeight="1">
      <c r="A35" s="450">
        <v>18</v>
      </c>
      <c r="B35" s="463" t="s">
        <v>622</v>
      </c>
      <c r="C35" s="460" t="s">
        <v>601</v>
      </c>
      <c r="D35" s="453">
        <v>40</v>
      </c>
    </row>
    <row r="36" spans="1:4" ht="39" customHeight="1">
      <c r="A36" s="450">
        <f>A35+1</f>
        <v>19</v>
      </c>
      <c r="B36" s="464" t="s">
        <v>623</v>
      </c>
      <c r="C36" s="460" t="s">
        <v>624</v>
      </c>
      <c r="D36" s="453">
        <v>10.199999999999999</v>
      </c>
    </row>
    <row r="37" spans="1:4" ht="39" customHeight="1">
      <c r="A37" s="760" t="s">
        <v>803</v>
      </c>
      <c r="B37" s="761"/>
      <c r="C37" s="761"/>
      <c r="D37" s="761"/>
    </row>
    <row r="38" spans="1:4" ht="39" customHeight="1">
      <c r="A38" s="450">
        <v>20</v>
      </c>
      <c r="B38" s="465" t="s">
        <v>625</v>
      </c>
      <c r="C38" s="460" t="s">
        <v>624</v>
      </c>
      <c r="D38" s="453">
        <v>18</v>
      </c>
    </row>
    <row r="39" spans="1:4" ht="39" customHeight="1">
      <c r="A39" s="450">
        <f>A38+1</f>
        <v>21</v>
      </c>
      <c r="B39" s="461" t="s">
        <v>626</v>
      </c>
      <c r="C39" s="460" t="s">
        <v>624</v>
      </c>
      <c r="D39" s="453">
        <v>8.4</v>
      </c>
    </row>
    <row r="40" spans="1:4" ht="39" customHeight="1">
      <c r="A40" s="450">
        <f>A39+1</f>
        <v>22</v>
      </c>
      <c r="B40" s="465" t="s">
        <v>627</v>
      </c>
      <c r="C40" s="460" t="s">
        <v>624</v>
      </c>
      <c r="D40" s="453">
        <v>12</v>
      </c>
    </row>
    <row r="41" spans="1:4" ht="39" customHeight="1">
      <c r="A41" s="760" t="s">
        <v>804</v>
      </c>
      <c r="B41" s="761"/>
      <c r="C41" s="761"/>
      <c r="D41" s="761"/>
    </row>
    <row r="42" spans="1:4" ht="39" customHeight="1">
      <c r="A42" s="454">
        <v>23</v>
      </c>
      <c r="B42" s="462" t="s">
        <v>628</v>
      </c>
      <c r="C42" s="178" t="s">
        <v>624</v>
      </c>
      <c r="D42" s="457">
        <v>9.6</v>
      </c>
    </row>
    <row r="43" spans="1:4" ht="39" customHeight="1">
      <c r="A43" s="583">
        <f>A42+1</f>
        <v>24</v>
      </c>
      <c r="B43" s="584" t="s">
        <v>629</v>
      </c>
      <c r="C43" s="538" t="s">
        <v>601</v>
      </c>
      <c r="D43" s="586">
        <v>60.6</v>
      </c>
    </row>
    <row r="44" spans="1:4" ht="39" customHeight="1">
      <c r="A44" s="760" t="s">
        <v>805</v>
      </c>
      <c r="B44" s="761"/>
      <c r="C44" s="761"/>
      <c r="D44" s="761"/>
    </row>
    <row r="45" spans="1:4" ht="39" customHeight="1">
      <c r="A45" s="450">
        <v>25</v>
      </c>
      <c r="B45" s="461" t="s">
        <v>630</v>
      </c>
      <c r="C45" s="460" t="s">
        <v>601</v>
      </c>
      <c r="D45" s="453">
        <v>48.8</v>
      </c>
    </row>
    <row r="46" spans="1:4" ht="39" customHeight="1">
      <c r="A46" s="450">
        <f>A45+1</f>
        <v>26</v>
      </c>
      <c r="B46" s="461" t="s">
        <v>631</v>
      </c>
      <c r="C46" s="460" t="s">
        <v>617</v>
      </c>
      <c r="D46" s="453">
        <v>12</v>
      </c>
    </row>
    <row r="47" spans="1:4" ht="39" customHeight="1">
      <c r="A47" s="760" t="s">
        <v>810</v>
      </c>
      <c r="B47" s="761"/>
      <c r="C47" s="761"/>
      <c r="D47" s="761"/>
    </row>
    <row r="48" spans="1:4" ht="39" customHeight="1">
      <c r="A48" s="450">
        <v>27</v>
      </c>
      <c r="B48" s="466" t="s">
        <v>632</v>
      </c>
      <c r="C48" s="467" t="s">
        <v>633</v>
      </c>
      <c r="D48" s="453">
        <v>3</v>
      </c>
    </row>
    <row r="49" spans="1:4" ht="39" customHeight="1">
      <c r="A49" s="450">
        <f>A48+1</f>
        <v>28</v>
      </c>
      <c r="B49" s="466" t="s">
        <v>634</v>
      </c>
      <c r="C49" s="467" t="s">
        <v>635</v>
      </c>
      <c r="D49" s="453">
        <v>10</v>
      </c>
    </row>
    <row r="50" spans="1:4" ht="39" customHeight="1">
      <c r="A50" s="450">
        <f>A49+1</f>
        <v>29</v>
      </c>
      <c r="B50" s="466" t="s">
        <v>636</v>
      </c>
      <c r="C50" s="467" t="s">
        <v>637</v>
      </c>
      <c r="D50" s="453">
        <v>30.5</v>
      </c>
    </row>
    <row r="51" spans="1:4" ht="39" customHeight="1">
      <c r="A51" s="450">
        <f>A50+1</f>
        <v>30</v>
      </c>
      <c r="B51" s="466" t="s">
        <v>638</v>
      </c>
      <c r="C51" s="467" t="s">
        <v>639</v>
      </c>
      <c r="D51" s="453">
        <v>10</v>
      </c>
    </row>
    <row r="52" spans="1:4" ht="39" customHeight="1">
      <c r="A52" s="450">
        <f>A51+1</f>
        <v>31</v>
      </c>
      <c r="B52" s="466" t="s">
        <v>640</v>
      </c>
      <c r="C52" s="467" t="s">
        <v>641</v>
      </c>
      <c r="D52" s="453">
        <v>19</v>
      </c>
    </row>
    <row r="53" spans="1:4" ht="39" customHeight="1">
      <c r="A53" s="762" t="s">
        <v>811</v>
      </c>
      <c r="B53" s="763"/>
      <c r="C53" s="764"/>
      <c r="D53" s="468">
        <f>SUM(D8:D52)</f>
        <v>793.30000000000007</v>
      </c>
    </row>
  </sheetData>
  <mergeCells count="20">
    <mergeCell ref="A41:D41"/>
    <mergeCell ref="A44:D44"/>
    <mergeCell ref="A47:D47"/>
    <mergeCell ref="A53:C53"/>
    <mergeCell ref="A24:D24"/>
    <mergeCell ref="A27:D27"/>
    <mergeCell ref="A32:D32"/>
    <mergeCell ref="A34:D34"/>
    <mergeCell ref="A37:D37"/>
    <mergeCell ref="A7:D7"/>
    <mergeCell ref="A10:D10"/>
    <mergeCell ref="A15:D15"/>
    <mergeCell ref="A18:D18"/>
    <mergeCell ref="A21:D21"/>
    <mergeCell ref="A1:D1"/>
    <mergeCell ref="A2:D2"/>
    <mergeCell ref="A3:D3"/>
    <mergeCell ref="A4:A6"/>
    <mergeCell ref="B4:B6"/>
    <mergeCell ref="C4:C6"/>
  </mergeCells>
  <pageMargins left="0.23622047244094491" right="0.23622047244094491" top="0.74803149606299213" bottom="0.74803149606299213" header="0.31496062992125984" footer="0.31496062992125984"/>
  <pageSetup paperSize="9" scale="55" fitToHeight="0" orientation="portrait" r:id="rId1"/>
  <headerFooter>
    <oddFooter xml:space="preserve">&amp;L&amp;"TH SarabunPSK,Regular"&amp;24จัดทำโดย กอย.
โทร. 5666&amp;"TH Sarabun New,Regular"&amp;20
</oddFooter>
  </headerFooter>
  <rowBreaks count="1" manualBreakCount="1">
    <brk id="36" max="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D6AD-7AF1-4419-84A1-E1E9A3152619}">
  <sheetPr codeName="Sheet23">
    <tabColor theme="6" tint="0.59999389629810485"/>
    <pageSetUpPr fitToPage="1"/>
  </sheetPr>
  <dimension ref="A1:BH264"/>
  <sheetViews>
    <sheetView view="pageBreakPreview" topLeftCell="Y1" zoomScaleNormal="100" zoomScaleSheetLayoutView="100" workbookViewId="0">
      <pane ySplit="5" topLeftCell="AW207" activePane="bottomLeft" state="frozen"/>
      <selection pane="bottomLeft" activeCell="AW207" sqref="AW207"/>
      <selection activeCell="AC264" sqref="AC264"/>
    </sheetView>
  </sheetViews>
  <sheetFormatPr defaultColWidth="9" defaultRowHeight="15.75"/>
  <cols>
    <col min="1" max="1" width="4.28515625" style="219" bestFit="1" customWidth="1"/>
    <col min="2" max="2" width="100.42578125" style="220" bestFit="1" customWidth="1"/>
    <col min="3" max="3" width="10" style="221" bestFit="1" customWidth="1"/>
    <col min="4" max="31" width="6" style="222" bestFit="1" customWidth="1"/>
    <col min="32" max="32" width="9.85546875" style="223" bestFit="1" customWidth="1"/>
    <col min="33" max="33" width="10" style="223" bestFit="1" customWidth="1"/>
    <col min="34" max="34" width="9.140625" style="223" bestFit="1" customWidth="1"/>
    <col min="35" max="39" width="9" style="223" bestFit="1" customWidth="1"/>
    <col min="40" max="40" width="7.140625" style="223" bestFit="1" customWidth="1"/>
    <col min="41" max="42" width="9" style="223" bestFit="1" customWidth="1"/>
    <col min="43" max="43" width="7.7109375" style="223" bestFit="1" customWidth="1"/>
    <col min="44" max="44" width="9.140625" style="223" bestFit="1" customWidth="1"/>
    <col min="45" max="45" width="7.7109375" style="223" bestFit="1" customWidth="1"/>
    <col min="46" max="47" width="7.140625" style="223" bestFit="1" customWidth="1"/>
    <col min="48" max="50" width="9" style="223" bestFit="1" customWidth="1"/>
    <col min="51" max="51" width="7.140625" style="223" bestFit="1" customWidth="1"/>
    <col min="52" max="52" width="9" style="223" bestFit="1" customWidth="1"/>
    <col min="53" max="53" width="9.140625" style="223" bestFit="1" customWidth="1"/>
    <col min="54" max="54" width="7.140625" style="223" bestFit="1" customWidth="1"/>
    <col min="55" max="55" width="9" style="223" bestFit="1" customWidth="1"/>
    <col min="56" max="56" width="10.140625" style="223" bestFit="1" customWidth="1"/>
    <col min="57" max="57" width="7.140625" style="223" bestFit="1" customWidth="1"/>
    <col min="58" max="58" width="11.140625" style="223" bestFit="1" customWidth="1"/>
    <col min="59" max="59" width="10" style="223" bestFit="1" customWidth="1"/>
    <col min="60" max="60" width="11.42578125" style="223" bestFit="1" customWidth="1"/>
    <col min="61" max="16384" width="9" style="183"/>
  </cols>
  <sheetData>
    <row r="1" spans="1:60">
      <c r="A1" s="767" t="s">
        <v>812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7"/>
      <c r="W1" s="767"/>
      <c r="X1" s="767"/>
      <c r="Y1" s="767"/>
      <c r="Z1" s="767"/>
      <c r="AA1" s="767"/>
      <c r="AB1" s="767"/>
      <c r="AC1" s="767"/>
      <c r="AD1" s="767"/>
      <c r="AE1" s="767"/>
      <c r="AF1" s="767"/>
      <c r="AG1" s="767"/>
      <c r="AH1" s="767"/>
      <c r="AI1" s="767"/>
      <c r="AJ1" s="767"/>
      <c r="AK1" s="767"/>
      <c r="AL1" s="767"/>
      <c r="AM1" s="767"/>
      <c r="AN1" s="767"/>
      <c r="AO1" s="767"/>
      <c r="AP1" s="767"/>
      <c r="AQ1" s="767"/>
      <c r="AR1" s="767"/>
      <c r="AS1" s="767"/>
      <c r="AT1" s="767"/>
      <c r="AU1" s="767"/>
      <c r="AV1" s="767"/>
      <c r="AW1" s="767"/>
      <c r="AX1" s="767"/>
      <c r="AY1" s="767"/>
      <c r="AZ1" s="767"/>
      <c r="BA1" s="767"/>
      <c r="BB1" s="767"/>
      <c r="BC1" s="767"/>
      <c r="BD1" s="767"/>
      <c r="BE1" s="767"/>
      <c r="BF1" s="767"/>
      <c r="BG1" s="767"/>
      <c r="BH1" s="767"/>
    </row>
    <row r="2" spans="1:60">
      <c r="A2" s="768" t="s">
        <v>813</v>
      </c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8"/>
      <c r="AQ2" s="768"/>
      <c r="AR2" s="768"/>
      <c r="AS2" s="768"/>
      <c r="AT2" s="768"/>
      <c r="AU2" s="768"/>
      <c r="AV2" s="768"/>
      <c r="AW2" s="768"/>
      <c r="AX2" s="768"/>
      <c r="AY2" s="768"/>
      <c r="AZ2" s="768"/>
      <c r="BA2" s="768"/>
      <c r="BB2" s="768"/>
      <c r="BC2" s="768"/>
      <c r="BD2" s="768"/>
      <c r="BE2" s="768"/>
      <c r="BF2" s="768"/>
      <c r="BG2" s="768"/>
      <c r="BH2" s="768"/>
    </row>
    <row r="3" spans="1:60">
      <c r="A3" s="769" t="s">
        <v>56</v>
      </c>
      <c r="B3" s="772" t="s">
        <v>120</v>
      </c>
      <c r="C3" s="775" t="s">
        <v>814</v>
      </c>
      <c r="D3" s="778" t="s">
        <v>815</v>
      </c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79"/>
      <c r="AD3" s="779"/>
      <c r="AE3" s="780"/>
      <c r="AF3" s="781" t="s">
        <v>816</v>
      </c>
      <c r="AG3" s="782"/>
      <c r="AH3" s="782"/>
      <c r="AI3" s="782"/>
      <c r="AJ3" s="782"/>
      <c r="AK3" s="782"/>
      <c r="AL3" s="782"/>
      <c r="AM3" s="782"/>
      <c r="AN3" s="782"/>
      <c r="AO3" s="782"/>
      <c r="AP3" s="782"/>
      <c r="AQ3" s="782"/>
      <c r="AR3" s="782"/>
      <c r="AS3" s="782"/>
      <c r="AT3" s="782"/>
      <c r="AU3" s="782"/>
      <c r="AV3" s="782"/>
      <c r="AW3" s="782"/>
      <c r="AX3" s="782"/>
      <c r="AY3" s="782"/>
      <c r="AZ3" s="782"/>
      <c r="BA3" s="782"/>
      <c r="BB3" s="782"/>
      <c r="BC3" s="782"/>
      <c r="BD3" s="782"/>
      <c r="BE3" s="782"/>
      <c r="BF3" s="782"/>
      <c r="BG3" s="783"/>
      <c r="BH3" s="784" t="s">
        <v>817</v>
      </c>
    </row>
    <row r="4" spans="1:60">
      <c r="A4" s="770"/>
      <c r="B4" s="773"/>
      <c r="C4" s="776"/>
      <c r="D4" s="765" t="s">
        <v>818</v>
      </c>
      <c r="E4" s="766"/>
      <c r="F4" s="765" t="s">
        <v>819</v>
      </c>
      <c r="G4" s="766"/>
      <c r="H4" s="765" t="s">
        <v>820</v>
      </c>
      <c r="I4" s="766"/>
      <c r="J4" s="765" t="s">
        <v>821</v>
      </c>
      <c r="K4" s="766"/>
      <c r="L4" s="765" t="s">
        <v>822</v>
      </c>
      <c r="M4" s="766"/>
      <c r="N4" s="765" t="s">
        <v>823</v>
      </c>
      <c r="O4" s="766"/>
      <c r="P4" s="765" t="s">
        <v>824</v>
      </c>
      <c r="Q4" s="766"/>
      <c r="R4" s="765" t="s">
        <v>825</v>
      </c>
      <c r="S4" s="766"/>
      <c r="T4" s="765" t="s">
        <v>826</v>
      </c>
      <c r="U4" s="766"/>
      <c r="V4" s="765" t="s">
        <v>827</v>
      </c>
      <c r="W4" s="766"/>
      <c r="X4" s="765" t="s">
        <v>828</v>
      </c>
      <c r="Y4" s="766"/>
      <c r="Z4" s="765" t="s">
        <v>829</v>
      </c>
      <c r="AA4" s="766"/>
      <c r="AB4" s="765" t="s">
        <v>830</v>
      </c>
      <c r="AC4" s="766"/>
      <c r="AD4" s="765" t="s">
        <v>61</v>
      </c>
      <c r="AE4" s="766"/>
      <c r="AF4" s="787" t="s">
        <v>818</v>
      </c>
      <c r="AG4" s="788"/>
      <c r="AH4" s="787" t="s">
        <v>819</v>
      </c>
      <c r="AI4" s="788"/>
      <c r="AJ4" s="787" t="s">
        <v>820</v>
      </c>
      <c r="AK4" s="788"/>
      <c r="AL4" s="787" t="s">
        <v>821</v>
      </c>
      <c r="AM4" s="788"/>
      <c r="AN4" s="787" t="s">
        <v>822</v>
      </c>
      <c r="AO4" s="788"/>
      <c r="AP4" s="787" t="s">
        <v>823</v>
      </c>
      <c r="AQ4" s="788"/>
      <c r="AR4" s="787" t="s">
        <v>824</v>
      </c>
      <c r="AS4" s="788"/>
      <c r="AT4" s="787" t="s">
        <v>825</v>
      </c>
      <c r="AU4" s="788"/>
      <c r="AV4" s="787" t="s">
        <v>826</v>
      </c>
      <c r="AW4" s="788"/>
      <c r="AX4" s="787" t="s">
        <v>827</v>
      </c>
      <c r="AY4" s="788"/>
      <c r="AZ4" s="787" t="s">
        <v>828</v>
      </c>
      <c r="BA4" s="788"/>
      <c r="BB4" s="787" t="s">
        <v>829</v>
      </c>
      <c r="BC4" s="788"/>
      <c r="BD4" s="787" t="s">
        <v>830</v>
      </c>
      <c r="BE4" s="788"/>
      <c r="BF4" s="787" t="s">
        <v>61</v>
      </c>
      <c r="BG4" s="788"/>
      <c r="BH4" s="785"/>
    </row>
    <row r="5" spans="1:60">
      <c r="A5" s="771"/>
      <c r="B5" s="774"/>
      <c r="C5" s="777"/>
      <c r="D5" s="590" t="s">
        <v>831</v>
      </c>
      <c r="E5" s="590" t="s">
        <v>832</v>
      </c>
      <c r="F5" s="590" t="s">
        <v>831</v>
      </c>
      <c r="G5" s="590" t="s">
        <v>832</v>
      </c>
      <c r="H5" s="590" t="s">
        <v>831</v>
      </c>
      <c r="I5" s="590" t="s">
        <v>832</v>
      </c>
      <c r="J5" s="590" t="s">
        <v>831</v>
      </c>
      <c r="K5" s="590" t="s">
        <v>832</v>
      </c>
      <c r="L5" s="590" t="s">
        <v>831</v>
      </c>
      <c r="M5" s="590" t="s">
        <v>832</v>
      </c>
      <c r="N5" s="590" t="s">
        <v>831</v>
      </c>
      <c r="O5" s="590" t="s">
        <v>832</v>
      </c>
      <c r="P5" s="590" t="s">
        <v>831</v>
      </c>
      <c r="Q5" s="590" t="s">
        <v>832</v>
      </c>
      <c r="R5" s="590" t="s">
        <v>831</v>
      </c>
      <c r="S5" s="590" t="s">
        <v>832</v>
      </c>
      <c r="T5" s="590" t="s">
        <v>831</v>
      </c>
      <c r="U5" s="590" t="s">
        <v>832</v>
      </c>
      <c r="V5" s="590" t="s">
        <v>831</v>
      </c>
      <c r="W5" s="590" t="s">
        <v>832</v>
      </c>
      <c r="X5" s="590" t="s">
        <v>831</v>
      </c>
      <c r="Y5" s="590" t="s">
        <v>832</v>
      </c>
      <c r="Z5" s="590" t="s">
        <v>831</v>
      </c>
      <c r="AA5" s="590" t="s">
        <v>832</v>
      </c>
      <c r="AB5" s="590" t="s">
        <v>831</v>
      </c>
      <c r="AC5" s="590" t="s">
        <v>832</v>
      </c>
      <c r="AD5" s="590" t="s">
        <v>831</v>
      </c>
      <c r="AE5" s="590" t="s">
        <v>832</v>
      </c>
      <c r="AF5" s="591" t="s">
        <v>831</v>
      </c>
      <c r="AG5" s="591" t="s">
        <v>832</v>
      </c>
      <c r="AH5" s="591" t="s">
        <v>831</v>
      </c>
      <c r="AI5" s="591" t="s">
        <v>832</v>
      </c>
      <c r="AJ5" s="591" t="s">
        <v>831</v>
      </c>
      <c r="AK5" s="591" t="s">
        <v>832</v>
      </c>
      <c r="AL5" s="591" t="s">
        <v>831</v>
      </c>
      <c r="AM5" s="591" t="s">
        <v>832</v>
      </c>
      <c r="AN5" s="591" t="s">
        <v>831</v>
      </c>
      <c r="AO5" s="591" t="s">
        <v>832</v>
      </c>
      <c r="AP5" s="591" t="s">
        <v>831</v>
      </c>
      <c r="AQ5" s="591" t="s">
        <v>832</v>
      </c>
      <c r="AR5" s="591" t="s">
        <v>831</v>
      </c>
      <c r="AS5" s="591" t="s">
        <v>832</v>
      </c>
      <c r="AT5" s="591" t="s">
        <v>831</v>
      </c>
      <c r="AU5" s="591" t="s">
        <v>832</v>
      </c>
      <c r="AV5" s="591" t="s">
        <v>831</v>
      </c>
      <c r="AW5" s="591" t="s">
        <v>832</v>
      </c>
      <c r="AX5" s="591" t="s">
        <v>831</v>
      </c>
      <c r="AY5" s="591" t="s">
        <v>832</v>
      </c>
      <c r="AZ5" s="591" t="s">
        <v>831</v>
      </c>
      <c r="BA5" s="591" t="s">
        <v>832</v>
      </c>
      <c r="BB5" s="591" t="s">
        <v>831</v>
      </c>
      <c r="BC5" s="591" t="s">
        <v>832</v>
      </c>
      <c r="BD5" s="591" t="s">
        <v>831</v>
      </c>
      <c r="BE5" s="591" t="s">
        <v>832</v>
      </c>
      <c r="BF5" s="591" t="s">
        <v>831</v>
      </c>
      <c r="BG5" s="591" t="s">
        <v>832</v>
      </c>
      <c r="BH5" s="786"/>
    </row>
    <row r="6" spans="1:60" s="188" customFormat="1">
      <c r="A6" s="184">
        <v>2</v>
      </c>
      <c r="B6" s="185" t="s">
        <v>833</v>
      </c>
      <c r="C6" s="186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7"/>
      <c r="BC6" s="187"/>
      <c r="BD6" s="187"/>
      <c r="BE6" s="187"/>
      <c r="BF6" s="187"/>
      <c r="BG6" s="187"/>
      <c r="BH6" s="187"/>
    </row>
    <row r="7" spans="1:60" s="188" customFormat="1">
      <c r="A7" s="189">
        <v>-1</v>
      </c>
      <c r="B7" s="190" t="s">
        <v>834</v>
      </c>
      <c r="C7" s="191">
        <v>110000</v>
      </c>
      <c r="D7" s="192">
        <v>0</v>
      </c>
      <c r="E7" s="192">
        <v>0</v>
      </c>
      <c r="F7" s="192">
        <v>0</v>
      </c>
      <c r="G7" s="192">
        <v>0</v>
      </c>
      <c r="H7" s="192">
        <v>0</v>
      </c>
      <c r="I7" s="192">
        <v>0</v>
      </c>
      <c r="J7" s="192">
        <v>0</v>
      </c>
      <c r="K7" s="192">
        <v>0</v>
      </c>
      <c r="L7" s="192">
        <v>0</v>
      </c>
      <c r="M7" s="192">
        <v>0</v>
      </c>
      <c r="N7" s="192">
        <v>0</v>
      </c>
      <c r="O7" s="192">
        <v>0</v>
      </c>
      <c r="P7" s="192">
        <v>0</v>
      </c>
      <c r="Q7" s="192">
        <v>0</v>
      </c>
      <c r="R7" s="192">
        <v>0</v>
      </c>
      <c r="S7" s="192">
        <v>0</v>
      </c>
      <c r="T7" s="192">
        <v>0</v>
      </c>
      <c r="U7" s="192">
        <v>0</v>
      </c>
      <c r="V7" s="192">
        <v>0</v>
      </c>
      <c r="W7" s="192">
        <v>0</v>
      </c>
      <c r="X7" s="192">
        <v>0</v>
      </c>
      <c r="Y7" s="192">
        <v>0</v>
      </c>
      <c r="Z7" s="192">
        <v>0</v>
      </c>
      <c r="AA7" s="192">
        <v>0</v>
      </c>
      <c r="AB7" s="192">
        <v>0</v>
      </c>
      <c r="AC7" s="192">
        <v>0</v>
      </c>
      <c r="AD7" s="192">
        <v>0</v>
      </c>
      <c r="AE7" s="192">
        <v>0</v>
      </c>
      <c r="AF7" s="193">
        <v>0</v>
      </c>
      <c r="AG7" s="193">
        <v>0</v>
      </c>
      <c r="AH7" s="193">
        <v>0</v>
      </c>
      <c r="AI7" s="193">
        <v>0</v>
      </c>
      <c r="AJ7" s="193">
        <v>0</v>
      </c>
      <c r="AK7" s="193">
        <v>0</v>
      </c>
      <c r="AL7" s="193">
        <v>0</v>
      </c>
      <c r="AM7" s="193">
        <v>0</v>
      </c>
      <c r="AN7" s="193">
        <v>0</v>
      </c>
      <c r="AO7" s="193">
        <v>0</v>
      </c>
      <c r="AP7" s="193">
        <v>0</v>
      </c>
      <c r="AQ7" s="193">
        <v>0</v>
      </c>
      <c r="AR7" s="193">
        <v>0</v>
      </c>
      <c r="AS7" s="193">
        <v>0</v>
      </c>
      <c r="AT7" s="193">
        <v>0</v>
      </c>
      <c r="AU7" s="193">
        <v>0</v>
      </c>
      <c r="AV7" s="193">
        <v>0</v>
      </c>
      <c r="AW7" s="193">
        <v>0</v>
      </c>
      <c r="AX7" s="193">
        <v>0</v>
      </c>
      <c r="AY7" s="193">
        <v>0</v>
      </c>
      <c r="AZ7" s="193">
        <v>0</v>
      </c>
      <c r="BA7" s="193">
        <v>0</v>
      </c>
      <c r="BB7" s="193">
        <v>0</v>
      </c>
      <c r="BC7" s="193">
        <v>0</v>
      </c>
      <c r="BD7" s="193">
        <v>0</v>
      </c>
      <c r="BE7" s="193">
        <v>0</v>
      </c>
      <c r="BF7" s="193">
        <v>0</v>
      </c>
      <c r="BG7" s="193">
        <v>0</v>
      </c>
      <c r="BH7" s="193">
        <v>0</v>
      </c>
    </row>
    <row r="8" spans="1:60" s="188" customFormat="1">
      <c r="A8" s="189">
        <v>-2</v>
      </c>
      <c r="B8" s="190" t="s">
        <v>835</v>
      </c>
      <c r="C8" s="191">
        <v>110000</v>
      </c>
      <c r="D8" s="192">
        <v>0</v>
      </c>
      <c r="E8" s="192">
        <v>0</v>
      </c>
      <c r="F8" s="192">
        <v>0</v>
      </c>
      <c r="G8" s="192">
        <v>0</v>
      </c>
      <c r="H8" s="192">
        <v>0</v>
      </c>
      <c r="I8" s="192">
        <v>0</v>
      </c>
      <c r="J8" s="192">
        <v>0</v>
      </c>
      <c r="K8" s="192">
        <v>0</v>
      </c>
      <c r="L8" s="192">
        <v>0</v>
      </c>
      <c r="M8" s="192">
        <v>0</v>
      </c>
      <c r="N8" s="192">
        <v>0</v>
      </c>
      <c r="O8" s="192">
        <v>0</v>
      </c>
      <c r="P8" s="192">
        <v>0</v>
      </c>
      <c r="Q8" s="192">
        <v>0</v>
      </c>
      <c r="R8" s="192">
        <v>0</v>
      </c>
      <c r="S8" s="192">
        <v>0</v>
      </c>
      <c r="T8" s="192">
        <v>3</v>
      </c>
      <c r="U8" s="192">
        <v>0</v>
      </c>
      <c r="V8" s="192">
        <v>0</v>
      </c>
      <c r="W8" s="192">
        <v>0</v>
      </c>
      <c r="X8" s="192">
        <v>0</v>
      </c>
      <c r="Y8" s="192">
        <v>0</v>
      </c>
      <c r="Z8" s="192">
        <v>0</v>
      </c>
      <c r="AA8" s="192">
        <v>0</v>
      </c>
      <c r="AB8" s="192">
        <v>0</v>
      </c>
      <c r="AC8" s="192">
        <v>0</v>
      </c>
      <c r="AD8" s="192">
        <v>3</v>
      </c>
      <c r="AE8" s="192">
        <v>0</v>
      </c>
      <c r="AF8" s="193">
        <v>0</v>
      </c>
      <c r="AG8" s="193">
        <v>0</v>
      </c>
      <c r="AH8" s="193">
        <v>0</v>
      </c>
      <c r="AI8" s="193">
        <v>0</v>
      </c>
      <c r="AJ8" s="193">
        <v>0</v>
      </c>
      <c r="AK8" s="193">
        <v>0</v>
      </c>
      <c r="AL8" s="193">
        <v>0</v>
      </c>
      <c r="AM8" s="193">
        <v>0</v>
      </c>
      <c r="AN8" s="193">
        <v>0</v>
      </c>
      <c r="AO8" s="193">
        <v>0</v>
      </c>
      <c r="AP8" s="193">
        <v>0</v>
      </c>
      <c r="AQ8" s="193">
        <v>0</v>
      </c>
      <c r="AR8" s="193">
        <v>0</v>
      </c>
      <c r="AS8" s="193">
        <v>0</v>
      </c>
      <c r="AT8" s="193">
        <v>0</v>
      </c>
      <c r="AU8" s="193">
        <v>0</v>
      </c>
      <c r="AV8" s="193">
        <v>330000</v>
      </c>
      <c r="AW8" s="193">
        <v>0</v>
      </c>
      <c r="AX8" s="193">
        <v>0</v>
      </c>
      <c r="AY8" s="193">
        <v>0</v>
      </c>
      <c r="AZ8" s="193">
        <v>0</v>
      </c>
      <c r="BA8" s="193">
        <v>0</v>
      </c>
      <c r="BB8" s="193">
        <v>0</v>
      </c>
      <c r="BC8" s="193">
        <v>0</v>
      </c>
      <c r="BD8" s="193">
        <v>0</v>
      </c>
      <c r="BE8" s="193">
        <v>0</v>
      </c>
      <c r="BF8" s="193">
        <v>330000</v>
      </c>
      <c r="BG8" s="193">
        <v>0</v>
      </c>
      <c r="BH8" s="193">
        <v>330000</v>
      </c>
    </row>
    <row r="9" spans="1:60" s="188" customFormat="1">
      <c r="A9" s="189">
        <v>-3</v>
      </c>
      <c r="B9" s="190" t="s">
        <v>836</v>
      </c>
      <c r="C9" s="191">
        <v>140000</v>
      </c>
      <c r="D9" s="192">
        <v>0</v>
      </c>
      <c r="E9" s="192">
        <v>0</v>
      </c>
      <c r="F9" s="192">
        <v>0</v>
      </c>
      <c r="G9" s="192">
        <v>0</v>
      </c>
      <c r="H9" s="192">
        <v>0</v>
      </c>
      <c r="I9" s="192">
        <v>0</v>
      </c>
      <c r="J9" s="192">
        <v>0</v>
      </c>
      <c r="K9" s="192">
        <v>0</v>
      </c>
      <c r="L9" s="192">
        <v>0</v>
      </c>
      <c r="M9" s="192">
        <v>0</v>
      </c>
      <c r="N9" s="192">
        <v>0</v>
      </c>
      <c r="O9" s="192">
        <v>0</v>
      </c>
      <c r="P9" s="192">
        <v>0</v>
      </c>
      <c r="Q9" s="192">
        <v>0</v>
      </c>
      <c r="R9" s="192">
        <v>0</v>
      </c>
      <c r="S9" s="192">
        <v>0</v>
      </c>
      <c r="T9" s="192">
        <v>0</v>
      </c>
      <c r="U9" s="192">
        <v>0</v>
      </c>
      <c r="V9" s="192">
        <v>0</v>
      </c>
      <c r="W9" s="192">
        <v>0</v>
      </c>
      <c r="X9" s="192">
        <v>0</v>
      </c>
      <c r="Y9" s="192">
        <v>0</v>
      </c>
      <c r="Z9" s="192">
        <v>0</v>
      </c>
      <c r="AA9" s="192">
        <v>0</v>
      </c>
      <c r="AB9" s="192">
        <v>0</v>
      </c>
      <c r="AC9" s="192">
        <v>0</v>
      </c>
      <c r="AD9" s="192">
        <v>0</v>
      </c>
      <c r="AE9" s="192">
        <v>0</v>
      </c>
      <c r="AF9" s="193">
        <v>0</v>
      </c>
      <c r="AG9" s="193">
        <v>0</v>
      </c>
      <c r="AH9" s="193">
        <v>0</v>
      </c>
      <c r="AI9" s="193">
        <v>0</v>
      </c>
      <c r="AJ9" s="193">
        <v>0</v>
      </c>
      <c r="AK9" s="193">
        <v>0</v>
      </c>
      <c r="AL9" s="193">
        <v>0</v>
      </c>
      <c r="AM9" s="193">
        <v>0</v>
      </c>
      <c r="AN9" s="193">
        <v>0</v>
      </c>
      <c r="AO9" s="193">
        <v>0</v>
      </c>
      <c r="AP9" s="193">
        <v>0</v>
      </c>
      <c r="AQ9" s="193">
        <v>0</v>
      </c>
      <c r="AR9" s="193">
        <v>0</v>
      </c>
      <c r="AS9" s="193">
        <v>0</v>
      </c>
      <c r="AT9" s="193">
        <v>0</v>
      </c>
      <c r="AU9" s="193">
        <v>0</v>
      </c>
      <c r="AV9" s="193">
        <v>0</v>
      </c>
      <c r="AW9" s="193">
        <v>0</v>
      </c>
      <c r="AX9" s="193">
        <v>0</v>
      </c>
      <c r="AY9" s="193">
        <v>0</v>
      </c>
      <c r="AZ9" s="193">
        <v>0</v>
      </c>
      <c r="BA9" s="193">
        <v>0</v>
      </c>
      <c r="BB9" s="193">
        <v>0</v>
      </c>
      <c r="BC9" s="193">
        <v>0</v>
      </c>
      <c r="BD9" s="193">
        <v>0</v>
      </c>
      <c r="BE9" s="193">
        <v>0</v>
      </c>
      <c r="BF9" s="193">
        <v>0</v>
      </c>
      <c r="BG9" s="193">
        <v>0</v>
      </c>
      <c r="BH9" s="193">
        <v>0</v>
      </c>
    </row>
    <row r="10" spans="1:60" s="188" customFormat="1">
      <c r="A10" s="189">
        <v>-4</v>
      </c>
      <c r="B10" s="190" t="s">
        <v>837</v>
      </c>
      <c r="C10" s="191">
        <v>1600000</v>
      </c>
      <c r="D10" s="192">
        <v>0</v>
      </c>
      <c r="E10" s="192">
        <v>0</v>
      </c>
      <c r="F10" s="192">
        <v>0</v>
      </c>
      <c r="G10" s="192">
        <v>0</v>
      </c>
      <c r="H10" s="192">
        <v>0</v>
      </c>
      <c r="I10" s="192">
        <v>0</v>
      </c>
      <c r="J10" s="192">
        <v>0</v>
      </c>
      <c r="K10" s="192">
        <v>0</v>
      </c>
      <c r="L10" s="192">
        <v>0</v>
      </c>
      <c r="M10" s="192">
        <v>0</v>
      </c>
      <c r="N10" s="192">
        <v>0</v>
      </c>
      <c r="O10" s="192">
        <v>0</v>
      </c>
      <c r="P10" s="192">
        <v>0</v>
      </c>
      <c r="Q10" s="192">
        <v>0</v>
      </c>
      <c r="R10" s="192">
        <v>0</v>
      </c>
      <c r="S10" s="192">
        <v>0</v>
      </c>
      <c r="T10" s="192">
        <v>0</v>
      </c>
      <c r="U10" s="192">
        <v>0</v>
      </c>
      <c r="V10" s="192">
        <v>0</v>
      </c>
      <c r="W10" s="192">
        <v>0</v>
      </c>
      <c r="X10" s="192">
        <v>0</v>
      </c>
      <c r="Y10" s="192">
        <v>0</v>
      </c>
      <c r="Z10" s="192">
        <v>0</v>
      </c>
      <c r="AA10" s="192">
        <v>0</v>
      </c>
      <c r="AB10" s="192">
        <v>0</v>
      </c>
      <c r="AC10" s="192">
        <v>0</v>
      </c>
      <c r="AD10" s="192">
        <v>0</v>
      </c>
      <c r="AE10" s="192">
        <v>0</v>
      </c>
      <c r="AF10" s="193">
        <v>0</v>
      </c>
      <c r="AG10" s="193">
        <v>0</v>
      </c>
      <c r="AH10" s="193">
        <v>0</v>
      </c>
      <c r="AI10" s="193">
        <v>0</v>
      </c>
      <c r="AJ10" s="193">
        <v>0</v>
      </c>
      <c r="AK10" s="193">
        <v>0</v>
      </c>
      <c r="AL10" s="193">
        <v>0</v>
      </c>
      <c r="AM10" s="193">
        <v>0</v>
      </c>
      <c r="AN10" s="193">
        <v>0</v>
      </c>
      <c r="AO10" s="193">
        <v>0</v>
      </c>
      <c r="AP10" s="193">
        <v>0</v>
      </c>
      <c r="AQ10" s="193">
        <v>0</v>
      </c>
      <c r="AR10" s="193">
        <v>0</v>
      </c>
      <c r="AS10" s="193">
        <v>0</v>
      </c>
      <c r="AT10" s="193">
        <v>0</v>
      </c>
      <c r="AU10" s="193">
        <v>0</v>
      </c>
      <c r="AV10" s="193">
        <v>0</v>
      </c>
      <c r="AW10" s="193">
        <v>0</v>
      </c>
      <c r="AX10" s="193">
        <v>0</v>
      </c>
      <c r="AY10" s="193">
        <v>0</v>
      </c>
      <c r="AZ10" s="193">
        <v>0</v>
      </c>
      <c r="BA10" s="193">
        <v>0</v>
      </c>
      <c r="BB10" s="193">
        <v>0</v>
      </c>
      <c r="BC10" s="193">
        <v>0</v>
      </c>
      <c r="BD10" s="193">
        <v>0</v>
      </c>
      <c r="BE10" s="193">
        <v>0</v>
      </c>
      <c r="BF10" s="193">
        <v>0</v>
      </c>
      <c r="BG10" s="193">
        <v>0</v>
      </c>
      <c r="BH10" s="193">
        <v>0</v>
      </c>
    </row>
    <row r="11" spans="1:60" s="188" customFormat="1">
      <c r="A11" s="189">
        <v>-5</v>
      </c>
      <c r="B11" s="190" t="s">
        <v>838</v>
      </c>
      <c r="C11" s="191">
        <v>2100000</v>
      </c>
      <c r="D11" s="192">
        <v>0</v>
      </c>
      <c r="E11" s="192">
        <v>0</v>
      </c>
      <c r="F11" s="192">
        <v>0</v>
      </c>
      <c r="G11" s="192">
        <v>0</v>
      </c>
      <c r="H11" s="192">
        <v>0</v>
      </c>
      <c r="I11" s="192">
        <v>0</v>
      </c>
      <c r="J11" s="192">
        <v>0</v>
      </c>
      <c r="K11" s="192">
        <v>0</v>
      </c>
      <c r="L11" s="192">
        <v>0</v>
      </c>
      <c r="M11" s="192">
        <v>0</v>
      </c>
      <c r="N11" s="192">
        <v>0</v>
      </c>
      <c r="O11" s="192">
        <v>0</v>
      </c>
      <c r="P11" s="192">
        <v>0</v>
      </c>
      <c r="Q11" s="192">
        <v>0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92">
        <v>0</v>
      </c>
      <c r="AC11" s="192">
        <v>0</v>
      </c>
      <c r="AD11" s="192">
        <v>0</v>
      </c>
      <c r="AE11" s="192">
        <v>0</v>
      </c>
      <c r="AF11" s="193">
        <v>0</v>
      </c>
      <c r="AG11" s="193">
        <v>0</v>
      </c>
      <c r="AH11" s="193">
        <v>0</v>
      </c>
      <c r="AI11" s="193">
        <v>0</v>
      </c>
      <c r="AJ11" s="193">
        <v>0</v>
      </c>
      <c r="AK11" s="193">
        <v>0</v>
      </c>
      <c r="AL11" s="193">
        <v>0</v>
      </c>
      <c r="AM11" s="193">
        <v>0</v>
      </c>
      <c r="AN11" s="193">
        <v>0</v>
      </c>
      <c r="AO11" s="193">
        <v>0</v>
      </c>
      <c r="AP11" s="193">
        <v>0</v>
      </c>
      <c r="AQ11" s="193">
        <v>0</v>
      </c>
      <c r="AR11" s="193">
        <v>0</v>
      </c>
      <c r="AS11" s="193">
        <v>0</v>
      </c>
      <c r="AT11" s="193">
        <v>0</v>
      </c>
      <c r="AU11" s="193">
        <v>0</v>
      </c>
      <c r="AV11" s="193">
        <v>0</v>
      </c>
      <c r="AW11" s="193">
        <v>0</v>
      </c>
      <c r="AX11" s="193">
        <v>0</v>
      </c>
      <c r="AY11" s="193">
        <v>0</v>
      </c>
      <c r="AZ11" s="193">
        <v>0</v>
      </c>
      <c r="BA11" s="193">
        <v>0</v>
      </c>
      <c r="BB11" s="193">
        <v>0</v>
      </c>
      <c r="BC11" s="193">
        <v>0</v>
      </c>
      <c r="BD11" s="193">
        <v>0</v>
      </c>
      <c r="BE11" s="193">
        <v>0</v>
      </c>
      <c r="BF11" s="193">
        <v>0</v>
      </c>
      <c r="BG11" s="193">
        <v>0</v>
      </c>
      <c r="BH11" s="193">
        <v>0</v>
      </c>
    </row>
    <row r="12" spans="1:60" s="188" customFormat="1">
      <c r="A12" s="189">
        <v>-6</v>
      </c>
      <c r="B12" s="190" t="s">
        <v>839</v>
      </c>
      <c r="C12" s="191">
        <v>110000</v>
      </c>
      <c r="D12" s="192">
        <v>0</v>
      </c>
      <c r="E12" s="192">
        <v>0</v>
      </c>
      <c r="F12" s="192">
        <v>0</v>
      </c>
      <c r="G12" s="192">
        <v>0</v>
      </c>
      <c r="H12" s="192">
        <v>0</v>
      </c>
      <c r="I12" s="192">
        <v>0</v>
      </c>
      <c r="J12" s="192">
        <v>0</v>
      </c>
      <c r="K12" s="192">
        <v>0</v>
      </c>
      <c r="L12" s="192">
        <v>0</v>
      </c>
      <c r="M12" s="192">
        <v>0</v>
      </c>
      <c r="N12" s="192">
        <v>0</v>
      </c>
      <c r="O12" s="192">
        <v>0</v>
      </c>
      <c r="P12" s="192">
        <v>0</v>
      </c>
      <c r="Q12" s="192">
        <v>0</v>
      </c>
      <c r="R12" s="192">
        <v>0</v>
      </c>
      <c r="S12" s="192">
        <v>0</v>
      </c>
      <c r="T12" s="192">
        <v>0</v>
      </c>
      <c r="U12" s="192">
        <v>0</v>
      </c>
      <c r="V12" s="192">
        <v>0</v>
      </c>
      <c r="W12" s="192">
        <v>0</v>
      </c>
      <c r="X12" s="192">
        <v>0</v>
      </c>
      <c r="Y12" s="192">
        <v>0</v>
      </c>
      <c r="Z12" s="192">
        <v>0</v>
      </c>
      <c r="AA12" s="192">
        <v>0</v>
      </c>
      <c r="AB12" s="192">
        <v>0</v>
      </c>
      <c r="AC12" s="192">
        <v>0</v>
      </c>
      <c r="AD12" s="192">
        <v>0</v>
      </c>
      <c r="AE12" s="192">
        <v>0</v>
      </c>
      <c r="AF12" s="193">
        <v>0</v>
      </c>
      <c r="AG12" s="193">
        <v>0</v>
      </c>
      <c r="AH12" s="193">
        <v>0</v>
      </c>
      <c r="AI12" s="193">
        <v>0</v>
      </c>
      <c r="AJ12" s="193">
        <v>0</v>
      </c>
      <c r="AK12" s="193">
        <v>0</v>
      </c>
      <c r="AL12" s="193">
        <v>0</v>
      </c>
      <c r="AM12" s="193">
        <v>0</v>
      </c>
      <c r="AN12" s="193">
        <v>0</v>
      </c>
      <c r="AO12" s="193">
        <v>0</v>
      </c>
      <c r="AP12" s="193">
        <v>0</v>
      </c>
      <c r="AQ12" s="193">
        <v>0</v>
      </c>
      <c r="AR12" s="193">
        <v>0</v>
      </c>
      <c r="AS12" s="193">
        <v>0</v>
      </c>
      <c r="AT12" s="193">
        <v>0</v>
      </c>
      <c r="AU12" s="193">
        <v>0</v>
      </c>
      <c r="AV12" s="193">
        <v>0</v>
      </c>
      <c r="AW12" s="193">
        <v>0</v>
      </c>
      <c r="AX12" s="193">
        <v>0</v>
      </c>
      <c r="AY12" s="193">
        <v>0</v>
      </c>
      <c r="AZ12" s="193">
        <v>0</v>
      </c>
      <c r="BA12" s="193">
        <v>0</v>
      </c>
      <c r="BB12" s="193">
        <v>0</v>
      </c>
      <c r="BC12" s="193">
        <v>0</v>
      </c>
      <c r="BD12" s="193">
        <v>0</v>
      </c>
      <c r="BE12" s="193">
        <v>0</v>
      </c>
      <c r="BF12" s="193">
        <v>0</v>
      </c>
      <c r="BG12" s="193">
        <v>0</v>
      </c>
      <c r="BH12" s="193">
        <v>0</v>
      </c>
    </row>
    <row r="13" spans="1:60" s="188" customFormat="1">
      <c r="A13" s="189">
        <v>-7</v>
      </c>
      <c r="B13" s="194" t="s">
        <v>840</v>
      </c>
      <c r="C13" s="191">
        <v>135000</v>
      </c>
      <c r="D13" s="192">
        <v>0</v>
      </c>
      <c r="E13" s="192">
        <v>0</v>
      </c>
      <c r="F13" s="192">
        <v>0</v>
      </c>
      <c r="G13" s="192">
        <v>0</v>
      </c>
      <c r="H13" s="192">
        <v>0</v>
      </c>
      <c r="I13" s="192">
        <v>0</v>
      </c>
      <c r="J13" s="192">
        <v>0</v>
      </c>
      <c r="K13" s="192">
        <v>0</v>
      </c>
      <c r="L13" s="192">
        <v>0</v>
      </c>
      <c r="M13" s="192">
        <v>0</v>
      </c>
      <c r="N13" s="192">
        <v>0</v>
      </c>
      <c r="O13" s="192">
        <v>0</v>
      </c>
      <c r="P13" s="192">
        <v>0</v>
      </c>
      <c r="Q13" s="192">
        <v>0</v>
      </c>
      <c r="R13" s="192">
        <v>0</v>
      </c>
      <c r="S13" s="192">
        <v>0</v>
      </c>
      <c r="T13" s="192">
        <v>0</v>
      </c>
      <c r="U13" s="192">
        <v>0</v>
      </c>
      <c r="V13" s="192">
        <v>0</v>
      </c>
      <c r="W13" s="192">
        <v>0</v>
      </c>
      <c r="X13" s="192">
        <v>0</v>
      </c>
      <c r="Y13" s="192">
        <v>0</v>
      </c>
      <c r="Z13" s="192">
        <v>0</v>
      </c>
      <c r="AA13" s="192">
        <v>0</v>
      </c>
      <c r="AB13" s="192">
        <v>0</v>
      </c>
      <c r="AC13" s="192">
        <v>0</v>
      </c>
      <c r="AD13" s="192">
        <v>0</v>
      </c>
      <c r="AE13" s="192">
        <v>0</v>
      </c>
      <c r="AF13" s="193">
        <v>0</v>
      </c>
      <c r="AG13" s="193">
        <v>0</v>
      </c>
      <c r="AH13" s="193">
        <v>0</v>
      </c>
      <c r="AI13" s="193">
        <v>0</v>
      </c>
      <c r="AJ13" s="193">
        <v>0</v>
      </c>
      <c r="AK13" s="193">
        <v>0</v>
      </c>
      <c r="AL13" s="193">
        <v>0</v>
      </c>
      <c r="AM13" s="193">
        <v>0</v>
      </c>
      <c r="AN13" s="193">
        <v>0</v>
      </c>
      <c r="AO13" s="193">
        <v>0</v>
      </c>
      <c r="AP13" s="193">
        <v>0</v>
      </c>
      <c r="AQ13" s="193">
        <v>0</v>
      </c>
      <c r="AR13" s="193">
        <v>0</v>
      </c>
      <c r="AS13" s="193">
        <v>0</v>
      </c>
      <c r="AT13" s="193">
        <v>0</v>
      </c>
      <c r="AU13" s="193">
        <v>0</v>
      </c>
      <c r="AV13" s="193">
        <v>0</v>
      </c>
      <c r="AW13" s="193">
        <v>0</v>
      </c>
      <c r="AX13" s="193">
        <v>0</v>
      </c>
      <c r="AY13" s="193">
        <v>0</v>
      </c>
      <c r="AZ13" s="193">
        <v>0</v>
      </c>
      <c r="BA13" s="193">
        <v>0</v>
      </c>
      <c r="BB13" s="193">
        <v>0</v>
      </c>
      <c r="BC13" s="193">
        <v>0</v>
      </c>
      <c r="BD13" s="193">
        <v>0</v>
      </c>
      <c r="BE13" s="193">
        <v>0</v>
      </c>
      <c r="BF13" s="193">
        <v>0</v>
      </c>
      <c r="BG13" s="193">
        <v>0</v>
      </c>
      <c r="BH13" s="193">
        <v>0</v>
      </c>
    </row>
    <row r="14" spans="1:60" s="188" customFormat="1">
      <c r="A14" s="189">
        <v>-8</v>
      </c>
      <c r="B14" s="190" t="s">
        <v>841</v>
      </c>
      <c r="C14" s="191">
        <v>165000</v>
      </c>
      <c r="D14" s="192">
        <v>0</v>
      </c>
      <c r="E14" s="192">
        <v>0</v>
      </c>
      <c r="F14" s="192">
        <v>0</v>
      </c>
      <c r="G14" s="192">
        <v>0</v>
      </c>
      <c r="H14" s="192">
        <v>0</v>
      </c>
      <c r="I14" s="192">
        <v>0</v>
      </c>
      <c r="J14" s="192">
        <v>0</v>
      </c>
      <c r="K14" s="192">
        <v>0</v>
      </c>
      <c r="L14" s="192">
        <v>0</v>
      </c>
      <c r="M14" s="192">
        <v>0</v>
      </c>
      <c r="N14" s="192">
        <v>0</v>
      </c>
      <c r="O14" s="192">
        <v>0</v>
      </c>
      <c r="P14" s="192">
        <v>0</v>
      </c>
      <c r="Q14" s="192">
        <v>0</v>
      </c>
      <c r="R14" s="192">
        <v>0</v>
      </c>
      <c r="S14" s="192">
        <v>0</v>
      </c>
      <c r="T14" s="192">
        <v>0</v>
      </c>
      <c r="U14" s="192">
        <v>0</v>
      </c>
      <c r="V14" s="192">
        <v>1</v>
      </c>
      <c r="W14" s="192">
        <v>0</v>
      </c>
      <c r="X14" s="192">
        <v>0</v>
      </c>
      <c r="Y14" s="192">
        <v>0</v>
      </c>
      <c r="Z14" s="192">
        <v>0</v>
      </c>
      <c r="AA14" s="192">
        <v>0</v>
      </c>
      <c r="AB14" s="192">
        <v>0</v>
      </c>
      <c r="AC14" s="192">
        <v>0</v>
      </c>
      <c r="AD14" s="192">
        <v>1</v>
      </c>
      <c r="AE14" s="192">
        <v>0</v>
      </c>
      <c r="AF14" s="193">
        <v>0</v>
      </c>
      <c r="AG14" s="193">
        <v>0</v>
      </c>
      <c r="AH14" s="193">
        <v>0</v>
      </c>
      <c r="AI14" s="193">
        <v>0</v>
      </c>
      <c r="AJ14" s="193">
        <v>0</v>
      </c>
      <c r="AK14" s="193">
        <v>0</v>
      </c>
      <c r="AL14" s="193">
        <v>0</v>
      </c>
      <c r="AM14" s="193">
        <v>0</v>
      </c>
      <c r="AN14" s="193">
        <v>0</v>
      </c>
      <c r="AO14" s="193">
        <v>0</v>
      </c>
      <c r="AP14" s="193">
        <v>0</v>
      </c>
      <c r="AQ14" s="193">
        <v>0</v>
      </c>
      <c r="AR14" s="193">
        <v>0</v>
      </c>
      <c r="AS14" s="193">
        <v>0</v>
      </c>
      <c r="AT14" s="193">
        <v>0</v>
      </c>
      <c r="AU14" s="193">
        <v>0</v>
      </c>
      <c r="AV14" s="193">
        <v>0</v>
      </c>
      <c r="AW14" s="193">
        <v>0</v>
      </c>
      <c r="AX14" s="193">
        <v>165000</v>
      </c>
      <c r="AY14" s="193">
        <v>0</v>
      </c>
      <c r="AZ14" s="193">
        <v>0</v>
      </c>
      <c r="BA14" s="193">
        <v>0</v>
      </c>
      <c r="BB14" s="193">
        <v>0</v>
      </c>
      <c r="BC14" s="193">
        <v>0</v>
      </c>
      <c r="BD14" s="193">
        <v>0</v>
      </c>
      <c r="BE14" s="193">
        <v>0</v>
      </c>
      <c r="BF14" s="193">
        <v>165000</v>
      </c>
      <c r="BG14" s="193">
        <v>0</v>
      </c>
      <c r="BH14" s="193">
        <v>165000</v>
      </c>
    </row>
    <row r="15" spans="1:60" s="188" customFormat="1">
      <c r="A15" s="189">
        <v>-9</v>
      </c>
      <c r="B15" s="194" t="s">
        <v>842</v>
      </c>
      <c r="C15" s="191">
        <v>165000</v>
      </c>
      <c r="D15" s="192">
        <v>0</v>
      </c>
      <c r="E15" s="192">
        <v>0</v>
      </c>
      <c r="F15" s="192">
        <v>0</v>
      </c>
      <c r="G15" s="192">
        <v>0</v>
      </c>
      <c r="H15" s="192">
        <v>0</v>
      </c>
      <c r="I15" s="192">
        <v>0</v>
      </c>
      <c r="J15" s="192">
        <v>0</v>
      </c>
      <c r="K15" s="192">
        <v>0</v>
      </c>
      <c r="L15" s="192">
        <v>0</v>
      </c>
      <c r="M15" s="192">
        <v>0</v>
      </c>
      <c r="N15" s="192">
        <v>0</v>
      </c>
      <c r="O15" s="192">
        <v>0</v>
      </c>
      <c r="P15" s="192">
        <v>0</v>
      </c>
      <c r="Q15" s="192">
        <v>0</v>
      </c>
      <c r="R15" s="192">
        <v>0</v>
      </c>
      <c r="S15" s="192">
        <v>0</v>
      </c>
      <c r="T15" s="192">
        <v>0</v>
      </c>
      <c r="U15" s="192">
        <v>0</v>
      </c>
      <c r="V15" s="192">
        <v>1</v>
      </c>
      <c r="W15" s="192">
        <v>0</v>
      </c>
      <c r="X15" s="192">
        <v>0</v>
      </c>
      <c r="Y15" s="192">
        <v>0</v>
      </c>
      <c r="Z15" s="192">
        <v>0</v>
      </c>
      <c r="AA15" s="192">
        <v>0</v>
      </c>
      <c r="AB15" s="192">
        <v>0</v>
      </c>
      <c r="AC15" s="192">
        <v>0</v>
      </c>
      <c r="AD15" s="192">
        <v>1</v>
      </c>
      <c r="AE15" s="192">
        <v>0</v>
      </c>
      <c r="AF15" s="193">
        <v>0</v>
      </c>
      <c r="AG15" s="193">
        <v>0</v>
      </c>
      <c r="AH15" s="193">
        <v>0</v>
      </c>
      <c r="AI15" s="193">
        <v>0</v>
      </c>
      <c r="AJ15" s="193">
        <v>0</v>
      </c>
      <c r="AK15" s="193">
        <v>0</v>
      </c>
      <c r="AL15" s="193">
        <v>0</v>
      </c>
      <c r="AM15" s="193">
        <v>0</v>
      </c>
      <c r="AN15" s="193">
        <v>0</v>
      </c>
      <c r="AO15" s="193">
        <v>0</v>
      </c>
      <c r="AP15" s="193">
        <v>0</v>
      </c>
      <c r="AQ15" s="193">
        <v>0</v>
      </c>
      <c r="AR15" s="193">
        <v>0</v>
      </c>
      <c r="AS15" s="193">
        <v>0</v>
      </c>
      <c r="AT15" s="193">
        <v>0</v>
      </c>
      <c r="AU15" s="193">
        <v>0</v>
      </c>
      <c r="AV15" s="193">
        <v>0</v>
      </c>
      <c r="AW15" s="193">
        <v>0</v>
      </c>
      <c r="AX15" s="193">
        <v>165000</v>
      </c>
      <c r="AY15" s="193">
        <v>0</v>
      </c>
      <c r="AZ15" s="193">
        <v>0</v>
      </c>
      <c r="BA15" s="193">
        <v>0</v>
      </c>
      <c r="BB15" s="193">
        <v>0</v>
      </c>
      <c r="BC15" s="193">
        <v>0</v>
      </c>
      <c r="BD15" s="193">
        <v>0</v>
      </c>
      <c r="BE15" s="193">
        <v>0</v>
      </c>
      <c r="BF15" s="193">
        <v>165000</v>
      </c>
      <c r="BG15" s="193">
        <v>0</v>
      </c>
      <c r="BH15" s="193">
        <v>165000</v>
      </c>
    </row>
    <row r="16" spans="1:60" s="188" customFormat="1">
      <c r="A16" s="189">
        <v>-10</v>
      </c>
      <c r="B16" s="190" t="s">
        <v>843</v>
      </c>
      <c r="C16" s="191">
        <v>170000</v>
      </c>
      <c r="D16" s="192">
        <v>0</v>
      </c>
      <c r="E16" s="192">
        <v>0</v>
      </c>
      <c r="F16" s="192"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2">
        <v>0</v>
      </c>
      <c r="M16" s="192">
        <v>0</v>
      </c>
      <c r="N16" s="192">
        <v>0</v>
      </c>
      <c r="O16" s="192">
        <v>0</v>
      </c>
      <c r="P16" s="192">
        <v>0</v>
      </c>
      <c r="Q16" s="192">
        <v>0</v>
      </c>
      <c r="R16" s="192">
        <v>0</v>
      </c>
      <c r="S16" s="192">
        <v>0</v>
      </c>
      <c r="T16" s="192">
        <v>0</v>
      </c>
      <c r="U16" s="192">
        <v>0</v>
      </c>
      <c r="V16" s="192">
        <v>0</v>
      </c>
      <c r="W16" s="192">
        <v>0</v>
      </c>
      <c r="X16" s="192">
        <v>0</v>
      </c>
      <c r="Y16" s="192">
        <v>0</v>
      </c>
      <c r="Z16" s="192">
        <v>0</v>
      </c>
      <c r="AA16" s="192">
        <v>0</v>
      </c>
      <c r="AB16" s="192">
        <v>0</v>
      </c>
      <c r="AC16" s="192">
        <v>0</v>
      </c>
      <c r="AD16" s="192">
        <v>0</v>
      </c>
      <c r="AE16" s="192">
        <v>0</v>
      </c>
      <c r="AF16" s="193">
        <v>0</v>
      </c>
      <c r="AG16" s="193">
        <v>0</v>
      </c>
      <c r="AH16" s="193">
        <v>0</v>
      </c>
      <c r="AI16" s="193">
        <v>0</v>
      </c>
      <c r="AJ16" s="193">
        <v>0</v>
      </c>
      <c r="AK16" s="193">
        <v>0</v>
      </c>
      <c r="AL16" s="193">
        <v>0</v>
      </c>
      <c r="AM16" s="193">
        <v>0</v>
      </c>
      <c r="AN16" s="193">
        <v>0</v>
      </c>
      <c r="AO16" s="193">
        <v>0</v>
      </c>
      <c r="AP16" s="193">
        <v>0</v>
      </c>
      <c r="AQ16" s="193">
        <v>0</v>
      </c>
      <c r="AR16" s="193">
        <v>0</v>
      </c>
      <c r="AS16" s="193">
        <v>0</v>
      </c>
      <c r="AT16" s="193">
        <v>0</v>
      </c>
      <c r="AU16" s="193">
        <v>0</v>
      </c>
      <c r="AV16" s="193">
        <v>0</v>
      </c>
      <c r="AW16" s="193">
        <v>0</v>
      </c>
      <c r="AX16" s="193">
        <v>0</v>
      </c>
      <c r="AY16" s="193">
        <v>0</v>
      </c>
      <c r="AZ16" s="193">
        <v>0</v>
      </c>
      <c r="BA16" s="193">
        <v>0</v>
      </c>
      <c r="BB16" s="193">
        <v>0</v>
      </c>
      <c r="BC16" s="193">
        <v>0</v>
      </c>
      <c r="BD16" s="193">
        <v>0</v>
      </c>
      <c r="BE16" s="193">
        <v>0</v>
      </c>
      <c r="BF16" s="193">
        <v>0</v>
      </c>
      <c r="BG16" s="193">
        <v>0</v>
      </c>
      <c r="BH16" s="193">
        <v>0</v>
      </c>
    </row>
    <row r="17" spans="1:60" s="188" customFormat="1">
      <c r="A17" s="189">
        <v>-11</v>
      </c>
      <c r="B17" s="190" t="s">
        <v>844</v>
      </c>
      <c r="C17" s="191">
        <v>190000</v>
      </c>
      <c r="D17" s="192">
        <v>0</v>
      </c>
      <c r="E17" s="192">
        <v>0</v>
      </c>
      <c r="F17" s="192">
        <v>0</v>
      </c>
      <c r="G17" s="192">
        <v>0</v>
      </c>
      <c r="H17" s="192">
        <v>0</v>
      </c>
      <c r="I17" s="192">
        <v>0</v>
      </c>
      <c r="J17" s="192">
        <v>0</v>
      </c>
      <c r="K17" s="192">
        <v>0</v>
      </c>
      <c r="L17" s="192">
        <v>0</v>
      </c>
      <c r="M17" s="192">
        <v>0</v>
      </c>
      <c r="N17" s="192">
        <v>0</v>
      </c>
      <c r="O17" s="192">
        <v>0</v>
      </c>
      <c r="P17" s="192">
        <v>0</v>
      </c>
      <c r="Q17" s="192">
        <v>0</v>
      </c>
      <c r="R17" s="192">
        <v>0</v>
      </c>
      <c r="S17" s="192">
        <v>0</v>
      </c>
      <c r="T17" s="192">
        <v>0</v>
      </c>
      <c r="U17" s="192">
        <v>0</v>
      </c>
      <c r="V17" s="192">
        <v>0</v>
      </c>
      <c r="W17" s="192">
        <v>0</v>
      </c>
      <c r="X17" s="192">
        <v>0</v>
      </c>
      <c r="Y17" s="192">
        <v>0</v>
      </c>
      <c r="Z17" s="192">
        <v>0</v>
      </c>
      <c r="AA17" s="192">
        <v>0</v>
      </c>
      <c r="AB17" s="192">
        <v>0</v>
      </c>
      <c r="AC17" s="192">
        <v>0</v>
      </c>
      <c r="AD17" s="192">
        <v>0</v>
      </c>
      <c r="AE17" s="192">
        <v>0</v>
      </c>
      <c r="AF17" s="193">
        <v>0</v>
      </c>
      <c r="AG17" s="193">
        <v>0</v>
      </c>
      <c r="AH17" s="193">
        <v>0</v>
      </c>
      <c r="AI17" s="193">
        <v>0</v>
      </c>
      <c r="AJ17" s="193">
        <v>0</v>
      </c>
      <c r="AK17" s="193">
        <v>0</v>
      </c>
      <c r="AL17" s="193">
        <v>0</v>
      </c>
      <c r="AM17" s="193">
        <v>0</v>
      </c>
      <c r="AN17" s="193">
        <v>0</v>
      </c>
      <c r="AO17" s="193">
        <v>0</v>
      </c>
      <c r="AP17" s="193">
        <v>0</v>
      </c>
      <c r="AQ17" s="193">
        <v>0</v>
      </c>
      <c r="AR17" s="193">
        <v>0</v>
      </c>
      <c r="AS17" s="193">
        <v>0</v>
      </c>
      <c r="AT17" s="193">
        <v>0</v>
      </c>
      <c r="AU17" s="193">
        <v>0</v>
      </c>
      <c r="AV17" s="193">
        <v>0</v>
      </c>
      <c r="AW17" s="193">
        <v>0</v>
      </c>
      <c r="AX17" s="193">
        <v>0</v>
      </c>
      <c r="AY17" s="193">
        <v>0</v>
      </c>
      <c r="AZ17" s="193">
        <v>0</v>
      </c>
      <c r="BA17" s="193">
        <v>0</v>
      </c>
      <c r="BB17" s="193">
        <v>0</v>
      </c>
      <c r="BC17" s="193">
        <v>0</v>
      </c>
      <c r="BD17" s="193">
        <v>0</v>
      </c>
      <c r="BE17" s="193">
        <v>0</v>
      </c>
      <c r="BF17" s="193">
        <v>0</v>
      </c>
      <c r="BG17" s="193">
        <v>0</v>
      </c>
      <c r="BH17" s="193">
        <v>0</v>
      </c>
    </row>
    <row r="18" spans="1:60" s="188" customFormat="1">
      <c r="A18" s="189">
        <v>-12</v>
      </c>
      <c r="B18" s="190" t="s">
        <v>845</v>
      </c>
      <c r="C18" s="191">
        <v>200000</v>
      </c>
      <c r="D18" s="192">
        <v>0</v>
      </c>
      <c r="E18" s="192">
        <v>0</v>
      </c>
      <c r="F18" s="192"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2">
        <v>0</v>
      </c>
      <c r="M18" s="192">
        <v>0</v>
      </c>
      <c r="N18" s="192">
        <v>0</v>
      </c>
      <c r="O18" s="192">
        <v>0</v>
      </c>
      <c r="P18" s="192">
        <v>0</v>
      </c>
      <c r="Q18" s="192">
        <v>0</v>
      </c>
      <c r="R18" s="192">
        <v>0</v>
      </c>
      <c r="S18" s="192">
        <v>0</v>
      </c>
      <c r="T18" s="192">
        <v>0</v>
      </c>
      <c r="U18" s="192">
        <v>0</v>
      </c>
      <c r="V18" s="192">
        <v>1</v>
      </c>
      <c r="W18" s="192">
        <v>0</v>
      </c>
      <c r="X18" s="192">
        <v>0</v>
      </c>
      <c r="Y18" s="192">
        <v>0</v>
      </c>
      <c r="Z18" s="192">
        <v>0</v>
      </c>
      <c r="AA18" s="192">
        <v>0</v>
      </c>
      <c r="AB18" s="192">
        <v>0</v>
      </c>
      <c r="AC18" s="192">
        <v>0</v>
      </c>
      <c r="AD18" s="192">
        <v>1</v>
      </c>
      <c r="AE18" s="192">
        <v>0</v>
      </c>
      <c r="AF18" s="193">
        <v>0</v>
      </c>
      <c r="AG18" s="193">
        <v>0</v>
      </c>
      <c r="AH18" s="193">
        <v>0</v>
      </c>
      <c r="AI18" s="193">
        <v>0</v>
      </c>
      <c r="AJ18" s="193">
        <v>0</v>
      </c>
      <c r="AK18" s="193">
        <v>0</v>
      </c>
      <c r="AL18" s="193">
        <v>0</v>
      </c>
      <c r="AM18" s="193">
        <v>0</v>
      </c>
      <c r="AN18" s="193">
        <v>0</v>
      </c>
      <c r="AO18" s="193">
        <v>0</v>
      </c>
      <c r="AP18" s="193">
        <v>0</v>
      </c>
      <c r="AQ18" s="193">
        <v>0</v>
      </c>
      <c r="AR18" s="193">
        <v>0</v>
      </c>
      <c r="AS18" s="193">
        <v>0</v>
      </c>
      <c r="AT18" s="193">
        <v>0</v>
      </c>
      <c r="AU18" s="193">
        <v>0</v>
      </c>
      <c r="AV18" s="193">
        <v>0</v>
      </c>
      <c r="AW18" s="193">
        <v>0</v>
      </c>
      <c r="AX18" s="193">
        <v>200000</v>
      </c>
      <c r="AY18" s="193">
        <v>0</v>
      </c>
      <c r="AZ18" s="193">
        <v>0</v>
      </c>
      <c r="BA18" s="193">
        <v>0</v>
      </c>
      <c r="BB18" s="193">
        <v>0</v>
      </c>
      <c r="BC18" s="193">
        <v>0</v>
      </c>
      <c r="BD18" s="193">
        <v>0</v>
      </c>
      <c r="BE18" s="193">
        <v>0</v>
      </c>
      <c r="BF18" s="193">
        <v>200000</v>
      </c>
      <c r="BG18" s="193">
        <v>0</v>
      </c>
      <c r="BH18" s="193">
        <v>200000</v>
      </c>
    </row>
    <row r="19" spans="1:60" s="188" customFormat="1">
      <c r="A19" s="189">
        <v>-13</v>
      </c>
      <c r="B19" s="190" t="s">
        <v>846</v>
      </c>
      <c r="C19" s="191">
        <v>210000</v>
      </c>
      <c r="D19" s="192">
        <v>0</v>
      </c>
      <c r="E19" s="192">
        <v>0</v>
      </c>
      <c r="F19" s="192"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2">
        <v>0</v>
      </c>
      <c r="M19" s="192">
        <v>0</v>
      </c>
      <c r="N19" s="192">
        <v>0</v>
      </c>
      <c r="O19" s="192">
        <v>0</v>
      </c>
      <c r="P19" s="192">
        <v>0</v>
      </c>
      <c r="Q19" s="192">
        <v>0</v>
      </c>
      <c r="R19" s="192">
        <v>0</v>
      </c>
      <c r="S19" s="192">
        <v>0</v>
      </c>
      <c r="T19" s="192">
        <v>0</v>
      </c>
      <c r="U19" s="192">
        <v>0</v>
      </c>
      <c r="V19" s="192">
        <v>1</v>
      </c>
      <c r="W19" s="192">
        <v>0</v>
      </c>
      <c r="X19" s="192">
        <v>0</v>
      </c>
      <c r="Y19" s="192">
        <v>0</v>
      </c>
      <c r="Z19" s="192">
        <v>0</v>
      </c>
      <c r="AA19" s="192">
        <v>0</v>
      </c>
      <c r="AB19" s="192">
        <v>0</v>
      </c>
      <c r="AC19" s="192">
        <v>0</v>
      </c>
      <c r="AD19" s="192">
        <v>1</v>
      </c>
      <c r="AE19" s="192">
        <v>0</v>
      </c>
      <c r="AF19" s="193">
        <v>0</v>
      </c>
      <c r="AG19" s="193">
        <v>0</v>
      </c>
      <c r="AH19" s="193">
        <v>0</v>
      </c>
      <c r="AI19" s="193">
        <v>0</v>
      </c>
      <c r="AJ19" s="193">
        <v>0</v>
      </c>
      <c r="AK19" s="193">
        <v>0</v>
      </c>
      <c r="AL19" s="193">
        <v>0</v>
      </c>
      <c r="AM19" s="193">
        <v>0</v>
      </c>
      <c r="AN19" s="193">
        <v>0</v>
      </c>
      <c r="AO19" s="193">
        <v>0</v>
      </c>
      <c r="AP19" s="193">
        <v>0</v>
      </c>
      <c r="AQ19" s="193">
        <v>0</v>
      </c>
      <c r="AR19" s="193">
        <v>0</v>
      </c>
      <c r="AS19" s="193">
        <v>0</v>
      </c>
      <c r="AT19" s="193">
        <v>0</v>
      </c>
      <c r="AU19" s="193">
        <v>0</v>
      </c>
      <c r="AV19" s="193">
        <v>0</v>
      </c>
      <c r="AW19" s="193">
        <v>0</v>
      </c>
      <c r="AX19" s="193">
        <v>210000</v>
      </c>
      <c r="AY19" s="193">
        <v>0</v>
      </c>
      <c r="AZ19" s="193">
        <v>0</v>
      </c>
      <c r="BA19" s="193">
        <v>0</v>
      </c>
      <c r="BB19" s="193">
        <v>0</v>
      </c>
      <c r="BC19" s="193">
        <v>0</v>
      </c>
      <c r="BD19" s="193">
        <v>0</v>
      </c>
      <c r="BE19" s="193">
        <v>0</v>
      </c>
      <c r="BF19" s="193">
        <v>210000</v>
      </c>
      <c r="BG19" s="193">
        <v>0</v>
      </c>
      <c r="BH19" s="193">
        <v>210000</v>
      </c>
    </row>
    <row r="20" spans="1:60" s="188" customFormat="1">
      <c r="A20" s="189">
        <v>-14</v>
      </c>
      <c r="B20" s="190" t="s">
        <v>847</v>
      </c>
      <c r="C20" s="191">
        <v>220000</v>
      </c>
      <c r="D20" s="192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92">
        <v>0</v>
      </c>
      <c r="N20" s="192">
        <v>0</v>
      </c>
      <c r="O20" s="192">
        <v>0</v>
      </c>
      <c r="P20" s="192">
        <v>0</v>
      </c>
      <c r="Q20" s="192">
        <v>0</v>
      </c>
      <c r="R20" s="192">
        <v>0</v>
      </c>
      <c r="S20" s="192">
        <v>0</v>
      </c>
      <c r="T20" s="192">
        <v>0</v>
      </c>
      <c r="U20" s="192">
        <v>0</v>
      </c>
      <c r="V20" s="192">
        <v>1</v>
      </c>
      <c r="W20" s="192">
        <v>0</v>
      </c>
      <c r="X20" s="192">
        <v>0</v>
      </c>
      <c r="Y20" s="192">
        <v>0</v>
      </c>
      <c r="Z20" s="192">
        <v>0</v>
      </c>
      <c r="AA20" s="192">
        <v>0</v>
      </c>
      <c r="AB20" s="192">
        <v>0</v>
      </c>
      <c r="AC20" s="192">
        <v>0</v>
      </c>
      <c r="AD20" s="192">
        <v>1</v>
      </c>
      <c r="AE20" s="192">
        <v>0</v>
      </c>
      <c r="AF20" s="193">
        <v>0</v>
      </c>
      <c r="AG20" s="193">
        <v>0</v>
      </c>
      <c r="AH20" s="193">
        <v>0</v>
      </c>
      <c r="AI20" s="193">
        <v>0</v>
      </c>
      <c r="AJ20" s="193">
        <v>0</v>
      </c>
      <c r="AK20" s="193">
        <v>0</v>
      </c>
      <c r="AL20" s="193">
        <v>0</v>
      </c>
      <c r="AM20" s="193">
        <v>0</v>
      </c>
      <c r="AN20" s="193">
        <v>0</v>
      </c>
      <c r="AO20" s="193">
        <v>0</v>
      </c>
      <c r="AP20" s="193">
        <v>0</v>
      </c>
      <c r="AQ20" s="193">
        <v>0</v>
      </c>
      <c r="AR20" s="193">
        <v>0</v>
      </c>
      <c r="AS20" s="193">
        <v>0</v>
      </c>
      <c r="AT20" s="193">
        <v>0</v>
      </c>
      <c r="AU20" s="193">
        <v>0</v>
      </c>
      <c r="AV20" s="193">
        <v>0</v>
      </c>
      <c r="AW20" s="193">
        <v>0</v>
      </c>
      <c r="AX20" s="193">
        <v>220000</v>
      </c>
      <c r="AY20" s="193">
        <v>0</v>
      </c>
      <c r="AZ20" s="193">
        <v>0</v>
      </c>
      <c r="BA20" s="193">
        <v>0</v>
      </c>
      <c r="BB20" s="193">
        <v>0</v>
      </c>
      <c r="BC20" s="193">
        <v>0</v>
      </c>
      <c r="BD20" s="193">
        <v>0</v>
      </c>
      <c r="BE20" s="193">
        <v>0</v>
      </c>
      <c r="BF20" s="193">
        <v>220000</v>
      </c>
      <c r="BG20" s="193">
        <v>0</v>
      </c>
      <c r="BH20" s="193">
        <v>220000</v>
      </c>
    </row>
    <row r="21" spans="1:60" s="188" customFormat="1">
      <c r="A21" s="189">
        <v>-15</v>
      </c>
      <c r="B21" s="190" t="s">
        <v>848</v>
      </c>
      <c r="C21" s="191">
        <v>220000</v>
      </c>
      <c r="D21" s="192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192">
        <v>0</v>
      </c>
      <c r="N21" s="192">
        <v>0</v>
      </c>
      <c r="O21" s="192">
        <v>0</v>
      </c>
      <c r="P21" s="192">
        <v>0</v>
      </c>
      <c r="Q21" s="192">
        <v>0</v>
      </c>
      <c r="R21" s="192">
        <v>0</v>
      </c>
      <c r="S21" s="192">
        <v>0</v>
      </c>
      <c r="T21" s="192">
        <v>0</v>
      </c>
      <c r="U21" s="192">
        <v>0</v>
      </c>
      <c r="V21" s="192">
        <v>1</v>
      </c>
      <c r="W21" s="192">
        <v>0</v>
      </c>
      <c r="X21" s="192">
        <v>0</v>
      </c>
      <c r="Y21" s="192">
        <v>0</v>
      </c>
      <c r="Z21" s="192">
        <v>0</v>
      </c>
      <c r="AA21" s="192">
        <v>0</v>
      </c>
      <c r="AB21" s="192">
        <v>0</v>
      </c>
      <c r="AC21" s="192">
        <v>0</v>
      </c>
      <c r="AD21" s="192">
        <v>1</v>
      </c>
      <c r="AE21" s="192">
        <v>0</v>
      </c>
      <c r="AF21" s="193">
        <v>0</v>
      </c>
      <c r="AG21" s="193">
        <v>0</v>
      </c>
      <c r="AH21" s="193">
        <v>0</v>
      </c>
      <c r="AI21" s="193">
        <v>0</v>
      </c>
      <c r="AJ21" s="193">
        <v>0</v>
      </c>
      <c r="AK21" s="193">
        <v>0</v>
      </c>
      <c r="AL21" s="193">
        <v>0</v>
      </c>
      <c r="AM21" s="193">
        <v>0</v>
      </c>
      <c r="AN21" s="193">
        <v>0</v>
      </c>
      <c r="AO21" s="193">
        <v>0</v>
      </c>
      <c r="AP21" s="193">
        <v>0</v>
      </c>
      <c r="AQ21" s="193">
        <v>0</v>
      </c>
      <c r="AR21" s="193">
        <v>0</v>
      </c>
      <c r="AS21" s="193">
        <v>0</v>
      </c>
      <c r="AT21" s="193">
        <v>0</v>
      </c>
      <c r="AU21" s="193">
        <v>0</v>
      </c>
      <c r="AV21" s="193">
        <v>0</v>
      </c>
      <c r="AW21" s="193">
        <v>0</v>
      </c>
      <c r="AX21" s="193">
        <v>220000</v>
      </c>
      <c r="AY21" s="193">
        <v>0</v>
      </c>
      <c r="AZ21" s="193">
        <v>0</v>
      </c>
      <c r="BA21" s="193">
        <v>0</v>
      </c>
      <c r="BB21" s="193">
        <v>0</v>
      </c>
      <c r="BC21" s="193">
        <v>0</v>
      </c>
      <c r="BD21" s="193">
        <v>0</v>
      </c>
      <c r="BE21" s="193">
        <v>0</v>
      </c>
      <c r="BF21" s="193">
        <v>220000</v>
      </c>
      <c r="BG21" s="193">
        <v>0</v>
      </c>
      <c r="BH21" s="193">
        <v>220000</v>
      </c>
    </row>
    <row r="22" spans="1:60" s="188" customFormat="1">
      <c r="A22" s="189">
        <v>-16</v>
      </c>
      <c r="B22" s="194" t="s">
        <v>849</v>
      </c>
      <c r="C22" s="191">
        <v>220000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v>0</v>
      </c>
      <c r="J22" s="192">
        <v>0</v>
      </c>
      <c r="K22" s="192">
        <v>0</v>
      </c>
      <c r="L22" s="192">
        <v>0</v>
      </c>
      <c r="M22" s="192">
        <v>0</v>
      </c>
      <c r="N22" s="192">
        <v>0</v>
      </c>
      <c r="O22" s="192">
        <v>0</v>
      </c>
      <c r="P22" s="192">
        <v>0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2">
        <v>0</v>
      </c>
      <c r="W22" s="192">
        <v>0</v>
      </c>
      <c r="X22" s="192">
        <v>0</v>
      </c>
      <c r="Y22" s="192">
        <v>0</v>
      </c>
      <c r="Z22" s="192">
        <v>0</v>
      </c>
      <c r="AA22" s="192">
        <v>0</v>
      </c>
      <c r="AB22" s="192">
        <v>0</v>
      </c>
      <c r="AC22" s="192">
        <v>0</v>
      </c>
      <c r="AD22" s="192">
        <v>0</v>
      </c>
      <c r="AE22" s="192">
        <v>0</v>
      </c>
      <c r="AF22" s="193">
        <v>0</v>
      </c>
      <c r="AG22" s="193">
        <v>0</v>
      </c>
      <c r="AH22" s="193">
        <v>0</v>
      </c>
      <c r="AI22" s="193">
        <v>0</v>
      </c>
      <c r="AJ22" s="193">
        <v>0</v>
      </c>
      <c r="AK22" s="193">
        <v>0</v>
      </c>
      <c r="AL22" s="193">
        <v>0</v>
      </c>
      <c r="AM22" s="193">
        <v>0</v>
      </c>
      <c r="AN22" s="193">
        <v>0</v>
      </c>
      <c r="AO22" s="193">
        <v>0</v>
      </c>
      <c r="AP22" s="193">
        <v>0</v>
      </c>
      <c r="AQ22" s="193">
        <v>0</v>
      </c>
      <c r="AR22" s="193">
        <v>0</v>
      </c>
      <c r="AS22" s="193">
        <v>0</v>
      </c>
      <c r="AT22" s="193">
        <v>0</v>
      </c>
      <c r="AU22" s="193">
        <v>0</v>
      </c>
      <c r="AV22" s="193">
        <v>0</v>
      </c>
      <c r="AW22" s="193">
        <v>0</v>
      </c>
      <c r="AX22" s="193">
        <v>0</v>
      </c>
      <c r="AY22" s="193">
        <v>0</v>
      </c>
      <c r="AZ22" s="193">
        <v>0</v>
      </c>
      <c r="BA22" s="193">
        <v>0</v>
      </c>
      <c r="BB22" s="193">
        <v>0</v>
      </c>
      <c r="BC22" s="193">
        <v>0</v>
      </c>
      <c r="BD22" s="193">
        <v>0</v>
      </c>
      <c r="BE22" s="193">
        <v>0</v>
      </c>
      <c r="BF22" s="193">
        <v>0</v>
      </c>
      <c r="BG22" s="193">
        <v>0</v>
      </c>
      <c r="BH22" s="193">
        <v>0</v>
      </c>
    </row>
    <row r="23" spans="1:60" s="188" customFormat="1">
      <c r="A23" s="189">
        <v>-17</v>
      </c>
      <c r="B23" s="194" t="s">
        <v>850</v>
      </c>
      <c r="C23" s="191">
        <v>225000</v>
      </c>
      <c r="D23" s="192">
        <v>0</v>
      </c>
      <c r="E23" s="192">
        <v>0</v>
      </c>
      <c r="F23" s="192">
        <v>0</v>
      </c>
      <c r="G23" s="192">
        <v>0</v>
      </c>
      <c r="H23" s="192">
        <v>0</v>
      </c>
      <c r="I23" s="192">
        <v>0</v>
      </c>
      <c r="J23" s="192">
        <v>0</v>
      </c>
      <c r="K23" s="192">
        <v>0</v>
      </c>
      <c r="L23" s="192">
        <v>0</v>
      </c>
      <c r="M23" s="192">
        <v>0</v>
      </c>
      <c r="N23" s="192">
        <v>0</v>
      </c>
      <c r="O23" s="192">
        <v>0</v>
      </c>
      <c r="P23" s="192">
        <v>0</v>
      </c>
      <c r="Q23" s="192">
        <v>0</v>
      </c>
      <c r="R23" s="192">
        <v>0</v>
      </c>
      <c r="S23" s="192">
        <v>0</v>
      </c>
      <c r="T23" s="192">
        <v>0</v>
      </c>
      <c r="U23" s="192">
        <v>0</v>
      </c>
      <c r="V23" s="192">
        <v>0</v>
      </c>
      <c r="W23" s="192">
        <v>0</v>
      </c>
      <c r="X23" s="192">
        <v>0</v>
      </c>
      <c r="Y23" s="192">
        <v>0</v>
      </c>
      <c r="Z23" s="192">
        <v>0</v>
      </c>
      <c r="AA23" s="192">
        <v>0</v>
      </c>
      <c r="AB23" s="192">
        <v>0</v>
      </c>
      <c r="AC23" s="192">
        <v>0</v>
      </c>
      <c r="AD23" s="192">
        <v>0</v>
      </c>
      <c r="AE23" s="192">
        <v>0</v>
      </c>
      <c r="AF23" s="193">
        <v>0</v>
      </c>
      <c r="AG23" s="193">
        <v>0</v>
      </c>
      <c r="AH23" s="193">
        <v>0</v>
      </c>
      <c r="AI23" s="193">
        <v>0</v>
      </c>
      <c r="AJ23" s="193">
        <v>0</v>
      </c>
      <c r="AK23" s="193">
        <v>0</v>
      </c>
      <c r="AL23" s="193">
        <v>0</v>
      </c>
      <c r="AM23" s="193">
        <v>0</v>
      </c>
      <c r="AN23" s="193">
        <v>0</v>
      </c>
      <c r="AO23" s="193">
        <v>0</v>
      </c>
      <c r="AP23" s="193">
        <v>0</v>
      </c>
      <c r="AQ23" s="193">
        <v>0</v>
      </c>
      <c r="AR23" s="193">
        <v>0</v>
      </c>
      <c r="AS23" s="193">
        <v>0</v>
      </c>
      <c r="AT23" s="193">
        <v>0</v>
      </c>
      <c r="AU23" s="193">
        <v>0</v>
      </c>
      <c r="AV23" s="193">
        <v>0</v>
      </c>
      <c r="AW23" s="193">
        <v>0</v>
      </c>
      <c r="AX23" s="193">
        <v>0</v>
      </c>
      <c r="AY23" s="193">
        <v>0</v>
      </c>
      <c r="AZ23" s="193">
        <v>0</v>
      </c>
      <c r="BA23" s="193">
        <v>0</v>
      </c>
      <c r="BB23" s="193">
        <v>0</v>
      </c>
      <c r="BC23" s="193">
        <v>0</v>
      </c>
      <c r="BD23" s="193">
        <v>0</v>
      </c>
      <c r="BE23" s="193">
        <v>0</v>
      </c>
      <c r="BF23" s="193">
        <v>0</v>
      </c>
      <c r="BG23" s="193">
        <v>0</v>
      </c>
      <c r="BH23" s="193">
        <v>0</v>
      </c>
    </row>
    <row r="24" spans="1:60" s="188" customFormat="1">
      <c r="A24" s="189">
        <v>-18</v>
      </c>
      <c r="B24" s="194" t="s">
        <v>851</v>
      </c>
      <c r="C24" s="191">
        <v>240000</v>
      </c>
      <c r="D24" s="192">
        <v>0</v>
      </c>
      <c r="E24" s="192">
        <v>0</v>
      </c>
      <c r="F24" s="192">
        <v>0</v>
      </c>
      <c r="G24" s="192">
        <v>0</v>
      </c>
      <c r="H24" s="192">
        <v>0</v>
      </c>
      <c r="I24" s="192">
        <v>0</v>
      </c>
      <c r="J24" s="192">
        <v>0</v>
      </c>
      <c r="K24" s="192">
        <v>0</v>
      </c>
      <c r="L24" s="192">
        <v>0</v>
      </c>
      <c r="M24" s="192">
        <v>0</v>
      </c>
      <c r="N24" s="192">
        <v>0</v>
      </c>
      <c r="O24" s="192">
        <v>0</v>
      </c>
      <c r="P24" s="192">
        <v>2</v>
      </c>
      <c r="Q24" s="192">
        <v>0</v>
      </c>
      <c r="R24" s="192">
        <v>0</v>
      </c>
      <c r="S24" s="192">
        <v>0</v>
      </c>
      <c r="T24" s="192">
        <v>0</v>
      </c>
      <c r="U24" s="192">
        <v>0</v>
      </c>
      <c r="V24" s="192">
        <v>0</v>
      </c>
      <c r="W24" s="192">
        <v>0</v>
      </c>
      <c r="X24" s="192">
        <v>0</v>
      </c>
      <c r="Y24" s="192">
        <v>0</v>
      </c>
      <c r="Z24" s="192">
        <v>0</v>
      </c>
      <c r="AA24" s="192">
        <v>0</v>
      </c>
      <c r="AB24" s="192">
        <v>0</v>
      </c>
      <c r="AC24" s="192">
        <v>0</v>
      </c>
      <c r="AD24" s="192">
        <v>2</v>
      </c>
      <c r="AE24" s="192">
        <v>0</v>
      </c>
      <c r="AF24" s="193">
        <v>0</v>
      </c>
      <c r="AG24" s="193">
        <v>0</v>
      </c>
      <c r="AH24" s="193">
        <v>0</v>
      </c>
      <c r="AI24" s="193">
        <v>0</v>
      </c>
      <c r="AJ24" s="193">
        <v>0</v>
      </c>
      <c r="AK24" s="193">
        <v>0</v>
      </c>
      <c r="AL24" s="193">
        <v>0</v>
      </c>
      <c r="AM24" s="193">
        <v>0</v>
      </c>
      <c r="AN24" s="193">
        <v>0</v>
      </c>
      <c r="AO24" s="193">
        <v>0</v>
      </c>
      <c r="AP24" s="193">
        <v>0</v>
      </c>
      <c r="AQ24" s="193">
        <v>0</v>
      </c>
      <c r="AR24" s="193">
        <v>480000</v>
      </c>
      <c r="AS24" s="193">
        <v>0</v>
      </c>
      <c r="AT24" s="193">
        <v>0</v>
      </c>
      <c r="AU24" s="193">
        <v>0</v>
      </c>
      <c r="AV24" s="193">
        <v>0</v>
      </c>
      <c r="AW24" s="193">
        <v>0</v>
      </c>
      <c r="AX24" s="193">
        <v>0</v>
      </c>
      <c r="AY24" s="193">
        <v>0</v>
      </c>
      <c r="AZ24" s="193">
        <v>0</v>
      </c>
      <c r="BA24" s="193">
        <v>0</v>
      </c>
      <c r="BB24" s="193">
        <v>0</v>
      </c>
      <c r="BC24" s="193">
        <v>0</v>
      </c>
      <c r="BD24" s="193">
        <v>0</v>
      </c>
      <c r="BE24" s="193">
        <v>0</v>
      </c>
      <c r="BF24" s="193">
        <v>480000</v>
      </c>
      <c r="BG24" s="193">
        <v>0</v>
      </c>
      <c r="BH24" s="193">
        <v>480000</v>
      </c>
    </row>
    <row r="25" spans="1:60" s="188" customFormat="1">
      <c r="A25" s="189">
        <v>-19</v>
      </c>
      <c r="B25" s="194" t="s">
        <v>852</v>
      </c>
      <c r="C25" s="191">
        <v>280000</v>
      </c>
      <c r="D25" s="192">
        <v>0</v>
      </c>
      <c r="E25" s="192">
        <v>0</v>
      </c>
      <c r="F25" s="192">
        <v>0</v>
      </c>
      <c r="G25" s="192">
        <v>0</v>
      </c>
      <c r="H25" s="192">
        <v>0</v>
      </c>
      <c r="I25" s="192">
        <v>0</v>
      </c>
      <c r="J25" s="192">
        <v>0</v>
      </c>
      <c r="K25" s="192">
        <v>0</v>
      </c>
      <c r="L25" s="192">
        <v>0</v>
      </c>
      <c r="M25" s="192">
        <v>0</v>
      </c>
      <c r="N25" s="192">
        <v>0</v>
      </c>
      <c r="O25" s="192">
        <v>0</v>
      </c>
      <c r="P25" s="192">
        <v>0</v>
      </c>
      <c r="Q25" s="192">
        <v>0</v>
      </c>
      <c r="R25" s="192">
        <v>0</v>
      </c>
      <c r="S25" s="192">
        <v>0</v>
      </c>
      <c r="T25" s="192">
        <v>4</v>
      </c>
      <c r="U25" s="192">
        <v>0</v>
      </c>
      <c r="V25" s="192">
        <v>2</v>
      </c>
      <c r="W25" s="192">
        <v>0</v>
      </c>
      <c r="X25" s="192">
        <v>0</v>
      </c>
      <c r="Y25" s="192">
        <v>0</v>
      </c>
      <c r="Z25" s="192">
        <v>0</v>
      </c>
      <c r="AA25" s="192">
        <v>0</v>
      </c>
      <c r="AB25" s="192">
        <v>0</v>
      </c>
      <c r="AC25" s="192">
        <v>0</v>
      </c>
      <c r="AD25" s="192">
        <v>6</v>
      </c>
      <c r="AE25" s="192">
        <v>0</v>
      </c>
      <c r="AF25" s="193">
        <v>0</v>
      </c>
      <c r="AG25" s="193">
        <v>0</v>
      </c>
      <c r="AH25" s="193">
        <v>0</v>
      </c>
      <c r="AI25" s="193">
        <v>0</v>
      </c>
      <c r="AJ25" s="193">
        <v>0</v>
      </c>
      <c r="AK25" s="193">
        <v>0</v>
      </c>
      <c r="AL25" s="193">
        <v>0</v>
      </c>
      <c r="AM25" s="193">
        <v>0</v>
      </c>
      <c r="AN25" s="193">
        <v>0</v>
      </c>
      <c r="AO25" s="193">
        <v>0</v>
      </c>
      <c r="AP25" s="193">
        <v>0</v>
      </c>
      <c r="AQ25" s="193">
        <v>0</v>
      </c>
      <c r="AR25" s="193">
        <v>0</v>
      </c>
      <c r="AS25" s="193">
        <v>0</v>
      </c>
      <c r="AT25" s="193">
        <v>0</v>
      </c>
      <c r="AU25" s="193">
        <v>0</v>
      </c>
      <c r="AV25" s="193">
        <v>1120000</v>
      </c>
      <c r="AW25" s="193">
        <v>0</v>
      </c>
      <c r="AX25" s="193">
        <v>560000</v>
      </c>
      <c r="AY25" s="193">
        <v>0</v>
      </c>
      <c r="AZ25" s="193">
        <v>0</v>
      </c>
      <c r="BA25" s="193">
        <v>0</v>
      </c>
      <c r="BB25" s="193">
        <v>0</v>
      </c>
      <c r="BC25" s="193">
        <v>0</v>
      </c>
      <c r="BD25" s="193">
        <v>0</v>
      </c>
      <c r="BE25" s="193">
        <v>0</v>
      </c>
      <c r="BF25" s="193">
        <v>1680000</v>
      </c>
      <c r="BG25" s="193">
        <v>0</v>
      </c>
      <c r="BH25" s="193">
        <v>1680000</v>
      </c>
    </row>
    <row r="26" spans="1:60" s="188" customFormat="1">
      <c r="A26" s="189">
        <v>-20</v>
      </c>
      <c r="B26" s="194" t="s">
        <v>853</v>
      </c>
      <c r="C26" s="191">
        <v>300000</v>
      </c>
      <c r="D26" s="192">
        <v>0</v>
      </c>
      <c r="E26" s="192">
        <v>0</v>
      </c>
      <c r="F26" s="192">
        <v>0</v>
      </c>
      <c r="G26" s="192">
        <v>0</v>
      </c>
      <c r="H26" s="192">
        <v>0</v>
      </c>
      <c r="I26" s="192">
        <v>0</v>
      </c>
      <c r="J26" s="192">
        <v>0</v>
      </c>
      <c r="K26" s="192">
        <v>0</v>
      </c>
      <c r="L26" s="192">
        <v>0</v>
      </c>
      <c r="M26" s="192">
        <v>0</v>
      </c>
      <c r="N26" s="192">
        <v>0</v>
      </c>
      <c r="O26" s="192">
        <v>0</v>
      </c>
      <c r="P26" s="192">
        <v>0</v>
      </c>
      <c r="Q26" s="192">
        <v>1</v>
      </c>
      <c r="R26" s="192">
        <v>0</v>
      </c>
      <c r="S26" s="192">
        <v>0</v>
      </c>
      <c r="T26" s="192">
        <v>0</v>
      </c>
      <c r="U26" s="192">
        <v>0</v>
      </c>
      <c r="V26" s="192">
        <v>0</v>
      </c>
      <c r="W26" s="192">
        <v>0</v>
      </c>
      <c r="X26" s="192">
        <v>0</v>
      </c>
      <c r="Y26" s="192">
        <v>0</v>
      </c>
      <c r="Z26" s="192">
        <v>0</v>
      </c>
      <c r="AA26" s="192">
        <v>0</v>
      </c>
      <c r="AB26" s="192">
        <v>0</v>
      </c>
      <c r="AC26" s="192">
        <v>0</v>
      </c>
      <c r="AD26" s="192">
        <v>0</v>
      </c>
      <c r="AE26" s="192">
        <v>1</v>
      </c>
      <c r="AF26" s="193">
        <v>0</v>
      </c>
      <c r="AG26" s="193">
        <v>0</v>
      </c>
      <c r="AH26" s="193">
        <v>0</v>
      </c>
      <c r="AI26" s="193">
        <v>0</v>
      </c>
      <c r="AJ26" s="193">
        <v>0</v>
      </c>
      <c r="AK26" s="193">
        <v>0</v>
      </c>
      <c r="AL26" s="193">
        <v>0</v>
      </c>
      <c r="AM26" s="193">
        <v>0</v>
      </c>
      <c r="AN26" s="193">
        <v>0</v>
      </c>
      <c r="AO26" s="193">
        <v>0</v>
      </c>
      <c r="AP26" s="193">
        <v>0</v>
      </c>
      <c r="AQ26" s="193">
        <v>0</v>
      </c>
      <c r="AR26" s="193">
        <v>0</v>
      </c>
      <c r="AS26" s="193">
        <v>300000</v>
      </c>
      <c r="AT26" s="193">
        <v>0</v>
      </c>
      <c r="AU26" s="193">
        <v>0</v>
      </c>
      <c r="AV26" s="193">
        <v>0</v>
      </c>
      <c r="AW26" s="193">
        <v>0</v>
      </c>
      <c r="AX26" s="193">
        <v>0</v>
      </c>
      <c r="AY26" s="193">
        <v>0</v>
      </c>
      <c r="AZ26" s="193">
        <v>0</v>
      </c>
      <c r="BA26" s="193">
        <v>0</v>
      </c>
      <c r="BB26" s="193">
        <v>0</v>
      </c>
      <c r="BC26" s="193">
        <v>0</v>
      </c>
      <c r="BD26" s="193">
        <v>0</v>
      </c>
      <c r="BE26" s="193">
        <v>0</v>
      </c>
      <c r="BF26" s="193">
        <v>0</v>
      </c>
      <c r="BG26" s="193">
        <v>300000</v>
      </c>
      <c r="BH26" s="193">
        <v>300000</v>
      </c>
    </row>
    <row r="27" spans="1:60" s="188" customFormat="1">
      <c r="A27" s="189">
        <v>-21</v>
      </c>
      <c r="B27" s="190" t="s">
        <v>854</v>
      </c>
      <c r="C27" s="191">
        <v>300000</v>
      </c>
      <c r="D27" s="192">
        <v>0</v>
      </c>
      <c r="E27" s="192">
        <v>0</v>
      </c>
      <c r="F27" s="192">
        <v>0</v>
      </c>
      <c r="G27" s="192">
        <v>0</v>
      </c>
      <c r="H27" s="192">
        <v>0</v>
      </c>
      <c r="I27" s="192">
        <v>0</v>
      </c>
      <c r="J27" s="192">
        <v>0</v>
      </c>
      <c r="K27" s="192">
        <v>0</v>
      </c>
      <c r="L27" s="192">
        <v>0</v>
      </c>
      <c r="M27" s="192">
        <v>0</v>
      </c>
      <c r="N27" s="192">
        <v>0</v>
      </c>
      <c r="O27" s="192">
        <v>0</v>
      </c>
      <c r="P27" s="192">
        <v>0</v>
      </c>
      <c r="Q27" s="192">
        <v>0</v>
      </c>
      <c r="R27" s="192">
        <v>0</v>
      </c>
      <c r="S27" s="192">
        <v>0</v>
      </c>
      <c r="T27" s="192">
        <v>0</v>
      </c>
      <c r="U27" s="192">
        <v>0</v>
      </c>
      <c r="V27" s="192">
        <v>0</v>
      </c>
      <c r="W27" s="192">
        <v>0</v>
      </c>
      <c r="X27" s="192">
        <v>0</v>
      </c>
      <c r="Y27" s="192">
        <v>0</v>
      </c>
      <c r="Z27" s="192">
        <v>0</v>
      </c>
      <c r="AA27" s="192">
        <v>0</v>
      </c>
      <c r="AB27" s="192">
        <v>0</v>
      </c>
      <c r="AC27" s="192">
        <v>0</v>
      </c>
      <c r="AD27" s="192">
        <v>0</v>
      </c>
      <c r="AE27" s="192">
        <v>0</v>
      </c>
      <c r="AF27" s="193">
        <v>0</v>
      </c>
      <c r="AG27" s="193">
        <v>0</v>
      </c>
      <c r="AH27" s="193">
        <v>0</v>
      </c>
      <c r="AI27" s="193">
        <v>0</v>
      </c>
      <c r="AJ27" s="193">
        <v>0</v>
      </c>
      <c r="AK27" s="193">
        <v>0</v>
      </c>
      <c r="AL27" s="193">
        <v>0</v>
      </c>
      <c r="AM27" s="193">
        <v>0</v>
      </c>
      <c r="AN27" s="193">
        <v>0</v>
      </c>
      <c r="AO27" s="193">
        <v>0</v>
      </c>
      <c r="AP27" s="193">
        <v>0</v>
      </c>
      <c r="AQ27" s="193">
        <v>0</v>
      </c>
      <c r="AR27" s="193">
        <v>0</v>
      </c>
      <c r="AS27" s="193">
        <v>0</v>
      </c>
      <c r="AT27" s="193">
        <v>0</v>
      </c>
      <c r="AU27" s="193">
        <v>0</v>
      </c>
      <c r="AV27" s="193">
        <v>0</v>
      </c>
      <c r="AW27" s="193">
        <v>0</v>
      </c>
      <c r="AX27" s="193">
        <v>0</v>
      </c>
      <c r="AY27" s="193">
        <v>0</v>
      </c>
      <c r="AZ27" s="193">
        <v>0</v>
      </c>
      <c r="BA27" s="193">
        <v>0</v>
      </c>
      <c r="BB27" s="193">
        <v>0</v>
      </c>
      <c r="BC27" s="193">
        <v>0</v>
      </c>
      <c r="BD27" s="193">
        <v>0</v>
      </c>
      <c r="BE27" s="193">
        <v>0</v>
      </c>
      <c r="BF27" s="193">
        <v>0</v>
      </c>
      <c r="BG27" s="193">
        <v>0</v>
      </c>
      <c r="BH27" s="193">
        <v>0</v>
      </c>
    </row>
    <row r="28" spans="1:60" s="188" customFormat="1">
      <c r="A28" s="189">
        <v>-22</v>
      </c>
      <c r="B28" s="194" t="s">
        <v>855</v>
      </c>
      <c r="C28" s="191">
        <v>340000</v>
      </c>
      <c r="D28" s="192">
        <v>0</v>
      </c>
      <c r="E28" s="192">
        <v>0</v>
      </c>
      <c r="F28" s="192">
        <v>0</v>
      </c>
      <c r="G28" s="192">
        <v>0</v>
      </c>
      <c r="H28" s="192">
        <v>0</v>
      </c>
      <c r="I28" s="192">
        <v>0</v>
      </c>
      <c r="J28" s="192">
        <v>0</v>
      </c>
      <c r="K28" s="192">
        <v>0</v>
      </c>
      <c r="L28" s="192">
        <v>0</v>
      </c>
      <c r="M28" s="192">
        <v>0</v>
      </c>
      <c r="N28" s="192">
        <v>0</v>
      </c>
      <c r="O28" s="192">
        <v>0</v>
      </c>
      <c r="P28" s="192">
        <v>0</v>
      </c>
      <c r="Q28" s="192">
        <v>0</v>
      </c>
      <c r="R28" s="192">
        <v>0</v>
      </c>
      <c r="S28" s="192">
        <v>0</v>
      </c>
      <c r="T28" s="192">
        <v>0</v>
      </c>
      <c r="U28" s="192">
        <v>0</v>
      </c>
      <c r="V28" s="192">
        <v>0</v>
      </c>
      <c r="W28" s="192">
        <v>0</v>
      </c>
      <c r="X28" s="192">
        <v>0</v>
      </c>
      <c r="Y28" s="192">
        <v>0</v>
      </c>
      <c r="Z28" s="192">
        <v>0</v>
      </c>
      <c r="AA28" s="192">
        <v>0</v>
      </c>
      <c r="AB28" s="192">
        <v>0</v>
      </c>
      <c r="AC28" s="192">
        <v>0</v>
      </c>
      <c r="AD28" s="192">
        <v>0</v>
      </c>
      <c r="AE28" s="192">
        <v>0</v>
      </c>
      <c r="AF28" s="193">
        <v>0</v>
      </c>
      <c r="AG28" s="193">
        <v>0</v>
      </c>
      <c r="AH28" s="193">
        <v>0</v>
      </c>
      <c r="AI28" s="193">
        <v>0</v>
      </c>
      <c r="AJ28" s="193">
        <v>0</v>
      </c>
      <c r="AK28" s="193">
        <v>0</v>
      </c>
      <c r="AL28" s="193">
        <v>0</v>
      </c>
      <c r="AM28" s="193">
        <v>0</v>
      </c>
      <c r="AN28" s="193">
        <v>0</v>
      </c>
      <c r="AO28" s="193">
        <v>0</v>
      </c>
      <c r="AP28" s="193">
        <v>0</v>
      </c>
      <c r="AQ28" s="193">
        <v>0</v>
      </c>
      <c r="AR28" s="193">
        <v>0</v>
      </c>
      <c r="AS28" s="193">
        <v>0</v>
      </c>
      <c r="AT28" s="193">
        <v>0</v>
      </c>
      <c r="AU28" s="193">
        <v>0</v>
      </c>
      <c r="AV28" s="193">
        <v>0</v>
      </c>
      <c r="AW28" s="193">
        <v>0</v>
      </c>
      <c r="AX28" s="193">
        <v>0</v>
      </c>
      <c r="AY28" s="193">
        <v>0</v>
      </c>
      <c r="AZ28" s="193">
        <v>0</v>
      </c>
      <c r="BA28" s="193">
        <v>0</v>
      </c>
      <c r="BB28" s="193">
        <v>0</v>
      </c>
      <c r="BC28" s="193">
        <v>0</v>
      </c>
      <c r="BD28" s="193">
        <v>0</v>
      </c>
      <c r="BE28" s="193">
        <v>0</v>
      </c>
      <c r="BF28" s="193">
        <v>0</v>
      </c>
      <c r="BG28" s="193">
        <v>0</v>
      </c>
      <c r="BH28" s="193">
        <v>0</v>
      </c>
    </row>
    <row r="29" spans="1:60" s="188" customFormat="1">
      <c r="A29" s="189">
        <v>-23</v>
      </c>
      <c r="B29" s="190" t="s">
        <v>856</v>
      </c>
      <c r="C29" s="191">
        <v>350000</v>
      </c>
      <c r="D29" s="192">
        <v>0</v>
      </c>
      <c r="E29" s="192">
        <v>0</v>
      </c>
      <c r="F29" s="192">
        <v>0</v>
      </c>
      <c r="G29" s="192">
        <v>0</v>
      </c>
      <c r="H29" s="192">
        <v>0</v>
      </c>
      <c r="I29" s="192">
        <v>0</v>
      </c>
      <c r="J29" s="192">
        <v>0</v>
      </c>
      <c r="K29" s="192">
        <v>0</v>
      </c>
      <c r="L29" s="192">
        <v>0</v>
      </c>
      <c r="M29" s="192">
        <v>0</v>
      </c>
      <c r="N29" s="192">
        <v>0</v>
      </c>
      <c r="O29" s="192">
        <v>0</v>
      </c>
      <c r="P29" s="192">
        <v>0</v>
      </c>
      <c r="Q29" s="192">
        <v>0</v>
      </c>
      <c r="R29" s="192">
        <v>0</v>
      </c>
      <c r="S29" s="192">
        <v>0</v>
      </c>
      <c r="T29" s="192">
        <v>0</v>
      </c>
      <c r="U29" s="192">
        <v>0</v>
      </c>
      <c r="V29" s="192">
        <v>0</v>
      </c>
      <c r="W29" s="192">
        <v>0</v>
      </c>
      <c r="X29" s="192">
        <v>0</v>
      </c>
      <c r="Y29" s="192">
        <v>0</v>
      </c>
      <c r="Z29" s="192">
        <v>0</v>
      </c>
      <c r="AA29" s="192">
        <v>0</v>
      </c>
      <c r="AB29" s="192">
        <v>0</v>
      </c>
      <c r="AC29" s="192">
        <v>0</v>
      </c>
      <c r="AD29" s="192">
        <v>0</v>
      </c>
      <c r="AE29" s="192">
        <v>0</v>
      </c>
      <c r="AF29" s="193">
        <v>0</v>
      </c>
      <c r="AG29" s="193">
        <v>0</v>
      </c>
      <c r="AH29" s="193">
        <v>0</v>
      </c>
      <c r="AI29" s="193">
        <v>0</v>
      </c>
      <c r="AJ29" s="193">
        <v>0</v>
      </c>
      <c r="AK29" s="193">
        <v>0</v>
      </c>
      <c r="AL29" s="193">
        <v>0</v>
      </c>
      <c r="AM29" s="193">
        <v>0</v>
      </c>
      <c r="AN29" s="193">
        <v>0</v>
      </c>
      <c r="AO29" s="193">
        <v>0</v>
      </c>
      <c r="AP29" s="193">
        <v>0</v>
      </c>
      <c r="AQ29" s="193">
        <v>0</v>
      </c>
      <c r="AR29" s="193">
        <v>0</v>
      </c>
      <c r="AS29" s="193">
        <v>0</v>
      </c>
      <c r="AT29" s="193">
        <v>0</v>
      </c>
      <c r="AU29" s="193">
        <v>0</v>
      </c>
      <c r="AV29" s="193">
        <v>0</v>
      </c>
      <c r="AW29" s="193">
        <v>0</v>
      </c>
      <c r="AX29" s="193">
        <v>0</v>
      </c>
      <c r="AY29" s="193">
        <v>0</v>
      </c>
      <c r="AZ29" s="193">
        <v>0</v>
      </c>
      <c r="BA29" s="193">
        <v>0</v>
      </c>
      <c r="BB29" s="193">
        <v>0</v>
      </c>
      <c r="BC29" s="193">
        <v>0</v>
      </c>
      <c r="BD29" s="193">
        <v>0</v>
      </c>
      <c r="BE29" s="193">
        <v>0</v>
      </c>
      <c r="BF29" s="193">
        <v>0</v>
      </c>
      <c r="BG29" s="193">
        <v>0</v>
      </c>
      <c r="BH29" s="193">
        <v>0</v>
      </c>
    </row>
    <row r="30" spans="1:60" s="188" customFormat="1">
      <c r="A30" s="189">
        <v>-24</v>
      </c>
      <c r="B30" s="190" t="s">
        <v>857</v>
      </c>
      <c r="C30" s="191">
        <v>385000</v>
      </c>
      <c r="D30" s="192">
        <v>0</v>
      </c>
      <c r="E30" s="192">
        <v>0</v>
      </c>
      <c r="F30" s="192">
        <v>0</v>
      </c>
      <c r="G30" s="192">
        <v>0</v>
      </c>
      <c r="H30" s="192">
        <v>0</v>
      </c>
      <c r="I30" s="192">
        <v>0</v>
      </c>
      <c r="J30" s="192">
        <v>0</v>
      </c>
      <c r="K30" s="192">
        <v>0</v>
      </c>
      <c r="L30" s="192">
        <v>0</v>
      </c>
      <c r="M30" s="192">
        <v>0</v>
      </c>
      <c r="N30" s="192">
        <v>0</v>
      </c>
      <c r="O30" s="192">
        <v>0</v>
      </c>
      <c r="P30" s="192">
        <v>0</v>
      </c>
      <c r="Q30" s="192">
        <v>0</v>
      </c>
      <c r="R30" s="192">
        <v>0</v>
      </c>
      <c r="S30" s="192">
        <v>0</v>
      </c>
      <c r="T30" s="192">
        <v>0</v>
      </c>
      <c r="U30" s="192">
        <v>0</v>
      </c>
      <c r="V30" s="192">
        <v>1</v>
      </c>
      <c r="W30" s="192">
        <v>0</v>
      </c>
      <c r="X30" s="192">
        <v>0</v>
      </c>
      <c r="Y30" s="192">
        <v>0</v>
      </c>
      <c r="Z30" s="192">
        <v>0</v>
      </c>
      <c r="AA30" s="192">
        <v>0</v>
      </c>
      <c r="AB30" s="192">
        <v>0</v>
      </c>
      <c r="AC30" s="192">
        <v>0</v>
      </c>
      <c r="AD30" s="192">
        <v>1</v>
      </c>
      <c r="AE30" s="192">
        <v>0</v>
      </c>
      <c r="AF30" s="193">
        <v>0</v>
      </c>
      <c r="AG30" s="193">
        <v>0</v>
      </c>
      <c r="AH30" s="193">
        <v>0</v>
      </c>
      <c r="AI30" s="193">
        <v>0</v>
      </c>
      <c r="AJ30" s="193">
        <v>0</v>
      </c>
      <c r="AK30" s="193">
        <v>0</v>
      </c>
      <c r="AL30" s="193">
        <v>0</v>
      </c>
      <c r="AM30" s="193">
        <v>0</v>
      </c>
      <c r="AN30" s="193">
        <v>0</v>
      </c>
      <c r="AO30" s="193">
        <v>0</v>
      </c>
      <c r="AP30" s="193">
        <v>0</v>
      </c>
      <c r="AQ30" s="193">
        <v>0</v>
      </c>
      <c r="AR30" s="193">
        <v>0</v>
      </c>
      <c r="AS30" s="193">
        <v>0</v>
      </c>
      <c r="AT30" s="193">
        <v>0</v>
      </c>
      <c r="AU30" s="193">
        <v>0</v>
      </c>
      <c r="AV30" s="193">
        <v>0</v>
      </c>
      <c r="AW30" s="193">
        <v>0</v>
      </c>
      <c r="AX30" s="193">
        <v>385000</v>
      </c>
      <c r="AY30" s="193">
        <v>0</v>
      </c>
      <c r="AZ30" s="193">
        <v>0</v>
      </c>
      <c r="BA30" s="193">
        <v>0</v>
      </c>
      <c r="BB30" s="193">
        <v>0</v>
      </c>
      <c r="BC30" s="193">
        <v>0</v>
      </c>
      <c r="BD30" s="193">
        <v>0</v>
      </c>
      <c r="BE30" s="193">
        <v>0</v>
      </c>
      <c r="BF30" s="193">
        <v>385000</v>
      </c>
      <c r="BG30" s="193">
        <v>0</v>
      </c>
      <c r="BH30" s="193">
        <v>385000</v>
      </c>
    </row>
    <row r="31" spans="1:60" s="188" customFormat="1">
      <c r="A31" s="189">
        <v>-25</v>
      </c>
      <c r="B31" s="194" t="s">
        <v>858</v>
      </c>
      <c r="C31" s="191">
        <v>400000</v>
      </c>
      <c r="D31" s="192">
        <v>0</v>
      </c>
      <c r="E31" s="192">
        <v>0</v>
      </c>
      <c r="F31" s="192">
        <v>0</v>
      </c>
      <c r="G31" s="192">
        <v>0</v>
      </c>
      <c r="H31" s="192">
        <v>0</v>
      </c>
      <c r="I31" s="192">
        <v>0</v>
      </c>
      <c r="J31" s="192">
        <v>0</v>
      </c>
      <c r="K31" s="192">
        <v>0</v>
      </c>
      <c r="L31" s="192">
        <v>0</v>
      </c>
      <c r="M31" s="192">
        <v>0</v>
      </c>
      <c r="N31" s="192">
        <v>0</v>
      </c>
      <c r="O31" s="192">
        <v>0</v>
      </c>
      <c r="P31" s="192">
        <v>0</v>
      </c>
      <c r="Q31" s="192">
        <v>0</v>
      </c>
      <c r="R31" s="192">
        <v>0</v>
      </c>
      <c r="S31" s="192">
        <v>0</v>
      </c>
      <c r="T31" s="192">
        <v>0</v>
      </c>
      <c r="U31" s="192">
        <v>0</v>
      </c>
      <c r="V31" s="192">
        <v>0</v>
      </c>
      <c r="W31" s="192">
        <v>0</v>
      </c>
      <c r="X31" s="192">
        <v>0</v>
      </c>
      <c r="Y31" s="192">
        <v>0</v>
      </c>
      <c r="Z31" s="192">
        <v>0</v>
      </c>
      <c r="AA31" s="192">
        <v>0</v>
      </c>
      <c r="AB31" s="192">
        <v>0</v>
      </c>
      <c r="AC31" s="192">
        <v>0</v>
      </c>
      <c r="AD31" s="192">
        <v>0</v>
      </c>
      <c r="AE31" s="192">
        <v>0</v>
      </c>
      <c r="AF31" s="193">
        <v>0</v>
      </c>
      <c r="AG31" s="193">
        <v>0</v>
      </c>
      <c r="AH31" s="193">
        <v>0</v>
      </c>
      <c r="AI31" s="193">
        <v>0</v>
      </c>
      <c r="AJ31" s="193">
        <v>0</v>
      </c>
      <c r="AK31" s="193">
        <v>0</v>
      </c>
      <c r="AL31" s="193">
        <v>0</v>
      </c>
      <c r="AM31" s="193">
        <v>0</v>
      </c>
      <c r="AN31" s="193">
        <v>0</v>
      </c>
      <c r="AO31" s="193">
        <v>0</v>
      </c>
      <c r="AP31" s="193">
        <v>0</v>
      </c>
      <c r="AQ31" s="193">
        <v>0</v>
      </c>
      <c r="AR31" s="193">
        <v>0</v>
      </c>
      <c r="AS31" s="193">
        <v>0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0</v>
      </c>
      <c r="BA31" s="193">
        <v>0</v>
      </c>
      <c r="BB31" s="193">
        <v>0</v>
      </c>
      <c r="BC31" s="193">
        <v>0</v>
      </c>
      <c r="BD31" s="193">
        <v>0</v>
      </c>
      <c r="BE31" s="193">
        <v>0</v>
      </c>
      <c r="BF31" s="193">
        <v>0</v>
      </c>
      <c r="BG31" s="193">
        <v>0</v>
      </c>
      <c r="BH31" s="193">
        <v>0</v>
      </c>
    </row>
    <row r="32" spans="1:60" s="188" customFormat="1">
      <c r="A32" s="189">
        <v>-26</v>
      </c>
      <c r="B32" s="194" t="s">
        <v>859</v>
      </c>
      <c r="C32" s="191">
        <v>450000</v>
      </c>
      <c r="D32" s="192">
        <v>0</v>
      </c>
      <c r="E32" s="192">
        <v>0</v>
      </c>
      <c r="F32" s="192"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2">
        <v>0</v>
      </c>
      <c r="M32" s="192">
        <v>0</v>
      </c>
      <c r="N32" s="192">
        <v>0</v>
      </c>
      <c r="O32" s="192">
        <v>0</v>
      </c>
      <c r="P32" s="192">
        <v>0</v>
      </c>
      <c r="Q32" s="192">
        <v>0</v>
      </c>
      <c r="R32" s="192">
        <v>0</v>
      </c>
      <c r="S32" s="192">
        <v>0</v>
      </c>
      <c r="T32" s="192">
        <v>0</v>
      </c>
      <c r="U32" s="192">
        <v>0</v>
      </c>
      <c r="V32" s="192">
        <v>0</v>
      </c>
      <c r="W32" s="192">
        <v>0</v>
      </c>
      <c r="X32" s="192">
        <v>0</v>
      </c>
      <c r="Y32" s="192">
        <v>0</v>
      </c>
      <c r="Z32" s="192">
        <v>0</v>
      </c>
      <c r="AA32" s="192">
        <v>0</v>
      </c>
      <c r="AB32" s="192">
        <v>0</v>
      </c>
      <c r="AC32" s="192">
        <v>0</v>
      </c>
      <c r="AD32" s="192">
        <v>0</v>
      </c>
      <c r="AE32" s="192">
        <v>0</v>
      </c>
      <c r="AF32" s="193">
        <v>0</v>
      </c>
      <c r="AG32" s="193">
        <v>0</v>
      </c>
      <c r="AH32" s="193">
        <v>0</v>
      </c>
      <c r="AI32" s="193">
        <v>0</v>
      </c>
      <c r="AJ32" s="193">
        <v>0</v>
      </c>
      <c r="AK32" s="193">
        <v>0</v>
      </c>
      <c r="AL32" s="193">
        <v>0</v>
      </c>
      <c r="AM32" s="193">
        <v>0</v>
      </c>
      <c r="AN32" s="193">
        <v>0</v>
      </c>
      <c r="AO32" s="193">
        <v>0</v>
      </c>
      <c r="AP32" s="193">
        <v>0</v>
      </c>
      <c r="AQ32" s="193">
        <v>0</v>
      </c>
      <c r="AR32" s="193">
        <v>0</v>
      </c>
      <c r="AS32" s="193">
        <v>0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0</v>
      </c>
      <c r="BA32" s="193">
        <v>0</v>
      </c>
      <c r="BB32" s="193">
        <v>0</v>
      </c>
      <c r="BC32" s="193">
        <v>0</v>
      </c>
      <c r="BD32" s="193">
        <v>0</v>
      </c>
      <c r="BE32" s="193">
        <v>0</v>
      </c>
      <c r="BF32" s="193">
        <v>0</v>
      </c>
      <c r="BG32" s="193">
        <v>0</v>
      </c>
      <c r="BH32" s="193">
        <v>0</v>
      </c>
    </row>
    <row r="33" spans="1:60" s="188" customFormat="1">
      <c r="A33" s="189">
        <v>-27</v>
      </c>
      <c r="B33" s="194" t="s">
        <v>860</v>
      </c>
      <c r="C33" s="191">
        <v>450000</v>
      </c>
      <c r="D33" s="192">
        <v>0</v>
      </c>
      <c r="E33" s="192">
        <v>0</v>
      </c>
      <c r="F33" s="192">
        <v>0</v>
      </c>
      <c r="G33" s="192">
        <v>0</v>
      </c>
      <c r="H33" s="192">
        <v>0</v>
      </c>
      <c r="I33" s="192">
        <v>0</v>
      </c>
      <c r="J33" s="192">
        <v>0</v>
      </c>
      <c r="K33" s="192">
        <v>0</v>
      </c>
      <c r="L33" s="192">
        <v>0</v>
      </c>
      <c r="M33" s="192">
        <v>0</v>
      </c>
      <c r="N33" s="192">
        <v>0</v>
      </c>
      <c r="O33" s="192">
        <v>0</v>
      </c>
      <c r="P33" s="192">
        <v>0</v>
      </c>
      <c r="Q33" s="192">
        <v>0</v>
      </c>
      <c r="R33" s="192">
        <v>0</v>
      </c>
      <c r="S33" s="192">
        <v>0</v>
      </c>
      <c r="T33" s="192">
        <v>0</v>
      </c>
      <c r="U33" s="192">
        <v>0</v>
      </c>
      <c r="V33" s="192">
        <v>0</v>
      </c>
      <c r="W33" s="192">
        <v>0</v>
      </c>
      <c r="X33" s="192">
        <v>0</v>
      </c>
      <c r="Y33" s="192">
        <v>0</v>
      </c>
      <c r="Z33" s="192">
        <v>0</v>
      </c>
      <c r="AA33" s="192">
        <v>0</v>
      </c>
      <c r="AB33" s="192">
        <v>0</v>
      </c>
      <c r="AC33" s="192">
        <v>0</v>
      </c>
      <c r="AD33" s="192">
        <v>0</v>
      </c>
      <c r="AE33" s="192">
        <v>0</v>
      </c>
      <c r="AF33" s="193">
        <v>0</v>
      </c>
      <c r="AG33" s="193">
        <v>0</v>
      </c>
      <c r="AH33" s="193">
        <v>0</v>
      </c>
      <c r="AI33" s="193">
        <v>0</v>
      </c>
      <c r="AJ33" s="193">
        <v>0</v>
      </c>
      <c r="AK33" s="193">
        <v>0</v>
      </c>
      <c r="AL33" s="193">
        <v>0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0</v>
      </c>
      <c r="AS33" s="193">
        <v>0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0</v>
      </c>
      <c r="BC33" s="193">
        <v>0</v>
      </c>
      <c r="BD33" s="193">
        <v>0</v>
      </c>
      <c r="BE33" s="193">
        <v>0</v>
      </c>
      <c r="BF33" s="193">
        <v>0</v>
      </c>
      <c r="BG33" s="193">
        <v>0</v>
      </c>
      <c r="BH33" s="193">
        <v>0</v>
      </c>
    </row>
    <row r="34" spans="1:60" s="188" customFormat="1">
      <c r="A34" s="189">
        <v>-28</v>
      </c>
      <c r="B34" s="194" t="s">
        <v>861</v>
      </c>
      <c r="C34" s="191">
        <v>460000</v>
      </c>
      <c r="D34" s="192">
        <v>0</v>
      </c>
      <c r="E34" s="192">
        <v>0</v>
      </c>
      <c r="F34" s="192">
        <v>0</v>
      </c>
      <c r="G34" s="192">
        <v>0</v>
      </c>
      <c r="H34" s="192">
        <v>0</v>
      </c>
      <c r="I34" s="192">
        <v>0</v>
      </c>
      <c r="J34" s="192">
        <v>0</v>
      </c>
      <c r="K34" s="192">
        <v>0</v>
      </c>
      <c r="L34" s="192">
        <v>0</v>
      </c>
      <c r="M34" s="192">
        <v>0</v>
      </c>
      <c r="N34" s="192">
        <v>0</v>
      </c>
      <c r="O34" s="192">
        <v>0</v>
      </c>
      <c r="P34" s="192">
        <v>0</v>
      </c>
      <c r="Q34" s="192">
        <v>0</v>
      </c>
      <c r="R34" s="192">
        <v>0</v>
      </c>
      <c r="S34" s="192">
        <v>0</v>
      </c>
      <c r="T34" s="192">
        <v>0</v>
      </c>
      <c r="U34" s="192">
        <v>0</v>
      </c>
      <c r="V34" s="192">
        <v>0</v>
      </c>
      <c r="W34" s="192">
        <v>0</v>
      </c>
      <c r="X34" s="192">
        <v>0</v>
      </c>
      <c r="Y34" s="192">
        <v>0</v>
      </c>
      <c r="Z34" s="192">
        <v>0</v>
      </c>
      <c r="AA34" s="192">
        <v>0</v>
      </c>
      <c r="AB34" s="192">
        <v>0</v>
      </c>
      <c r="AC34" s="192">
        <v>0</v>
      </c>
      <c r="AD34" s="192">
        <v>0</v>
      </c>
      <c r="AE34" s="192">
        <v>0</v>
      </c>
      <c r="AF34" s="193">
        <v>0</v>
      </c>
      <c r="AG34" s="193">
        <v>0</v>
      </c>
      <c r="AH34" s="193">
        <v>0</v>
      </c>
      <c r="AI34" s="193">
        <v>0</v>
      </c>
      <c r="AJ34" s="193">
        <v>0</v>
      </c>
      <c r="AK34" s="193">
        <v>0</v>
      </c>
      <c r="AL34" s="193">
        <v>0</v>
      </c>
      <c r="AM34" s="193">
        <v>0</v>
      </c>
      <c r="AN34" s="193">
        <v>0</v>
      </c>
      <c r="AO34" s="193">
        <v>0</v>
      </c>
      <c r="AP34" s="193">
        <v>0</v>
      </c>
      <c r="AQ34" s="193">
        <v>0</v>
      </c>
      <c r="AR34" s="193">
        <v>0</v>
      </c>
      <c r="AS34" s="193">
        <v>0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0</v>
      </c>
      <c r="BE34" s="193">
        <v>0</v>
      </c>
      <c r="BF34" s="193">
        <v>0</v>
      </c>
      <c r="BG34" s="193">
        <v>0</v>
      </c>
      <c r="BH34" s="193">
        <v>0</v>
      </c>
    </row>
    <row r="35" spans="1:60" s="188" customFormat="1">
      <c r="A35" s="189">
        <v>-29</v>
      </c>
      <c r="B35" s="194" t="s">
        <v>862</v>
      </c>
      <c r="C35" s="191">
        <v>460000</v>
      </c>
      <c r="D35" s="192">
        <v>0</v>
      </c>
      <c r="E35" s="192">
        <v>0</v>
      </c>
      <c r="F35" s="192">
        <v>0</v>
      </c>
      <c r="G35" s="192">
        <v>0</v>
      </c>
      <c r="H35" s="192">
        <v>0</v>
      </c>
      <c r="I35" s="192">
        <v>0</v>
      </c>
      <c r="J35" s="192">
        <v>0</v>
      </c>
      <c r="K35" s="192">
        <v>0</v>
      </c>
      <c r="L35" s="192">
        <v>0</v>
      </c>
      <c r="M35" s="192">
        <v>0</v>
      </c>
      <c r="N35" s="192">
        <v>0</v>
      </c>
      <c r="O35" s="192">
        <v>0</v>
      </c>
      <c r="P35" s="192">
        <v>0</v>
      </c>
      <c r="Q35" s="192">
        <v>1</v>
      </c>
      <c r="R35" s="192">
        <v>0</v>
      </c>
      <c r="S35" s="192">
        <v>0</v>
      </c>
      <c r="T35" s="192">
        <v>0</v>
      </c>
      <c r="U35" s="192">
        <v>0</v>
      </c>
      <c r="V35" s="192">
        <v>0</v>
      </c>
      <c r="W35" s="192">
        <v>0</v>
      </c>
      <c r="X35" s="192">
        <v>0</v>
      </c>
      <c r="Y35" s="192">
        <v>0</v>
      </c>
      <c r="Z35" s="192">
        <v>0</v>
      </c>
      <c r="AA35" s="192">
        <v>0</v>
      </c>
      <c r="AB35" s="192">
        <v>0</v>
      </c>
      <c r="AC35" s="192">
        <v>0</v>
      </c>
      <c r="AD35" s="192">
        <v>0</v>
      </c>
      <c r="AE35" s="192">
        <v>1</v>
      </c>
      <c r="AF35" s="193">
        <v>0</v>
      </c>
      <c r="AG35" s="193">
        <v>0</v>
      </c>
      <c r="AH35" s="193">
        <v>0</v>
      </c>
      <c r="AI35" s="193">
        <v>0</v>
      </c>
      <c r="AJ35" s="193">
        <v>0</v>
      </c>
      <c r="AK35" s="193">
        <v>0</v>
      </c>
      <c r="AL35" s="193">
        <v>0</v>
      </c>
      <c r="AM35" s="193">
        <v>0</v>
      </c>
      <c r="AN35" s="193">
        <v>0</v>
      </c>
      <c r="AO35" s="193">
        <v>0</v>
      </c>
      <c r="AP35" s="193">
        <v>0</v>
      </c>
      <c r="AQ35" s="193">
        <v>0</v>
      </c>
      <c r="AR35" s="193">
        <v>0</v>
      </c>
      <c r="AS35" s="193">
        <v>460000</v>
      </c>
      <c r="AT35" s="193">
        <v>0</v>
      </c>
      <c r="AU35" s="193">
        <v>0</v>
      </c>
      <c r="AV35" s="193">
        <v>0</v>
      </c>
      <c r="AW35" s="193">
        <v>0</v>
      </c>
      <c r="AX35" s="193">
        <v>0</v>
      </c>
      <c r="AY35" s="193">
        <v>0</v>
      </c>
      <c r="AZ35" s="193">
        <v>0</v>
      </c>
      <c r="BA35" s="193">
        <v>0</v>
      </c>
      <c r="BB35" s="193">
        <v>0</v>
      </c>
      <c r="BC35" s="193">
        <v>0</v>
      </c>
      <c r="BD35" s="193">
        <v>0</v>
      </c>
      <c r="BE35" s="193">
        <v>0</v>
      </c>
      <c r="BF35" s="193">
        <v>0</v>
      </c>
      <c r="BG35" s="193">
        <v>460000</v>
      </c>
      <c r="BH35" s="193">
        <v>460000</v>
      </c>
    </row>
    <row r="36" spans="1:60" s="188" customFormat="1">
      <c r="A36" s="189">
        <v>-30</v>
      </c>
      <c r="B36" s="194" t="s">
        <v>863</v>
      </c>
      <c r="C36" s="191">
        <v>460000</v>
      </c>
      <c r="D36" s="192">
        <v>0</v>
      </c>
      <c r="E36" s="192">
        <v>0</v>
      </c>
      <c r="F36" s="192">
        <v>0</v>
      </c>
      <c r="G36" s="192">
        <v>0</v>
      </c>
      <c r="H36" s="192">
        <v>0</v>
      </c>
      <c r="I36" s="192">
        <v>0</v>
      </c>
      <c r="J36" s="192">
        <v>0</v>
      </c>
      <c r="K36" s="192">
        <v>0</v>
      </c>
      <c r="L36" s="192">
        <v>0</v>
      </c>
      <c r="M36" s="192">
        <v>0</v>
      </c>
      <c r="N36" s="192">
        <v>0</v>
      </c>
      <c r="O36" s="192">
        <v>0</v>
      </c>
      <c r="P36" s="192">
        <v>0</v>
      </c>
      <c r="Q36" s="192">
        <v>0</v>
      </c>
      <c r="R36" s="192">
        <v>0</v>
      </c>
      <c r="S36" s="192">
        <v>0</v>
      </c>
      <c r="T36" s="192">
        <v>0</v>
      </c>
      <c r="U36" s="192">
        <v>0</v>
      </c>
      <c r="V36" s="192">
        <v>0</v>
      </c>
      <c r="W36" s="192">
        <v>0</v>
      </c>
      <c r="X36" s="192">
        <v>0</v>
      </c>
      <c r="Y36" s="192">
        <v>0</v>
      </c>
      <c r="Z36" s="192">
        <v>0</v>
      </c>
      <c r="AA36" s="192">
        <v>0</v>
      </c>
      <c r="AB36" s="192">
        <v>0</v>
      </c>
      <c r="AC36" s="192">
        <v>0</v>
      </c>
      <c r="AD36" s="192">
        <v>0</v>
      </c>
      <c r="AE36" s="192">
        <v>0</v>
      </c>
      <c r="AF36" s="193">
        <v>0</v>
      </c>
      <c r="AG36" s="193">
        <v>0</v>
      </c>
      <c r="AH36" s="193">
        <v>0</v>
      </c>
      <c r="AI36" s="193">
        <v>0</v>
      </c>
      <c r="AJ36" s="193">
        <v>0</v>
      </c>
      <c r="AK36" s="193">
        <v>0</v>
      </c>
      <c r="AL36" s="193">
        <v>0</v>
      </c>
      <c r="AM36" s="193">
        <v>0</v>
      </c>
      <c r="AN36" s="193">
        <v>0</v>
      </c>
      <c r="AO36" s="193">
        <v>0</v>
      </c>
      <c r="AP36" s="193">
        <v>0</v>
      </c>
      <c r="AQ36" s="193">
        <v>0</v>
      </c>
      <c r="AR36" s="193">
        <v>0</v>
      </c>
      <c r="AS36" s="193">
        <v>0</v>
      </c>
      <c r="AT36" s="193">
        <v>0</v>
      </c>
      <c r="AU36" s="193">
        <v>0</v>
      </c>
      <c r="AV36" s="193">
        <v>0</v>
      </c>
      <c r="AW36" s="193">
        <v>0</v>
      </c>
      <c r="AX36" s="193">
        <v>0</v>
      </c>
      <c r="AY36" s="193">
        <v>0</v>
      </c>
      <c r="AZ36" s="193">
        <v>0</v>
      </c>
      <c r="BA36" s="193">
        <v>0</v>
      </c>
      <c r="BB36" s="193">
        <v>0</v>
      </c>
      <c r="BC36" s="193">
        <v>0</v>
      </c>
      <c r="BD36" s="193">
        <v>0</v>
      </c>
      <c r="BE36" s="193">
        <v>0</v>
      </c>
      <c r="BF36" s="193">
        <v>0</v>
      </c>
      <c r="BG36" s="193">
        <v>0</v>
      </c>
      <c r="BH36" s="193">
        <v>0</v>
      </c>
    </row>
    <row r="37" spans="1:60" s="188" customFormat="1">
      <c r="A37" s="189">
        <v>-31</v>
      </c>
      <c r="B37" s="194" t="s">
        <v>864</v>
      </c>
      <c r="C37" s="191">
        <v>620000</v>
      </c>
      <c r="D37" s="192">
        <v>0</v>
      </c>
      <c r="E37" s="192">
        <v>0</v>
      </c>
      <c r="F37" s="192">
        <v>0</v>
      </c>
      <c r="G37" s="192">
        <v>0</v>
      </c>
      <c r="H37" s="192">
        <v>0</v>
      </c>
      <c r="I37" s="192">
        <v>0</v>
      </c>
      <c r="J37" s="192">
        <v>0</v>
      </c>
      <c r="K37" s="192">
        <v>0</v>
      </c>
      <c r="L37" s="192">
        <v>0</v>
      </c>
      <c r="M37" s="192">
        <v>0</v>
      </c>
      <c r="N37" s="192">
        <v>0</v>
      </c>
      <c r="O37" s="192">
        <v>0</v>
      </c>
      <c r="P37" s="192">
        <v>0</v>
      </c>
      <c r="Q37" s="192">
        <v>0</v>
      </c>
      <c r="R37" s="192">
        <v>0</v>
      </c>
      <c r="S37" s="192">
        <v>0</v>
      </c>
      <c r="T37" s="192">
        <v>0</v>
      </c>
      <c r="U37" s="192">
        <v>0</v>
      </c>
      <c r="V37" s="192">
        <v>0</v>
      </c>
      <c r="W37" s="192">
        <v>0</v>
      </c>
      <c r="X37" s="192">
        <v>0</v>
      </c>
      <c r="Y37" s="192">
        <v>0</v>
      </c>
      <c r="Z37" s="192">
        <v>0</v>
      </c>
      <c r="AA37" s="192">
        <v>0</v>
      </c>
      <c r="AB37" s="192">
        <v>0</v>
      </c>
      <c r="AC37" s="192">
        <v>0</v>
      </c>
      <c r="AD37" s="192">
        <v>0</v>
      </c>
      <c r="AE37" s="192">
        <v>0</v>
      </c>
      <c r="AF37" s="193">
        <v>0</v>
      </c>
      <c r="AG37" s="193">
        <v>0</v>
      </c>
      <c r="AH37" s="193">
        <v>0</v>
      </c>
      <c r="AI37" s="193">
        <v>0</v>
      </c>
      <c r="AJ37" s="193">
        <v>0</v>
      </c>
      <c r="AK37" s="193">
        <v>0</v>
      </c>
      <c r="AL37" s="193">
        <v>0</v>
      </c>
      <c r="AM37" s="193">
        <v>0</v>
      </c>
      <c r="AN37" s="193">
        <v>0</v>
      </c>
      <c r="AO37" s="193">
        <v>0</v>
      </c>
      <c r="AP37" s="193">
        <v>0</v>
      </c>
      <c r="AQ37" s="193">
        <v>0</v>
      </c>
      <c r="AR37" s="193">
        <v>0</v>
      </c>
      <c r="AS37" s="193">
        <v>0</v>
      </c>
      <c r="AT37" s="193">
        <v>0</v>
      </c>
      <c r="AU37" s="193">
        <v>0</v>
      </c>
      <c r="AV37" s="193">
        <v>0</v>
      </c>
      <c r="AW37" s="193">
        <v>0</v>
      </c>
      <c r="AX37" s="193">
        <v>0</v>
      </c>
      <c r="AY37" s="193">
        <v>0</v>
      </c>
      <c r="AZ37" s="193">
        <v>0</v>
      </c>
      <c r="BA37" s="193">
        <v>0</v>
      </c>
      <c r="BB37" s="193">
        <v>0</v>
      </c>
      <c r="BC37" s="193">
        <v>0</v>
      </c>
      <c r="BD37" s="193">
        <v>0</v>
      </c>
      <c r="BE37" s="193">
        <v>0</v>
      </c>
      <c r="BF37" s="193">
        <v>0</v>
      </c>
      <c r="BG37" s="193">
        <v>0</v>
      </c>
      <c r="BH37" s="193">
        <v>0</v>
      </c>
    </row>
    <row r="38" spans="1:60" s="188" customFormat="1">
      <c r="A38" s="189">
        <v>-32</v>
      </c>
      <c r="B38" s="194" t="s">
        <v>865</v>
      </c>
      <c r="C38" s="191">
        <v>675000</v>
      </c>
      <c r="D38" s="192">
        <v>0</v>
      </c>
      <c r="E38" s="192">
        <v>0</v>
      </c>
      <c r="F38" s="192">
        <v>0</v>
      </c>
      <c r="G38" s="192">
        <v>0</v>
      </c>
      <c r="H38" s="192">
        <v>0</v>
      </c>
      <c r="I38" s="192">
        <v>0</v>
      </c>
      <c r="J38" s="192">
        <v>0</v>
      </c>
      <c r="K38" s="192">
        <v>0</v>
      </c>
      <c r="L38" s="192">
        <v>0</v>
      </c>
      <c r="M38" s="192">
        <v>0</v>
      </c>
      <c r="N38" s="192">
        <v>0</v>
      </c>
      <c r="O38" s="192">
        <v>0</v>
      </c>
      <c r="P38" s="192">
        <v>0</v>
      </c>
      <c r="Q38" s="192">
        <v>0</v>
      </c>
      <c r="R38" s="192">
        <v>0</v>
      </c>
      <c r="S38" s="192">
        <v>0</v>
      </c>
      <c r="T38" s="192">
        <v>0</v>
      </c>
      <c r="U38" s="192">
        <v>0</v>
      </c>
      <c r="V38" s="192">
        <v>0</v>
      </c>
      <c r="W38" s="192">
        <v>0</v>
      </c>
      <c r="X38" s="192">
        <v>0</v>
      </c>
      <c r="Y38" s="192">
        <v>0</v>
      </c>
      <c r="Z38" s="192">
        <v>0</v>
      </c>
      <c r="AA38" s="192">
        <v>0</v>
      </c>
      <c r="AB38" s="192">
        <v>0</v>
      </c>
      <c r="AC38" s="192">
        <v>0</v>
      </c>
      <c r="AD38" s="192">
        <v>0</v>
      </c>
      <c r="AE38" s="192">
        <v>0</v>
      </c>
      <c r="AF38" s="193">
        <v>0</v>
      </c>
      <c r="AG38" s="193">
        <v>0</v>
      </c>
      <c r="AH38" s="193">
        <v>0</v>
      </c>
      <c r="AI38" s="193">
        <v>0</v>
      </c>
      <c r="AJ38" s="193">
        <v>0</v>
      </c>
      <c r="AK38" s="193">
        <v>0</v>
      </c>
      <c r="AL38" s="193">
        <v>0</v>
      </c>
      <c r="AM38" s="193">
        <v>0</v>
      </c>
      <c r="AN38" s="193">
        <v>0</v>
      </c>
      <c r="AO38" s="193">
        <v>0</v>
      </c>
      <c r="AP38" s="193">
        <v>0</v>
      </c>
      <c r="AQ38" s="193">
        <v>0</v>
      </c>
      <c r="AR38" s="193">
        <v>0</v>
      </c>
      <c r="AS38" s="193">
        <v>0</v>
      </c>
      <c r="AT38" s="193">
        <v>0</v>
      </c>
      <c r="AU38" s="193">
        <v>0</v>
      </c>
      <c r="AV38" s="193">
        <v>0</v>
      </c>
      <c r="AW38" s="193">
        <v>0</v>
      </c>
      <c r="AX38" s="193">
        <v>0</v>
      </c>
      <c r="AY38" s="193">
        <v>0</v>
      </c>
      <c r="AZ38" s="193">
        <v>0</v>
      </c>
      <c r="BA38" s="193">
        <v>0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</row>
    <row r="39" spans="1:60" s="188" customFormat="1" ht="18.75">
      <c r="A39" s="189">
        <v>-33</v>
      </c>
      <c r="B39" s="194" t="s">
        <v>866</v>
      </c>
      <c r="C39" s="191">
        <v>900000</v>
      </c>
      <c r="D39" s="192">
        <v>0</v>
      </c>
      <c r="E39" s="192">
        <v>0</v>
      </c>
      <c r="F39" s="192">
        <v>0</v>
      </c>
      <c r="G39" s="192">
        <v>0</v>
      </c>
      <c r="H39" s="192">
        <v>0</v>
      </c>
      <c r="I39" s="192">
        <v>0</v>
      </c>
      <c r="J39" s="192">
        <v>0</v>
      </c>
      <c r="K39" s="192">
        <v>0</v>
      </c>
      <c r="L39" s="192">
        <v>0</v>
      </c>
      <c r="M39" s="192">
        <v>0</v>
      </c>
      <c r="N39" s="192">
        <v>0</v>
      </c>
      <c r="O39" s="192">
        <v>0</v>
      </c>
      <c r="P39" s="192">
        <v>0</v>
      </c>
      <c r="Q39" s="192">
        <v>0</v>
      </c>
      <c r="R39" s="192">
        <v>0</v>
      </c>
      <c r="S39" s="192">
        <v>0</v>
      </c>
      <c r="T39" s="192">
        <v>0</v>
      </c>
      <c r="U39" s="192">
        <v>0</v>
      </c>
      <c r="V39" s="192">
        <v>0</v>
      </c>
      <c r="W39" s="192">
        <v>0</v>
      </c>
      <c r="X39" s="192">
        <v>0</v>
      </c>
      <c r="Y39" s="192">
        <v>0</v>
      </c>
      <c r="Z39" s="192">
        <v>0</v>
      </c>
      <c r="AA39" s="192">
        <v>0</v>
      </c>
      <c r="AB39" s="192">
        <v>0</v>
      </c>
      <c r="AC39" s="192">
        <v>0</v>
      </c>
      <c r="AD39" s="192">
        <v>0</v>
      </c>
      <c r="AE39" s="192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</row>
    <row r="40" spans="1:60" s="188" customFormat="1">
      <c r="A40" s="189">
        <v>-34</v>
      </c>
      <c r="B40" s="194" t="s">
        <v>867</v>
      </c>
      <c r="C40" s="191">
        <v>1100000</v>
      </c>
      <c r="D40" s="192">
        <v>0</v>
      </c>
      <c r="E40" s="192">
        <v>0</v>
      </c>
      <c r="F40" s="192">
        <v>0</v>
      </c>
      <c r="G40" s="192">
        <v>0</v>
      </c>
      <c r="H40" s="192">
        <v>0</v>
      </c>
      <c r="I40" s="192">
        <v>0</v>
      </c>
      <c r="J40" s="192">
        <v>0</v>
      </c>
      <c r="K40" s="192">
        <v>0</v>
      </c>
      <c r="L40" s="192">
        <v>0</v>
      </c>
      <c r="M40" s="192">
        <v>0</v>
      </c>
      <c r="N40" s="192">
        <v>0</v>
      </c>
      <c r="O40" s="192">
        <v>0</v>
      </c>
      <c r="P40" s="192">
        <v>0</v>
      </c>
      <c r="Q40" s="192">
        <v>0</v>
      </c>
      <c r="R40" s="192">
        <v>0</v>
      </c>
      <c r="S40" s="192">
        <v>0</v>
      </c>
      <c r="T40" s="192">
        <v>0</v>
      </c>
      <c r="U40" s="192">
        <v>0</v>
      </c>
      <c r="V40" s="192">
        <v>0</v>
      </c>
      <c r="W40" s="192">
        <v>0</v>
      </c>
      <c r="X40" s="192">
        <v>0</v>
      </c>
      <c r="Y40" s="192">
        <v>0</v>
      </c>
      <c r="Z40" s="192">
        <v>0</v>
      </c>
      <c r="AA40" s="192">
        <v>0</v>
      </c>
      <c r="AB40" s="192">
        <v>0</v>
      </c>
      <c r="AC40" s="192">
        <v>0</v>
      </c>
      <c r="AD40" s="192">
        <v>0</v>
      </c>
      <c r="AE40" s="192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</row>
    <row r="41" spans="1:60" s="188" customFormat="1">
      <c r="A41" s="189">
        <v>-35</v>
      </c>
      <c r="B41" s="194" t="s">
        <v>868</v>
      </c>
      <c r="C41" s="191">
        <v>1400000</v>
      </c>
      <c r="D41" s="192">
        <v>0</v>
      </c>
      <c r="E41" s="192">
        <v>0</v>
      </c>
      <c r="F41" s="192">
        <v>0</v>
      </c>
      <c r="G41" s="192">
        <v>0</v>
      </c>
      <c r="H41" s="192">
        <v>0</v>
      </c>
      <c r="I41" s="192">
        <v>0</v>
      </c>
      <c r="J41" s="192">
        <v>0</v>
      </c>
      <c r="K41" s="192">
        <v>0</v>
      </c>
      <c r="L41" s="192">
        <v>0</v>
      </c>
      <c r="M41" s="192">
        <v>0</v>
      </c>
      <c r="N41" s="192">
        <v>0</v>
      </c>
      <c r="O41" s="192">
        <v>0</v>
      </c>
      <c r="P41" s="192">
        <v>0</v>
      </c>
      <c r="Q41" s="192">
        <v>0</v>
      </c>
      <c r="R41" s="192">
        <v>0</v>
      </c>
      <c r="S41" s="192">
        <v>0</v>
      </c>
      <c r="T41" s="192">
        <v>0</v>
      </c>
      <c r="U41" s="192">
        <v>0</v>
      </c>
      <c r="V41" s="192">
        <v>0</v>
      </c>
      <c r="W41" s="192">
        <v>0</v>
      </c>
      <c r="X41" s="192">
        <v>0</v>
      </c>
      <c r="Y41" s="192">
        <v>0</v>
      </c>
      <c r="Z41" s="192">
        <v>0</v>
      </c>
      <c r="AA41" s="192">
        <v>0</v>
      </c>
      <c r="AB41" s="192">
        <v>0</v>
      </c>
      <c r="AC41" s="192">
        <v>0</v>
      </c>
      <c r="AD41" s="192">
        <v>0</v>
      </c>
      <c r="AE41" s="192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</row>
    <row r="42" spans="1:60" s="188" customFormat="1">
      <c r="A42" s="189">
        <v>-36</v>
      </c>
      <c r="B42" s="194" t="s">
        <v>869</v>
      </c>
      <c r="C42" s="191">
        <v>1500000</v>
      </c>
      <c r="D42" s="192">
        <v>0</v>
      </c>
      <c r="E42" s="192">
        <v>0</v>
      </c>
      <c r="F42" s="192">
        <v>0</v>
      </c>
      <c r="G42" s="192">
        <v>0</v>
      </c>
      <c r="H42" s="192">
        <v>0</v>
      </c>
      <c r="I42" s="192">
        <v>0</v>
      </c>
      <c r="J42" s="192">
        <v>0</v>
      </c>
      <c r="K42" s="192">
        <v>0</v>
      </c>
      <c r="L42" s="192">
        <v>0</v>
      </c>
      <c r="M42" s="192">
        <v>0</v>
      </c>
      <c r="N42" s="192">
        <v>0</v>
      </c>
      <c r="O42" s="192">
        <v>0</v>
      </c>
      <c r="P42" s="192">
        <v>0</v>
      </c>
      <c r="Q42" s="192">
        <v>0</v>
      </c>
      <c r="R42" s="192">
        <v>0</v>
      </c>
      <c r="S42" s="192">
        <v>0</v>
      </c>
      <c r="T42" s="192">
        <v>2</v>
      </c>
      <c r="U42" s="192">
        <v>0</v>
      </c>
      <c r="V42" s="192">
        <v>0</v>
      </c>
      <c r="W42" s="192">
        <v>0</v>
      </c>
      <c r="X42" s="192">
        <v>0</v>
      </c>
      <c r="Y42" s="192">
        <v>0</v>
      </c>
      <c r="Z42" s="192">
        <v>0</v>
      </c>
      <c r="AA42" s="192">
        <v>0</v>
      </c>
      <c r="AB42" s="192">
        <v>0</v>
      </c>
      <c r="AC42" s="192">
        <v>0</v>
      </c>
      <c r="AD42" s="192">
        <v>2</v>
      </c>
      <c r="AE42" s="192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3000000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3000000</v>
      </c>
      <c r="BG42" s="193">
        <v>0</v>
      </c>
      <c r="BH42" s="193">
        <v>3000000</v>
      </c>
    </row>
    <row r="43" spans="1:60" s="188" customFormat="1" ht="18.75">
      <c r="A43" s="189">
        <v>-37</v>
      </c>
      <c r="B43" s="194" t="s">
        <v>870</v>
      </c>
      <c r="C43" s="191">
        <v>1700000</v>
      </c>
      <c r="D43" s="192">
        <v>0</v>
      </c>
      <c r="E43" s="192">
        <v>0</v>
      </c>
      <c r="F43" s="192">
        <v>0</v>
      </c>
      <c r="G43" s="192">
        <v>0</v>
      </c>
      <c r="H43" s="192">
        <v>0</v>
      </c>
      <c r="I43" s="192">
        <v>0</v>
      </c>
      <c r="J43" s="192">
        <v>0</v>
      </c>
      <c r="K43" s="192">
        <v>0</v>
      </c>
      <c r="L43" s="192">
        <v>0</v>
      </c>
      <c r="M43" s="192">
        <v>0</v>
      </c>
      <c r="N43" s="192">
        <v>0</v>
      </c>
      <c r="O43" s="192">
        <v>0</v>
      </c>
      <c r="P43" s="192">
        <v>0</v>
      </c>
      <c r="Q43" s="192">
        <v>0</v>
      </c>
      <c r="R43" s="192">
        <v>0</v>
      </c>
      <c r="S43" s="192">
        <v>0</v>
      </c>
      <c r="T43" s="192">
        <v>0</v>
      </c>
      <c r="U43" s="192">
        <v>0</v>
      </c>
      <c r="V43" s="192">
        <v>0</v>
      </c>
      <c r="W43" s="192">
        <v>0</v>
      </c>
      <c r="X43" s="192">
        <v>0</v>
      </c>
      <c r="Y43" s="192">
        <v>0</v>
      </c>
      <c r="Z43" s="192">
        <v>0</v>
      </c>
      <c r="AA43" s="192">
        <v>0</v>
      </c>
      <c r="AB43" s="192">
        <v>0</v>
      </c>
      <c r="AC43" s="192">
        <v>0</v>
      </c>
      <c r="AD43" s="192">
        <v>0</v>
      </c>
      <c r="AE43" s="192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</row>
    <row r="44" spans="1:60" s="188" customFormat="1">
      <c r="A44" s="189">
        <v>-38</v>
      </c>
      <c r="B44" s="190" t="s">
        <v>871</v>
      </c>
      <c r="C44" s="191">
        <v>1900000</v>
      </c>
      <c r="D44" s="192">
        <v>0</v>
      </c>
      <c r="E44" s="192">
        <v>0</v>
      </c>
      <c r="F44" s="192">
        <v>0</v>
      </c>
      <c r="G44" s="192">
        <v>0</v>
      </c>
      <c r="H44" s="192">
        <v>0</v>
      </c>
      <c r="I44" s="192">
        <v>0</v>
      </c>
      <c r="J44" s="192">
        <v>0</v>
      </c>
      <c r="K44" s="192">
        <v>0</v>
      </c>
      <c r="L44" s="192">
        <v>0</v>
      </c>
      <c r="M44" s="192">
        <v>0</v>
      </c>
      <c r="N44" s="192">
        <v>0</v>
      </c>
      <c r="O44" s="192">
        <v>0</v>
      </c>
      <c r="P44" s="192">
        <v>0</v>
      </c>
      <c r="Q44" s="192">
        <v>0</v>
      </c>
      <c r="R44" s="192">
        <v>0</v>
      </c>
      <c r="S44" s="192">
        <v>0</v>
      </c>
      <c r="T44" s="192">
        <v>0</v>
      </c>
      <c r="U44" s="192">
        <v>0</v>
      </c>
      <c r="V44" s="192">
        <v>0</v>
      </c>
      <c r="W44" s="192">
        <v>0</v>
      </c>
      <c r="X44" s="192">
        <v>0</v>
      </c>
      <c r="Y44" s="192">
        <v>0</v>
      </c>
      <c r="Z44" s="192">
        <v>0</v>
      </c>
      <c r="AA44" s="192">
        <v>0</v>
      </c>
      <c r="AB44" s="192">
        <v>0</v>
      </c>
      <c r="AC44" s="192">
        <v>0</v>
      </c>
      <c r="AD44" s="192">
        <v>0</v>
      </c>
      <c r="AE44" s="192">
        <v>0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</row>
    <row r="45" spans="1:60" s="188" customFormat="1">
      <c r="A45" s="189">
        <v>-39</v>
      </c>
      <c r="B45" s="194" t="s">
        <v>872</v>
      </c>
      <c r="C45" s="191">
        <v>2250000</v>
      </c>
      <c r="D45" s="192">
        <v>0</v>
      </c>
      <c r="E45" s="192">
        <v>0</v>
      </c>
      <c r="F45" s="192">
        <v>0</v>
      </c>
      <c r="G45" s="192">
        <v>0</v>
      </c>
      <c r="H45" s="192">
        <v>0</v>
      </c>
      <c r="I45" s="192">
        <v>0</v>
      </c>
      <c r="J45" s="192">
        <v>0</v>
      </c>
      <c r="K45" s="192">
        <v>0</v>
      </c>
      <c r="L45" s="192">
        <v>0</v>
      </c>
      <c r="M45" s="192">
        <v>0</v>
      </c>
      <c r="N45" s="192">
        <v>0</v>
      </c>
      <c r="O45" s="192">
        <v>0</v>
      </c>
      <c r="P45" s="192">
        <v>0</v>
      </c>
      <c r="Q45" s="192">
        <v>0</v>
      </c>
      <c r="R45" s="192">
        <v>0</v>
      </c>
      <c r="S45" s="192">
        <v>0</v>
      </c>
      <c r="T45" s="192">
        <v>0</v>
      </c>
      <c r="U45" s="192">
        <v>0</v>
      </c>
      <c r="V45" s="192">
        <v>0</v>
      </c>
      <c r="W45" s="192">
        <v>0</v>
      </c>
      <c r="X45" s="192">
        <v>0</v>
      </c>
      <c r="Y45" s="192">
        <v>0</v>
      </c>
      <c r="Z45" s="192">
        <v>0</v>
      </c>
      <c r="AA45" s="192">
        <v>0</v>
      </c>
      <c r="AB45" s="192">
        <v>0</v>
      </c>
      <c r="AC45" s="192">
        <v>0</v>
      </c>
      <c r="AD45" s="192">
        <v>0</v>
      </c>
      <c r="AE45" s="192">
        <v>0</v>
      </c>
      <c r="AF45" s="193">
        <v>0</v>
      </c>
      <c r="AG45" s="193">
        <v>0</v>
      </c>
      <c r="AH45" s="193">
        <v>0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0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0</v>
      </c>
      <c r="BA45" s="193">
        <v>0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</row>
    <row r="46" spans="1:60" s="188" customFormat="1">
      <c r="A46" s="189">
        <v>-40</v>
      </c>
      <c r="B46" s="194" t="s">
        <v>873</v>
      </c>
      <c r="C46" s="191">
        <v>2250000</v>
      </c>
      <c r="D46" s="192">
        <v>0</v>
      </c>
      <c r="E46" s="192">
        <v>0</v>
      </c>
      <c r="F46" s="192">
        <v>0</v>
      </c>
      <c r="G46" s="192">
        <v>0</v>
      </c>
      <c r="H46" s="192">
        <v>0</v>
      </c>
      <c r="I46" s="192">
        <v>0</v>
      </c>
      <c r="J46" s="192">
        <v>0</v>
      </c>
      <c r="K46" s="192">
        <v>0</v>
      </c>
      <c r="L46" s="192">
        <v>0</v>
      </c>
      <c r="M46" s="192">
        <v>0</v>
      </c>
      <c r="N46" s="192">
        <v>0</v>
      </c>
      <c r="O46" s="192">
        <v>0</v>
      </c>
      <c r="P46" s="192">
        <v>0</v>
      </c>
      <c r="Q46" s="192">
        <v>0</v>
      </c>
      <c r="R46" s="192">
        <v>0</v>
      </c>
      <c r="S46" s="192">
        <v>0</v>
      </c>
      <c r="T46" s="192">
        <v>0</v>
      </c>
      <c r="U46" s="192">
        <v>3</v>
      </c>
      <c r="V46" s="192">
        <v>0</v>
      </c>
      <c r="W46" s="192">
        <v>0</v>
      </c>
      <c r="X46" s="192">
        <v>0</v>
      </c>
      <c r="Y46" s="192">
        <v>0</v>
      </c>
      <c r="Z46" s="192">
        <v>0</v>
      </c>
      <c r="AA46" s="192">
        <v>0</v>
      </c>
      <c r="AB46" s="192">
        <v>0</v>
      </c>
      <c r="AC46" s="192">
        <v>0</v>
      </c>
      <c r="AD46" s="192">
        <v>0</v>
      </c>
      <c r="AE46" s="192">
        <v>3</v>
      </c>
      <c r="AF46" s="193">
        <v>0</v>
      </c>
      <c r="AG46" s="193">
        <v>0</v>
      </c>
      <c r="AH46" s="193">
        <v>0</v>
      </c>
      <c r="AI46" s="193">
        <v>0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0</v>
      </c>
      <c r="AR46" s="193">
        <v>0</v>
      </c>
      <c r="AS46" s="193">
        <v>0</v>
      </c>
      <c r="AT46" s="193">
        <v>0</v>
      </c>
      <c r="AU46" s="193">
        <v>0</v>
      </c>
      <c r="AV46" s="193">
        <v>0</v>
      </c>
      <c r="AW46" s="193">
        <v>6750000</v>
      </c>
      <c r="AX46" s="193">
        <v>0</v>
      </c>
      <c r="AY46" s="193">
        <v>0</v>
      </c>
      <c r="AZ46" s="193">
        <v>0</v>
      </c>
      <c r="BA46" s="193">
        <v>0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6750000</v>
      </c>
      <c r="BH46" s="193">
        <v>6750000</v>
      </c>
    </row>
    <row r="47" spans="1:60" s="188" customFormat="1">
      <c r="A47" s="189">
        <v>-41</v>
      </c>
      <c r="B47" s="195" t="s">
        <v>874</v>
      </c>
      <c r="C47" s="191">
        <v>2300000</v>
      </c>
      <c r="D47" s="192">
        <v>0</v>
      </c>
      <c r="E47" s="192">
        <v>0</v>
      </c>
      <c r="F47" s="192">
        <v>0</v>
      </c>
      <c r="G47" s="192">
        <v>0</v>
      </c>
      <c r="H47" s="192">
        <v>0</v>
      </c>
      <c r="I47" s="192">
        <v>0</v>
      </c>
      <c r="J47" s="192">
        <v>0</v>
      </c>
      <c r="K47" s="192">
        <v>0</v>
      </c>
      <c r="L47" s="192">
        <v>0</v>
      </c>
      <c r="M47" s="192">
        <v>0</v>
      </c>
      <c r="N47" s="192">
        <v>0</v>
      </c>
      <c r="O47" s="192">
        <v>0</v>
      </c>
      <c r="P47" s="192">
        <v>0</v>
      </c>
      <c r="Q47" s="192">
        <v>0</v>
      </c>
      <c r="R47" s="192">
        <v>0</v>
      </c>
      <c r="S47" s="192">
        <v>0</v>
      </c>
      <c r="T47" s="192">
        <v>0</v>
      </c>
      <c r="U47" s="192">
        <v>0</v>
      </c>
      <c r="V47" s="192">
        <v>0</v>
      </c>
      <c r="W47" s="192">
        <v>0</v>
      </c>
      <c r="X47" s="192">
        <v>0</v>
      </c>
      <c r="Y47" s="192">
        <v>0</v>
      </c>
      <c r="Z47" s="192">
        <v>0</v>
      </c>
      <c r="AA47" s="192">
        <v>0</v>
      </c>
      <c r="AB47" s="192">
        <v>0</v>
      </c>
      <c r="AC47" s="192">
        <v>0</v>
      </c>
      <c r="AD47" s="192">
        <v>0</v>
      </c>
      <c r="AE47" s="192">
        <v>0</v>
      </c>
      <c r="AF47" s="193">
        <v>0</v>
      </c>
      <c r="AG47" s="193">
        <v>0</v>
      </c>
      <c r="AH47" s="193">
        <v>0</v>
      </c>
      <c r="AI47" s="193">
        <v>0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0</v>
      </c>
      <c r="AR47" s="193">
        <v>0</v>
      </c>
      <c r="AS47" s="193">
        <v>0</v>
      </c>
      <c r="AT47" s="193">
        <v>0</v>
      </c>
      <c r="AU47" s="193">
        <v>0</v>
      </c>
      <c r="AV47" s="193">
        <v>0</v>
      </c>
      <c r="AW47" s="193">
        <v>0</v>
      </c>
      <c r="AX47" s="193">
        <v>0</v>
      </c>
      <c r="AY47" s="193">
        <v>0</v>
      </c>
      <c r="AZ47" s="193">
        <v>0</v>
      </c>
      <c r="BA47" s="193">
        <v>0</v>
      </c>
      <c r="BB47" s="193">
        <v>0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0</v>
      </c>
    </row>
    <row r="48" spans="1:60" s="188" customFormat="1">
      <c r="A48" s="189">
        <v>-42</v>
      </c>
      <c r="B48" s="194" t="s">
        <v>875</v>
      </c>
      <c r="C48" s="191">
        <v>3000000</v>
      </c>
      <c r="D48" s="192">
        <v>0</v>
      </c>
      <c r="E48" s="192">
        <v>0</v>
      </c>
      <c r="F48" s="192">
        <v>0</v>
      </c>
      <c r="G48" s="192">
        <v>0</v>
      </c>
      <c r="H48" s="192">
        <v>0</v>
      </c>
      <c r="I48" s="192">
        <v>0</v>
      </c>
      <c r="J48" s="192">
        <v>0</v>
      </c>
      <c r="K48" s="192">
        <v>0</v>
      </c>
      <c r="L48" s="192">
        <v>0</v>
      </c>
      <c r="M48" s="192">
        <v>0</v>
      </c>
      <c r="N48" s="192">
        <v>0</v>
      </c>
      <c r="O48" s="192">
        <v>0</v>
      </c>
      <c r="P48" s="192">
        <v>0</v>
      </c>
      <c r="Q48" s="192">
        <v>0</v>
      </c>
      <c r="R48" s="192">
        <v>0</v>
      </c>
      <c r="S48" s="192">
        <v>0</v>
      </c>
      <c r="T48" s="192">
        <v>0</v>
      </c>
      <c r="U48" s="192">
        <v>0</v>
      </c>
      <c r="V48" s="192">
        <v>0</v>
      </c>
      <c r="W48" s="192">
        <v>0</v>
      </c>
      <c r="X48" s="192">
        <v>0</v>
      </c>
      <c r="Y48" s="192">
        <v>0</v>
      </c>
      <c r="Z48" s="192">
        <v>0</v>
      </c>
      <c r="AA48" s="192">
        <v>0</v>
      </c>
      <c r="AB48" s="192">
        <v>0</v>
      </c>
      <c r="AC48" s="192">
        <v>0</v>
      </c>
      <c r="AD48" s="192">
        <v>0</v>
      </c>
      <c r="AE48" s="192">
        <v>0</v>
      </c>
      <c r="AF48" s="193">
        <v>0</v>
      </c>
      <c r="AG48" s="193">
        <v>0</v>
      </c>
      <c r="AH48" s="193">
        <v>0</v>
      </c>
      <c r="AI48" s="193">
        <v>0</v>
      </c>
      <c r="AJ48" s="193">
        <v>0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0</v>
      </c>
      <c r="AQ48" s="193">
        <v>0</v>
      </c>
      <c r="AR48" s="193">
        <v>0</v>
      </c>
      <c r="AS48" s="193">
        <v>0</v>
      </c>
      <c r="AT48" s="193">
        <v>0</v>
      </c>
      <c r="AU48" s="193">
        <v>0</v>
      </c>
      <c r="AV48" s="193">
        <v>0</v>
      </c>
      <c r="AW48" s="193">
        <v>0</v>
      </c>
      <c r="AX48" s="193">
        <v>0</v>
      </c>
      <c r="AY48" s="193">
        <v>0</v>
      </c>
      <c r="AZ48" s="193">
        <v>0</v>
      </c>
      <c r="BA48" s="193">
        <v>0</v>
      </c>
      <c r="BB48" s="193">
        <v>0</v>
      </c>
      <c r="BC48" s="193">
        <v>0</v>
      </c>
      <c r="BD48" s="193">
        <v>0</v>
      </c>
      <c r="BE48" s="193">
        <v>0</v>
      </c>
      <c r="BF48" s="193">
        <v>0</v>
      </c>
      <c r="BG48" s="193">
        <v>0</v>
      </c>
      <c r="BH48" s="193">
        <v>0</v>
      </c>
    </row>
    <row r="49" spans="1:60" s="188" customFormat="1">
      <c r="A49" s="189">
        <v>-43</v>
      </c>
      <c r="B49" s="194" t="s">
        <v>876</v>
      </c>
      <c r="C49" s="191">
        <v>4400000</v>
      </c>
      <c r="D49" s="192">
        <v>0</v>
      </c>
      <c r="E49" s="192">
        <v>0</v>
      </c>
      <c r="F49" s="192">
        <v>0</v>
      </c>
      <c r="G49" s="192">
        <v>0</v>
      </c>
      <c r="H49" s="192">
        <v>0</v>
      </c>
      <c r="I49" s="192">
        <v>0</v>
      </c>
      <c r="J49" s="192">
        <v>0</v>
      </c>
      <c r="K49" s="192">
        <v>0</v>
      </c>
      <c r="L49" s="192">
        <v>0</v>
      </c>
      <c r="M49" s="192">
        <v>0</v>
      </c>
      <c r="N49" s="192">
        <v>0</v>
      </c>
      <c r="O49" s="192">
        <v>0</v>
      </c>
      <c r="P49" s="192">
        <v>0</v>
      </c>
      <c r="Q49" s="192">
        <v>0</v>
      </c>
      <c r="R49" s="192">
        <v>0</v>
      </c>
      <c r="S49" s="192">
        <v>0</v>
      </c>
      <c r="T49" s="192">
        <v>0</v>
      </c>
      <c r="U49" s="192">
        <v>0</v>
      </c>
      <c r="V49" s="192">
        <v>0</v>
      </c>
      <c r="W49" s="192">
        <v>0</v>
      </c>
      <c r="X49" s="192">
        <v>0</v>
      </c>
      <c r="Y49" s="192">
        <v>0</v>
      </c>
      <c r="Z49" s="192">
        <v>0</v>
      </c>
      <c r="AA49" s="192">
        <v>0</v>
      </c>
      <c r="AB49" s="192">
        <v>0</v>
      </c>
      <c r="AC49" s="192">
        <v>0</v>
      </c>
      <c r="AD49" s="192">
        <v>0</v>
      </c>
      <c r="AE49" s="192">
        <v>0</v>
      </c>
      <c r="AF49" s="193">
        <v>0</v>
      </c>
      <c r="AG49" s="193">
        <v>0</v>
      </c>
      <c r="AH49" s="193">
        <v>0</v>
      </c>
      <c r="AI49" s="193">
        <v>0</v>
      </c>
      <c r="AJ49" s="193">
        <v>0</v>
      </c>
      <c r="AK49" s="193">
        <v>0</v>
      </c>
      <c r="AL49" s="193">
        <v>0</v>
      </c>
      <c r="AM49" s="193">
        <v>0</v>
      </c>
      <c r="AN49" s="193">
        <v>0</v>
      </c>
      <c r="AO49" s="193">
        <v>0</v>
      </c>
      <c r="AP49" s="193">
        <v>0</v>
      </c>
      <c r="AQ49" s="193">
        <v>0</v>
      </c>
      <c r="AR49" s="193">
        <v>0</v>
      </c>
      <c r="AS49" s="193">
        <v>0</v>
      </c>
      <c r="AT49" s="193">
        <v>0</v>
      </c>
      <c r="AU49" s="193">
        <v>0</v>
      </c>
      <c r="AV49" s="193">
        <v>0</v>
      </c>
      <c r="AW49" s="193">
        <v>0</v>
      </c>
      <c r="AX49" s="193">
        <v>0</v>
      </c>
      <c r="AY49" s="193">
        <v>0</v>
      </c>
      <c r="AZ49" s="193">
        <v>0</v>
      </c>
      <c r="BA49" s="193">
        <v>0</v>
      </c>
      <c r="BB49" s="193">
        <v>0</v>
      </c>
      <c r="BC49" s="193">
        <v>0</v>
      </c>
      <c r="BD49" s="193">
        <v>0</v>
      </c>
      <c r="BE49" s="193">
        <v>0</v>
      </c>
      <c r="BF49" s="193">
        <v>0</v>
      </c>
      <c r="BG49" s="193">
        <v>0</v>
      </c>
      <c r="BH49" s="193">
        <v>0</v>
      </c>
    </row>
    <row r="50" spans="1:60" s="188" customFormat="1">
      <c r="A50" s="189">
        <v>-44</v>
      </c>
      <c r="B50" s="190" t="s">
        <v>877</v>
      </c>
      <c r="C50" s="191">
        <v>4500000</v>
      </c>
      <c r="D50" s="192">
        <v>0</v>
      </c>
      <c r="E50" s="192">
        <v>0</v>
      </c>
      <c r="F50" s="192">
        <v>0</v>
      </c>
      <c r="G50" s="192">
        <v>0</v>
      </c>
      <c r="H50" s="192">
        <v>0</v>
      </c>
      <c r="I50" s="192">
        <v>0</v>
      </c>
      <c r="J50" s="192">
        <v>0</v>
      </c>
      <c r="K50" s="192">
        <v>0</v>
      </c>
      <c r="L50" s="192">
        <v>0</v>
      </c>
      <c r="M50" s="192">
        <v>0</v>
      </c>
      <c r="N50" s="192">
        <v>0</v>
      </c>
      <c r="O50" s="192">
        <v>0</v>
      </c>
      <c r="P50" s="192">
        <v>1</v>
      </c>
      <c r="Q50" s="192">
        <v>0</v>
      </c>
      <c r="R50" s="192">
        <v>0</v>
      </c>
      <c r="S50" s="192">
        <v>0</v>
      </c>
      <c r="T50" s="192">
        <v>0</v>
      </c>
      <c r="U50" s="192">
        <v>0</v>
      </c>
      <c r="V50" s="192">
        <v>0</v>
      </c>
      <c r="W50" s="192">
        <v>0</v>
      </c>
      <c r="X50" s="192">
        <v>0</v>
      </c>
      <c r="Y50" s="192">
        <v>0</v>
      </c>
      <c r="Z50" s="192">
        <v>0</v>
      </c>
      <c r="AA50" s="192">
        <v>0</v>
      </c>
      <c r="AB50" s="192">
        <v>0</v>
      </c>
      <c r="AC50" s="192">
        <v>0</v>
      </c>
      <c r="AD50" s="192">
        <v>1</v>
      </c>
      <c r="AE50" s="192">
        <v>0</v>
      </c>
      <c r="AF50" s="193">
        <v>0</v>
      </c>
      <c r="AG50" s="193">
        <v>0</v>
      </c>
      <c r="AH50" s="193">
        <v>0</v>
      </c>
      <c r="AI50" s="193">
        <v>0</v>
      </c>
      <c r="AJ50" s="193">
        <v>0</v>
      </c>
      <c r="AK50" s="193">
        <v>0</v>
      </c>
      <c r="AL50" s="193">
        <v>0</v>
      </c>
      <c r="AM50" s="193">
        <v>0</v>
      </c>
      <c r="AN50" s="193">
        <v>0</v>
      </c>
      <c r="AO50" s="193">
        <v>0</v>
      </c>
      <c r="AP50" s="193">
        <v>0</v>
      </c>
      <c r="AQ50" s="193">
        <v>0</v>
      </c>
      <c r="AR50" s="193">
        <v>4500000</v>
      </c>
      <c r="AS50" s="193">
        <v>0</v>
      </c>
      <c r="AT50" s="193">
        <v>0</v>
      </c>
      <c r="AU50" s="193">
        <v>0</v>
      </c>
      <c r="AV50" s="193">
        <v>0</v>
      </c>
      <c r="AW50" s="193">
        <v>0</v>
      </c>
      <c r="AX50" s="193">
        <v>0</v>
      </c>
      <c r="AY50" s="193">
        <v>0</v>
      </c>
      <c r="AZ50" s="193">
        <v>0</v>
      </c>
      <c r="BA50" s="193">
        <v>0</v>
      </c>
      <c r="BB50" s="193">
        <v>0</v>
      </c>
      <c r="BC50" s="193">
        <v>0</v>
      </c>
      <c r="BD50" s="193">
        <v>0</v>
      </c>
      <c r="BE50" s="193">
        <v>0</v>
      </c>
      <c r="BF50" s="193">
        <v>4500000</v>
      </c>
      <c r="BG50" s="193">
        <v>0</v>
      </c>
      <c r="BH50" s="193">
        <v>4500000</v>
      </c>
    </row>
    <row r="51" spans="1:60">
      <c r="A51" s="196"/>
      <c r="B51" s="190" t="s">
        <v>878</v>
      </c>
      <c r="C51" s="196"/>
      <c r="D51" s="192">
        <v>0</v>
      </c>
      <c r="E51" s="192">
        <v>0</v>
      </c>
      <c r="F51" s="192">
        <v>0</v>
      </c>
      <c r="G51" s="192">
        <v>0</v>
      </c>
      <c r="H51" s="192">
        <v>0</v>
      </c>
      <c r="I51" s="192">
        <v>0</v>
      </c>
      <c r="J51" s="192">
        <v>0</v>
      </c>
      <c r="K51" s="192">
        <v>0</v>
      </c>
      <c r="L51" s="192">
        <v>0</v>
      </c>
      <c r="M51" s="192">
        <v>0</v>
      </c>
      <c r="N51" s="192">
        <v>0</v>
      </c>
      <c r="O51" s="192">
        <v>0</v>
      </c>
      <c r="P51" s="192">
        <v>3</v>
      </c>
      <c r="Q51" s="192">
        <v>2</v>
      </c>
      <c r="R51" s="192">
        <v>0</v>
      </c>
      <c r="S51" s="192">
        <v>0</v>
      </c>
      <c r="T51" s="192">
        <v>9</v>
      </c>
      <c r="U51" s="192">
        <v>3</v>
      </c>
      <c r="V51" s="192">
        <v>9</v>
      </c>
      <c r="W51" s="192">
        <v>0</v>
      </c>
      <c r="X51" s="192">
        <v>0</v>
      </c>
      <c r="Y51" s="192">
        <v>0</v>
      </c>
      <c r="Z51" s="192">
        <v>0</v>
      </c>
      <c r="AA51" s="192">
        <v>0</v>
      </c>
      <c r="AB51" s="192">
        <v>0</v>
      </c>
      <c r="AC51" s="192">
        <v>0</v>
      </c>
      <c r="AD51" s="192">
        <v>21</v>
      </c>
      <c r="AE51" s="192">
        <v>5</v>
      </c>
      <c r="AF51" s="193">
        <v>0</v>
      </c>
      <c r="AG51" s="193">
        <v>0</v>
      </c>
      <c r="AH51" s="193">
        <v>0</v>
      </c>
      <c r="AI51" s="193">
        <v>0</v>
      </c>
      <c r="AJ51" s="193">
        <v>0</v>
      </c>
      <c r="AK51" s="193">
        <v>0</v>
      </c>
      <c r="AL51" s="193">
        <v>0</v>
      </c>
      <c r="AM51" s="193">
        <v>0</v>
      </c>
      <c r="AN51" s="193">
        <v>0</v>
      </c>
      <c r="AO51" s="193">
        <v>0</v>
      </c>
      <c r="AP51" s="193">
        <v>0</v>
      </c>
      <c r="AQ51" s="193">
        <v>0</v>
      </c>
      <c r="AR51" s="193">
        <v>4980000</v>
      </c>
      <c r="AS51" s="193">
        <v>760000</v>
      </c>
      <c r="AT51" s="193">
        <v>0</v>
      </c>
      <c r="AU51" s="193">
        <v>0</v>
      </c>
      <c r="AV51" s="193">
        <v>4450000</v>
      </c>
      <c r="AW51" s="193">
        <v>6750000</v>
      </c>
      <c r="AX51" s="193">
        <v>2125000</v>
      </c>
      <c r="AY51" s="193">
        <v>0</v>
      </c>
      <c r="AZ51" s="193">
        <v>0</v>
      </c>
      <c r="BA51" s="193">
        <v>0</v>
      </c>
      <c r="BB51" s="193">
        <v>0</v>
      </c>
      <c r="BC51" s="193">
        <v>0</v>
      </c>
      <c r="BD51" s="193">
        <v>0</v>
      </c>
      <c r="BE51" s="193">
        <v>0</v>
      </c>
      <c r="BF51" s="193">
        <v>11555000</v>
      </c>
      <c r="BG51" s="193">
        <v>7510000</v>
      </c>
      <c r="BH51" s="193">
        <v>19065000</v>
      </c>
    </row>
    <row r="52" spans="1:60" s="188" customFormat="1">
      <c r="A52" s="184">
        <v>3</v>
      </c>
      <c r="B52" s="185" t="s">
        <v>879</v>
      </c>
      <c r="C52" s="197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</row>
    <row r="53" spans="1:60" s="188" customFormat="1">
      <c r="A53" s="189">
        <v>-1</v>
      </c>
      <c r="B53" s="198" t="s">
        <v>880</v>
      </c>
      <c r="C53" s="191">
        <v>110000</v>
      </c>
      <c r="D53" s="192">
        <v>0</v>
      </c>
      <c r="E53" s="192">
        <v>0</v>
      </c>
      <c r="F53" s="192">
        <v>0</v>
      </c>
      <c r="G53" s="192">
        <v>0</v>
      </c>
      <c r="H53" s="192">
        <v>0</v>
      </c>
      <c r="I53" s="192">
        <v>0</v>
      </c>
      <c r="J53" s="192">
        <v>0</v>
      </c>
      <c r="K53" s="192">
        <v>0</v>
      </c>
      <c r="L53" s="192">
        <v>0</v>
      </c>
      <c r="M53" s="192">
        <v>0</v>
      </c>
      <c r="N53" s="192">
        <v>0</v>
      </c>
      <c r="O53" s="192">
        <v>0</v>
      </c>
      <c r="P53" s="192">
        <v>0</v>
      </c>
      <c r="Q53" s="192">
        <v>0</v>
      </c>
      <c r="R53" s="192">
        <v>0</v>
      </c>
      <c r="S53" s="192">
        <v>0</v>
      </c>
      <c r="T53" s="192">
        <v>0</v>
      </c>
      <c r="U53" s="192">
        <v>0</v>
      </c>
      <c r="V53" s="192">
        <v>0</v>
      </c>
      <c r="W53" s="192">
        <v>0</v>
      </c>
      <c r="X53" s="192">
        <v>0</v>
      </c>
      <c r="Y53" s="192">
        <v>0</v>
      </c>
      <c r="Z53" s="192">
        <v>0</v>
      </c>
      <c r="AA53" s="192">
        <v>0</v>
      </c>
      <c r="AB53" s="192">
        <v>0</v>
      </c>
      <c r="AC53" s="192">
        <v>0</v>
      </c>
      <c r="AD53" s="192">
        <v>0</v>
      </c>
      <c r="AE53" s="192">
        <v>0</v>
      </c>
      <c r="AF53" s="193">
        <v>0</v>
      </c>
      <c r="AG53" s="193">
        <v>0</v>
      </c>
      <c r="AH53" s="193">
        <v>0</v>
      </c>
      <c r="AI53" s="193">
        <v>0</v>
      </c>
      <c r="AJ53" s="193">
        <v>0</v>
      </c>
      <c r="AK53" s="193">
        <v>0</v>
      </c>
      <c r="AL53" s="193">
        <v>0</v>
      </c>
      <c r="AM53" s="193">
        <v>0</v>
      </c>
      <c r="AN53" s="193">
        <v>0</v>
      </c>
      <c r="AO53" s="193">
        <v>0</v>
      </c>
      <c r="AP53" s="193">
        <v>0</v>
      </c>
      <c r="AQ53" s="193">
        <v>0</v>
      </c>
      <c r="AR53" s="193">
        <v>0</v>
      </c>
      <c r="AS53" s="193">
        <v>0</v>
      </c>
      <c r="AT53" s="193">
        <v>0</v>
      </c>
      <c r="AU53" s="193">
        <v>0</v>
      </c>
      <c r="AV53" s="193">
        <v>0</v>
      </c>
      <c r="AW53" s="193">
        <v>0</v>
      </c>
      <c r="AX53" s="193">
        <v>0</v>
      </c>
      <c r="AY53" s="193">
        <v>0</v>
      </c>
      <c r="AZ53" s="193">
        <v>0</v>
      </c>
      <c r="BA53" s="193">
        <v>0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0</v>
      </c>
    </row>
    <row r="54" spans="1:60" s="188" customFormat="1">
      <c r="A54" s="189">
        <v>-2</v>
      </c>
      <c r="B54" s="190" t="s">
        <v>881</v>
      </c>
      <c r="C54" s="191">
        <v>340000</v>
      </c>
      <c r="D54" s="192">
        <v>0</v>
      </c>
      <c r="E54" s="192">
        <v>0</v>
      </c>
      <c r="F54" s="192">
        <v>0</v>
      </c>
      <c r="G54" s="192">
        <v>0</v>
      </c>
      <c r="H54" s="192">
        <v>0</v>
      </c>
      <c r="I54" s="192">
        <v>0</v>
      </c>
      <c r="J54" s="192">
        <v>0</v>
      </c>
      <c r="K54" s="192">
        <v>0</v>
      </c>
      <c r="L54" s="192">
        <v>0</v>
      </c>
      <c r="M54" s="192">
        <v>0</v>
      </c>
      <c r="N54" s="192">
        <v>0</v>
      </c>
      <c r="O54" s="192">
        <v>0</v>
      </c>
      <c r="P54" s="192">
        <v>0</v>
      </c>
      <c r="Q54" s="192">
        <v>0</v>
      </c>
      <c r="R54" s="192">
        <v>0</v>
      </c>
      <c r="S54" s="192">
        <v>0</v>
      </c>
      <c r="T54" s="192">
        <v>0</v>
      </c>
      <c r="U54" s="192">
        <v>0</v>
      </c>
      <c r="V54" s="192">
        <v>0</v>
      </c>
      <c r="W54" s="192">
        <v>0</v>
      </c>
      <c r="X54" s="192">
        <v>0</v>
      </c>
      <c r="Y54" s="192">
        <v>0</v>
      </c>
      <c r="Z54" s="192">
        <v>0</v>
      </c>
      <c r="AA54" s="192">
        <v>0</v>
      </c>
      <c r="AB54" s="192">
        <v>0</v>
      </c>
      <c r="AC54" s="192">
        <v>0</v>
      </c>
      <c r="AD54" s="192">
        <v>0</v>
      </c>
      <c r="AE54" s="192">
        <v>0</v>
      </c>
      <c r="AF54" s="193">
        <v>0</v>
      </c>
      <c r="AG54" s="193">
        <v>0</v>
      </c>
      <c r="AH54" s="193">
        <v>0</v>
      </c>
      <c r="AI54" s="193">
        <v>0</v>
      </c>
      <c r="AJ54" s="193">
        <v>0</v>
      </c>
      <c r="AK54" s="193">
        <v>0</v>
      </c>
      <c r="AL54" s="193">
        <v>0</v>
      </c>
      <c r="AM54" s="193">
        <v>0</v>
      </c>
      <c r="AN54" s="193">
        <v>0</v>
      </c>
      <c r="AO54" s="193">
        <v>0</v>
      </c>
      <c r="AP54" s="193">
        <v>0</v>
      </c>
      <c r="AQ54" s="193">
        <v>0</v>
      </c>
      <c r="AR54" s="193">
        <v>0</v>
      </c>
      <c r="AS54" s="193">
        <v>0</v>
      </c>
      <c r="AT54" s="193">
        <v>0</v>
      </c>
      <c r="AU54" s="193">
        <v>0</v>
      </c>
      <c r="AV54" s="193">
        <v>0</v>
      </c>
      <c r="AW54" s="193">
        <v>0</v>
      </c>
      <c r="AX54" s="193">
        <v>0</v>
      </c>
      <c r="AY54" s="193">
        <v>0</v>
      </c>
      <c r="AZ54" s="193">
        <v>0</v>
      </c>
      <c r="BA54" s="193">
        <v>0</v>
      </c>
      <c r="BB54" s="193">
        <v>0</v>
      </c>
      <c r="BC54" s="193">
        <v>0</v>
      </c>
      <c r="BD54" s="193">
        <v>0</v>
      </c>
      <c r="BE54" s="193">
        <v>0</v>
      </c>
      <c r="BF54" s="193">
        <v>0</v>
      </c>
      <c r="BG54" s="193">
        <v>0</v>
      </c>
      <c r="BH54" s="193">
        <v>0</v>
      </c>
    </row>
    <row r="55" spans="1:60" s="188" customFormat="1">
      <c r="A55" s="189">
        <v>-3</v>
      </c>
      <c r="B55" s="190" t="s">
        <v>882</v>
      </c>
      <c r="C55" s="191">
        <v>450000</v>
      </c>
      <c r="D55" s="192">
        <v>0</v>
      </c>
      <c r="E55" s="192">
        <v>0</v>
      </c>
      <c r="F55" s="192">
        <v>0</v>
      </c>
      <c r="G55" s="192">
        <v>0</v>
      </c>
      <c r="H55" s="192">
        <v>0</v>
      </c>
      <c r="I55" s="192">
        <v>0</v>
      </c>
      <c r="J55" s="192">
        <v>0</v>
      </c>
      <c r="K55" s="192">
        <v>0</v>
      </c>
      <c r="L55" s="192">
        <v>0</v>
      </c>
      <c r="M55" s="192">
        <v>0</v>
      </c>
      <c r="N55" s="192">
        <v>0</v>
      </c>
      <c r="O55" s="192">
        <v>0</v>
      </c>
      <c r="P55" s="192">
        <v>0</v>
      </c>
      <c r="Q55" s="192">
        <v>0</v>
      </c>
      <c r="R55" s="192">
        <v>0</v>
      </c>
      <c r="S55" s="192">
        <v>0</v>
      </c>
      <c r="T55" s="192">
        <v>0</v>
      </c>
      <c r="U55" s="192">
        <v>0</v>
      </c>
      <c r="V55" s="192">
        <v>0</v>
      </c>
      <c r="W55" s="192">
        <v>0</v>
      </c>
      <c r="X55" s="192">
        <v>0</v>
      </c>
      <c r="Y55" s="192">
        <v>0</v>
      </c>
      <c r="Z55" s="192">
        <v>0</v>
      </c>
      <c r="AA55" s="192">
        <v>0</v>
      </c>
      <c r="AB55" s="192">
        <v>0</v>
      </c>
      <c r="AC55" s="192">
        <v>0</v>
      </c>
      <c r="AD55" s="192">
        <v>0</v>
      </c>
      <c r="AE55" s="192">
        <v>0</v>
      </c>
      <c r="AF55" s="193">
        <v>0</v>
      </c>
      <c r="AG55" s="193">
        <v>0</v>
      </c>
      <c r="AH55" s="193">
        <v>0</v>
      </c>
      <c r="AI55" s="193">
        <v>0</v>
      </c>
      <c r="AJ55" s="193">
        <v>0</v>
      </c>
      <c r="AK55" s="193">
        <v>0</v>
      </c>
      <c r="AL55" s="193">
        <v>0</v>
      </c>
      <c r="AM55" s="193">
        <v>0</v>
      </c>
      <c r="AN55" s="193">
        <v>0</v>
      </c>
      <c r="AO55" s="193">
        <v>0</v>
      </c>
      <c r="AP55" s="193">
        <v>0</v>
      </c>
      <c r="AQ55" s="193">
        <v>0</v>
      </c>
      <c r="AR55" s="193">
        <v>0</v>
      </c>
      <c r="AS55" s="193">
        <v>0</v>
      </c>
      <c r="AT55" s="193">
        <v>0</v>
      </c>
      <c r="AU55" s="193">
        <v>0</v>
      </c>
      <c r="AV55" s="193">
        <v>0</v>
      </c>
      <c r="AW55" s="193">
        <v>0</v>
      </c>
      <c r="AX55" s="193">
        <v>0</v>
      </c>
      <c r="AY55" s="193">
        <v>0</v>
      </c>
      <c r="AZ55" s="193">
        <v>0</v>
      </c>
      <c r="BA55" s="193">
        <v>0</v>
      </c>
      <c r="BB55" s="193">
        <v>0</v>
      </c>
      <c r="BC55" s="193">
        <v>0</v>
      </c>
      <c r="BD55" s="193">
        <v>0</v>
      </c>
      <c r="BE55" s="193">
        <v>0</v>
      </c>
      <c r="BF55" s="193">
        <v>0</v>
      </c>
      <c r="BG55" s="193">
        <v>0</v>
      </c>
      <c r="BH55" s="193">
        <v>0</v>
      </c>
    </row>
    <row r="56" spans="1:60" s="188" customFormat="1">
      <c r="A56" s="189">
        <v>-4</v>
      </c>
      <c r="B56" s="190" t="s">
        <v>883</v>
      </c>
      <c r="C56" s="191">
        <v>1125000</v>
      </c>
      <c r="D56" s="192">
        <v>0</v>
      </c>
      <c r="E56" s="192">
        <v>0</v>
      </c>
      <c r="F56" s="192">
        <v>0</v>
      </c>
      <c r="G56" s="192">
        <v>0</v>
      </c>
      <c r="H56" s="192">
        <v>0</v>
      </c>
      <c r="I56" s="192">
        <v>0</v>
      </c>
      <c r="J56" s="192">
        <v>0</v>
      </c>
      <c r="K56" s="192">
        <v>0</v>
      </c>
      <c r="L56" s="192">
        <v>0</v>
      </c>
      <c r="M56" s="192">
        <v>0</v>
      </c>
      <c r="N56" s="192">
        <v>0</v>
      </c>
      <c r="O56" s="192">
        <v>0</v>
      </c>
      <c r="P56" s="192">
        <v>0</v>
      </c>
      <c r="Q56" s="192">
        <v>0</v>
      </c>
      <c r="R56" s="192">
        <v>0</v>
      </c>
      <c r="S56" s="192">
        <v>0</v>
      </c>
      <c r="T56" s="192">
        <v>0</v>
      </c>
      <c r="U56" s="192">
        <v>0</v>
      </c>
      <c r="V56" s="192">
        <v>0</v>
      </c>
      <c r="W56" s="192">
        <v>0</v>
      </c>
      <c r="X56" s="192">
        <v>0</v>
      </c>
      <c r="Y56" s="192">
        <v>0</v>
      </c>
      <c r="Z56" s="192">
        <v>0</v>
      </c>
      <c r="AA56" s="192">
        <v>0</v>
      </c>
      <c r="AB56" s="192">
        <v>0</v>
      </c>
      <c r="AC56" s="192">
        <v>0</v>
      </c>
      <c r="AD56" s="192">
        <v>0</v>
      </c>
      <c r="AE56" s="192">
        <v>0</v>
      </c>
      <c r="AF56" s="193">
        <v>0</v>
      </c>
      <c r="AG56" s="193">
        <v>0</v>
      </c>
      <c r="AH56" s="193">
        <v>0</v>
      </c>
      <c r="AI56" s="193">
        <v>0</v>
      </c>
      <c r="AJ56" s="193">
        <v>0</v>
      </c>
      <c r="AK56" s="193">
        <v>0</v>
      </c>
      <c r="AL56" s="193">
        <v>0</v>
      </c>
      <c r="AM56" s="193">
        <v>0</v>
      </c>
      <c r="AN56" s="193">
        <v>0</v>
      </c>
      <c r="AO56" s="193">
        <v>0</v>
      </c>
      <c r="AP56" s="193">
        <v>0</v>
      </c>
      <c r="AQ56" s="193">
        <v>0</v>
      </c>
      <c r="AR56" s="193">
        <v>0</v>
      </c>
      <c r="AS56" s="193">
        <v>0</v>
      </c>
      <c r="AT56" s="193">
        <v>0</v>
      </c>
      <c r="AU56" s="193">
        <v>0</v>
      </c>
      <c r="AV56" s="193">
        <v>0</v>
      </c>
      <c r="AW56" s="193">
        <v>0</v>
      </c>
      <c r="AX56" s="193">
        <v>0</v>
      </c>
      <c r="AY56" s="193">
        <v>0</v>
      </c>
      <c r="AZ56" s="193">
        <v>0</v>
      </c>
      <c r="BA56" s="193">
        <v>0</v>
      </c>
      <c r="BB56" s="193">
        <v>0</v>
      </c>
      <c r="BC56" s="193">
        <v>0</v>
      </c>
      <c r="BD56" s="193">
        <v>0</v>
      </c>
      <c r="BE56" s="193">
        <v>0</v>
      </c>
      <c r="BF56" s="193">
        <v>0</v>
      </c>
      <c r="BG56" s="193">
        <v>0</v>
      </c>
      <c r="BH56" s="193">
        <v>0</v>
      </c>
    </row>
    <row r="57" spans="1:60" s="188" customFormat="1">
      <c r="A57" s="189">
        <v>-5</v>
      </c>
      <c r="B57" s="190" t="s">
        <v>884</v>
      </c>
      <c r="C57" s="191">
        <v>3600000</v>
      </c>
      <c r="D57" s="192">
        <v>0</v>
      </c>
      <c r="E57" s="192">
        <v>0</v>
      </c>
      <c r="F57" s="192">
        <v>0</v>
      </c>
      <c r="G57" s="192">
        <v>0</v>
      </c>
      <c r="H57" s="192">
        <v>0</v>
      </c>
      <c r="I57" s="192">
        <v>0</v>
      </c>
      <c r="J57" s="192">
        <v>0</v>
      </c>
      <c r="K57" s="192">
        <v>0</v>
      </c>
      <c r="L57" s="192">
        <v>0</v>
      </c>
      <c r="M57" s="192">
        <v>0</v>
      </c>
      <c r="N57" s="192">
        <v>0</v>
      </c>
      <c r="O57" s="192">
        <v>0</v>
      </c>
      <c r="P57" s="192">
        <v>0</v>
      </c>
      <c r="Q57" s="192">
        <v>0</v>
      </c>
      <c r="R57" s="192">
        <v>0</v>
      </c>
      <c r="S57" s="192">
        <v>0</v>
      </c>
      <c r="T57" s="192">
        <v>0</v>
      </c>
      <c r="U57" s="192">
        <v>0</v>
      </c>
      <c r="V57" s="192">
        <v>0</v>
      </c>
      <c r="W57" s="192">
        <v>0</v>
      </c>
      <c r="X57" s="192">
        <v>0</v>
      </c>
      <c r="Y57" s="192">
        <v>0</v>
      </c>
      <c r="Z57" s="192">
        <v>0</v>
      </c>
      <c r="AA57" s="192">
        <v>0</v>
      </c>
      <c r="AB57" s="192">
        <v>0</v>
      </c>
      <c r="AC57" s="192">
        <v>0</v>
      </c>
      <c r="AD57" s="192">
        <v>0</v>
      </c>
      <c r="AE57" s="192">
        <v>0</v>
      </c>
      <c r="AF57" s="193">
        <v>0</v>
      </c>
      <c r="AG57" s="193">
        <v>0</v>
      </c>
      <c r="AH57" s="193">
        <v>0</v>
      </c>
      <c r="AI57" s="193">
        <v>0</v>
      </c>
      <c r="AJ57" s="193">
        <v>0</v>
      </c>
      <c r="AK57" s="193">
        <v>0</v>
      </c>
      <c r="AL57" s="193">
        <v>0</v>
      </c>
      <c r="AM57" s="193">
        <v>0</v>
      </c>
      <c r="AN57" s="193">
        <v>0</v>
      </c>
      <c r="AO57" s="193">
        <v>0</v>
      </c>
      <c r="AP57" s="193">
        <v>0</v>
      </c>
      <c r="AQ57" s="193">
        <v>0</v>
      </c>
      <c r="AR57" s="193">
        <v>0</v>
      </c>
      <c r="AS57" s="193">
        <v>0</v>
      </c>
      <c r="AT57" s="193">
        <v>0</v>
      </c>
      <c r="AU57" s="193">
        <v>0</v>
      </c>
      <c r="AV57" s="193">
        <v>0</v>
      </c>
      <c r="AW57" s="193">
        <v>0</v>
      </c>
      <c r="AX57" s="193">
        <v>0</v>
      </c>
      <c r="AY57" s="193">
        <v>0</v>
      </c>
      <c r="AZ57" s="193">
        <v>0</v>
      </c>
      <c r="BA57" s="193">
        <v>0</v>
      </c>
      <c r="BB57" s="193">
        <v>0</v>
      </c>
      <c r="BC57" s="193">
        <v>0</v>
      </c>
      <c r="BD57" s="193">
        <v>0</v>
      </c>
      <c r="BE57" s="193">
        <v>0</v>
      </c>
      <c r="BF57" s="193">
        <v>0</v>
      </c>
      <c r="BG57" s="193">
        <v>0</v>
      </c>
      <c r="BH57" s="193">
        <v>0</v>
      </c>
    </row>
    <row r="58" spans="1:60" s="188" customFormat="1">
      <c r="A58" s="189">
        <v>-6</v>
      </c>
      <c r="B58" s="199" t="s">
        <v>885</v>
      </c>
      <c r="C58" s="191">
        <v>120000</v>
      </c>
      <c r="D58" s="192">
        <v>0</v>
      </c>
      <c r="E58" s="192">
        <v>0</v>
      </c>
      <c r="F58" s="192">
        <v>0</v>
      </c>
      <c r="G58" s="192">
        <v>0</v>
      </c>
      <c r="H58" s="192">
        <v>0</v>
      </c>
      <c r="I58" s="192">
        <v>0</v>
      </c>
      <c r="J58" s="192">
        <v>0</v>
      </c>
      <c r="K58" s="192">
        <v>0</v>
      </c>
      <c r="L58" s="192">
        <v>0</v>
      </c>
      <c r="M58" s="192">
        <v>0</v>
      </c>
      <c r="N58" s="192">
        <v>0</v>
      </c>
      <c r="O58" s="192">
        <v>0</v>
      </c>
      <c r="P58" s="192">
        <v>0</v>
      </c>
      <c r="Q58" s="192">
        <v>0</v>
      </c>
      <c r="R58" s="192">
        <v>0</v>
      </c>
      <c r="S58" s="192">
        <v>0</v>
      </c>
      <c r="T58" s="192">
        <v>0</v>
      </c>
      <c r="U58" s="192">
        <v>0</v>
      </c>
      <c r="V58" s="192">
        <v>0</v>
      </c>
      <c r="W58" s="192">
        <v>0</v>
      </c>
      <c r="X58" s="192">
        <v>0</v>
      </c>
      <c r="Y58" s="192">
        <v>0</v>
      </c>
      <c r="Z58" s="192">
        <v>0</v>
      </c>
      <c r="AA58" s="192">
        <v>0</v>
      </c>
      <c r="AB58" s="192">
        <v>0</v>
      </c>
      <c r="AC58" s="192">
        <v>0</v>
      </c>
      <c r="AD58" s="192">
        <v>0</v>
      </c>
      <c r="AE58" s="192">
        <v>0</v>
      </c>
      <c r="AF58" s="193">
        <v>0</v>
      </c>
      <c r="AG58" s="193">
        <v>0</v>
      </c>
      <c r="AH58" s="193">
        <v>0</v>
      </c>
      <c r="AI58" s="193">
        <v>0</v>
      </c>
      <c r="AJ58" s="193">
        <v>0</v>
      </c>
      <c r="AK58" s="193">
        <v>0</v>
      </c>
      <c r="AL58" s="193">
        <v>0</v>
      </c>
      <c r="AM58" s="193">
        <v>0</v>
      </c>
      <c r="AN58" s="193">
        <v>0</v>
      </c>
      <c r="AO58" s="193">
        <v>0</v>
      </c>
      <c r="AP58" s="193">
        <v>0</v>
      </c>
      <c r="AQ58" s="193">
        <v>0</v>
      </c>
      <c r="AR58" s="193">
        <v>0</v>
      </c>
      <c r="AS58" s="193">
        <v>0</v>
      </c>
      <c r="AT58" s="193">
        <v>0</v>
      </c>
      <c r="AU58" s="193">
        <v>0</v>
      </c>
      <c r="AV58" s="193">
        <v>0</v>
      </c>
      <c r="AW58" s="193">
        <v>0</v>
      </c>
      <c r="AX58" s="193">
        <v>0</v>
      </c>
      <c r="AY58" s="193">
        <v>0</v>
      </c>
      <c r="AZ58" s="193">
        <v>0</v>
      </c>
      <c r="BA58" s="193">
        <v>0</v>
      </c>
      <c r="BB58" s="193">
        <v>0</v>
      </c>
      <c r="BC58" s="193">
        <v>0</v>
      </c>
      <c r="BD58" s="193">
        <v>0</v>
      </c>
      <c r="BE58" s="193">
        <v>0</v>
      </c>
      <c r="BF58" s="193">
        <v>0</v>
      </c>
      <c r="BG58" s="193">
        <v>0</v>
      </c>
      <c r="BH58" s="193">
        <v>0</v>
      </c>
    </row>
    <row r="59" spans="1:60" s="188" customFormat="1">
      <c r="A59" s="189">
        <v>-7</v>
      </c>
      <c r="B59" s="200" t="s">
        <v>886</v>
      </c>
      <c r="C59" s="191">
        <v>150000</v>
      </c>
      <c r="D59" s="192">
        <v>0</v>
      </c>
      <c r="E59" s="192">
        <v>0</v>
      </c>
      <c r="F59" s="192">
        <v>0</v>
      </c>
      <c r="G59" s="192">
        <v>0</v>
      </c>
      <c r="H59" s="192">
        <v>0</v>
      </c>
      <c r="I59" s="192">
        <v>0</v>
      </c>
      <c r="J59" s="192">
        <v>0</v>
      </c>
      <c r="K59" s="192">
        <v>0</v>
      </c>
      <c r="L59" s="192">
        <v>0</v>
      </c>
      <c r="M59" s="192">
        <v>0</v>
      </c>
      <c r="N59" s="192">
        <v>0</v>
      </c>
      <c r="O59" s="192">
        <v>0</v>
      </c>
      <c r="P59" s="192">
        <v>0</v>
      </c>
      <c r="Q59" s="192">
        <v>0</v>
      </c>
      <c r="R59" s="192">
        <v>0</v>
      </c>
      <c r="S59" s="192">
        <v>0</v>
      </c>
      <c r="T59" s="192">
        <v>0</v>
      </c>
      <c r="U59" s="192">
        <v>0</v>
      </c>
      <c r="V59" s="192">
        <v>0</v>
      </c>
      <c r="W59" s="192">
        <v>0</v>
      </c>
      <c r="X59" s="192">
        <v>0</v>
      </c>
      <c r="Y59" s="192">
        <v>0</v>
      </c>
      <c r="Z59" s="192">
        <v>0</v>
      </c>
      <c r="AA59" s="192">
        <v>0</v>
      </c>
      <c r="AB59" s="192">
        <v>0</v>
      </c>
      <c r="AC59" s="192">
        <v>0</v>
      </c>
      <c r="AD59" s="192">
        <v>0</v>
      </c>
      <c r="AE59" s="192">
        <v>0</v>
      </c>
      <c r="AF59" s="193">
        <v>0</v>
      </c>
      <c r="AG59" s="193">
        <v>0</v>
      </c>
      <c r="AH59" s="193">
        <v>0</v>
      </c>
      <c r="AI59" s="193">
        <v>0</v>
      </c>
      <c r="AJ59" s="193">
        <v>0</v>
      </c>
      <c r="AK59" s="193">
        <v>0</v>
      </c>
      <c r="AL59" s="193">
        <v>0</v>
      </c>
      <c r="AM59" s="193">
        <v>0</v>
      </c>
      <c r="AN59" s="193">
        <v>0</v>
      </c>
      <c r="AO59" s="193">
        <v>0</v>
      </c>
      <c r="AP59" s="193">
        <v>0</v>
      </c>
      <c r="AQ59" s="193">
        <v>0</v>
      </c>
      <c r="AR59" s="193">
        <v>0</v>
      </c>
      <c r="AS59" s="193">
        <v>0</v>
      </c>
      <c r="AT59" s="193">
        <v>0</v>
      </c>
      <c r="AU59" s="193">
        <v>0</v>
      </c>
      <c r="AV59" s="193">
        <v>0</v>
      </c>
      <c r="AW59" s="193">
        <v>0</v>
      </c>
      <c r="AX59" s="193">
        <v>0</v>
      </c>
      <c r="AY59" s="193">
        <v>0</v>
      </c>
      <c r="AZ59" s="193">
        <v>0</v>
      </c>
      <c r="BA59" s="193">
        <v>0</v>
      </c>
      <c r="BB59" s="193">
        <v>0</v>
      </c>
      <c r="BC59" s="193">
        <v>0</v>
      </c>
      <c r="BD59" s="193">
        <v>0</v>
      </c>
      <c r="BE59" s="193">
        <v>0</v>
      </c>
      <c r="BF59" s="193">
        <v>0</v>
      </c>
      <c r="BG59" s="193">
        <v>0</v>
      </c>
      <c r="BH59" s="193">
        <v>0</v>
      </c>
    </row>
    <row r="60" spans="1:60" s="188" customFormat="1">
      <c r="A60" s="189">
        <v>-8</v>
      </c>
      <c r="B60" s="190" t="s">
        <v>846</v>
      </c>
      <c r="C60" s="191">
        <v>210000</v>
      </c>
      <c r="D60" s="192">
        <v>0</v>
      </c>
      <c r="E60" s="192">
        <v>0</v>
      </c>
      <c r="F60" s="192">
        <v>0</v>
      </c>
      <c r="G60" s="192">
        <v>0</v>
      </c>
      <c r="H60" s="192">
        <v>0</v>
      </c>
      <c r="I60" s="192">
        <v>0</v>
      </c>
      <c r="J60" s="192">
        <v>0</v>
      </c>
      <c r="K60" s="192">
        <v>0</v>
      </c>
      <c r="L60" s="192">
        <v>0</v>
      </c>
      <c r="M60" s="192">
        <v>0</v>
      </c>
      <c r="N60" s="192">
        <v>1</v>
      </c>
      <c r="O60" s="192">
        <v>0</v>
      </c>
      <c r="P60" s="192">
        <v>0</v>
      </c>
      <c r="Q60" s="192">
        <v>0</v>
      </c>
      <c r="R60" s="192">
        <v>0</v>
      </c>
      <c r="S60" s="192">
        <v>0</v>
      </c>
      <c r="T60" s="192">
        <v>0</v>
      </c>
      <c r="U60" s="192">
        <v>0</v>
      </c>
      <c r="V60" s="192">
        <v>0</v>
      </c>
      <c r="W60" s="192">
        <v>0</v>
      </c>
      <c r="X60" s="192">
        <v>0</v>
      </c>
      <c r="Y60" s="192">
        <v>0</v>
      </c>
      <c r="Z60" s="192">
        <v>0</v>
      </c>
      <c r="AA60" s="192">
        <v>0</v>
      </c>
      <c r="AB60" s="192">
        <v>0</v>
      </c>
      <c r="AC60" s="192">
        <v>0</v>
      </c>
      <c r="AD60" s="192">
        <v>1</v>
      </c>
      <c r="AE60" s="192">
        <v>0</v>
      </c>
      <c r="AF60" s="193">
        <v>0</v>
      </c>
      <c r="AG60" s="193">
        <v>0</v>
      </c>
      <c r="AH60" s="193">
        <v>0</v>
      </c>
      <c r="AI60" s="193">
        <v>0</v>
      </c>
      <c r="AJ60" s="193">
        <v>0</v>
      </c>
      <c r="AK60" s="193">
        <v>0</v>
      </c>
      <c r="AL60" s="193">
        <v>0</v>
      </c>
      <c r="AM60" s="193">
        <v>0</v>
      </c>
      <c r="AN60" s="193">
        <v>0</v>
      </c>
      <c r="AO60" s="193">
        <v>0</v>
      </c>
      <c r="AP60" s="193">
        <v>210000</v>
      </c>
      <c r="AQ60" s="193">
        <v>0</v>
      </c>
      <c r="AR60" s="193">
        <v>0</v>
      </c>
      <c r="AS60" s="193">
        <v>0</v>
      </c>
      <c r="AT60" s="193">
        <v>0</v>
      </c>
      <c r="AU60" s="193">
        <v>0</v>
      </c>
      <c r="AV60" s="193">
        <v>0</v>
      </c>
      <c r="AW60" s="193">
        <v>0</v>
      </c>
      <c r="AX60" s="193">
        <v>0</v>
      </c>
      <c r="AY60" s="193">
        <v>0</v>
      </c>
      <c r="AZ60" s="193">
        <v>0</v>
      </c>
      <c r="BA60" s="193">
        <v>0</v>
      </c>
      <c r="BB60" s="193">
        <v>0</v>
      </c>
      <c r="BC60" s="193">
        <v>0</v>
      </c>
      <c r="BD60" s="193">
        <v>0</v>
      </c>
      <c r="BE60" s="193">
        <v>0</v>
      </c>
      <c r="BF60" s="193">
        <v>210000</v>
      </c>
      <c r="BG60" s="193">
        <v>0</v>
      </c>
      <c r="BH60" s="193">
        <v>210000</v>
      </c>
    </row>
    <row r="61" spans="1:60" s="188" customFormat="1">
      <c r="A61" s="189">
        <v>-9</v>
      </c>
      <c r="B61" s="190" t="s">
        <v>887</v>
      </c>
      <c r="C61" s="191">
        <v>225000</v>
      </c>
      <c r="D61" s="192">
        <v>0</v>
      </c>
      <c r="E61" s="192">
        <v>0</v>
      </c>
      <c r="F61" s="192">
        <v>0</v>
      </c>
      <c r="G61" s="192">
        <v>0</v>
      </c>
      <c r="H61" s="192">
        <v>0</v>
      </c>
      <c r="I61" s="192">
        <v>0</v>
      </c>
      <c r="J61" s="192">
        <v>0</v>
      </c>
      <c r="K61" s="192">
        <v>0</v>
      </c>
      <c r="L61" s="192">
        <v>0</v>
      </c>
      <c r="M61" s="192">
        <v>0</v>
      </c>
      <c r="N61" s="192">
        <v>0</v>
      </c>
      <c r="O61" s="192">
        <v>0</v>
      </c>
      <c r="P61" s="192">
        <v>0</v>
      </c>
      <c r="Q61" s="192">
        <v>0</v>
      </c>
      <c r="R61" s="192">
        <v>0</v>
      </c>
      <c r="S61" s="192">
        <v>0</v>
      </c>
      <c r="T61" s="192">
        <v>0</v>
      </c>
      <c r="U61" s="192">
        <v>0</v>
      </c>
      <c r="V61" s="192">
        <v>0</v>
      </c>
      <c r="W61" s="192">
        <v>0</v>
      </c>
      <c r="X61" s="192">
        <v>0</v>
      </c>
      <c r="Y61" s="192">
        <v>0</v>
      </c>
      <c r="Z61" s="192">
        <v>0</v>
      </c>
      <c r="AA61" s="192">
        <v>0</v>
      </c>
      <c r="AB61" s="192">
        <v>0</v>
      </c>
      <c r="AC61" s="192">
        <v>0</v>
      </c>
      <c r="AD61" s="192">
        <v>0</v>
      </c>
      <c r="AE61" s="192">
        <v>0</v>
      </c>
      <c r="AF61" s="193">
        <v>0</v>
      </c>
      <c r="AG61" s="193">
        <v>0</v>
      </c>
      <c r="AH61" s="193">
        <v>0</v>
      </c>
      <c r="AI61" s="193">
        <v>0</v>
      </c>
      <c r="AJ61" s="193">
        <v>0</v>
      </c>
      <c r="AK61" s="193">
        <v>0</v>
      </c>
      <c r="AL61" s="193">
        <v>0</v>
      </c>
      <c r="AM61" s="193">
        <v>0</v>
      </c>
      <c r="AN61" s="193">
        <v>0</v>
      </c>
      <c r="AO61" s="193">
        <v>0</v>
      </c>
      <c r="AP61" s="193">
        <v>0</v>
      </c>
      <c r="AQ61" s="193">
        <v>0</v>
      </c>
      <c r="AR61" s="193">
        <v>0</v>
      </c>
      <c r="AS61" s="193">
        <v>0</v>
      </c>
      <c r="AT61" s="193">
        <v>0</v>
      </c>
      <c r="AU61" s="193">
        <v>0</v>
      </c>
      <c r="AV61" s="193">
        <v>0</v>
      </c>
      <c r="AW61" s="193">
        <v>0</v>
      </c>
      <c r="AX61" s="193">
        <v>0</v>
      </c>
      <c r="AY61" s="193">
        <v>0</v>
      </c>
      <c r="AZ61" s="193">
        <v>0</v>
      </c>
      <c r="BA61" s="193">
        <v>0</v>
      </c>
      <c r="BB61" s="193">
        <v>0</v>
      </c>
      <c r="BC61" s="193">
        <v>0</v>
      </c>
      <c r="BD61" s="193">
        <v>0</v>
      </c>
      <c r="BE61" s="193">
        <v>0</v>
      </c>
      <c r="BF61" s="193">
        <v>0</v>
      </c>
      <c r="BG61" s="193">
        <v>0</v>
      </c>
      <c r="BH61" s="193">
        <v>0</v>
      </c>
    </row>
    <row r="62" spans="1:60" s="188" customFormat="1">
      <c r="A62" s="189">
        <v>-10</v>
      </c>
      <c r="B62" s="201" t="s">
        <v>888</v>
      </c>
      <c r="C62" s="191">
        <v>250000</v>
      </c>
      <c r="D62" s="192">
        <v>0</v>
      </c>
      <c r="E62" s="192">
        <v>0</v>
      </c>
      <c r="F62" s="192">
        <v>0</v>
      </c>
      <c r="G62" s="192">
        <v>0</v>
      </c>
      <c r="H62" s="192">
        <v>0</v>
      </c>
      <c r="I62" s="192">
        <v>0</v>
      </c>
      <c r="J62" s="192">
        <v>0</v>
      </c>
      <c r="K62" s="192">
        <v>0</v>
      </c>
      <c r="L62" s="192">
        <v>0</v>
      </c>
      <c r="M62" s="192">
        <v>0</v>
      </c>
      <c r="N62" s="192">
        <v>0</v>
      </c>
      <c r="O62" s="192">
        <v>0</v>
      </c>
      <c r="P62" s="192">
        <v>0</v>
      </c>
      <c r="Q62" s="192">
        <v>0</v>
      </c>
      <c r="R62" s="192">
        <v>0</v>
      </c>
      <c r="S62" s="192">
        <v>0</v>
      </c>
      <c r="T62" s="192">
        <v>0</v>
      </c>
      <c r="U62" s="192">
        <v>0</v>
      </c>
      <c r="V62" s="192">
        <v>0</v>
      </c>
      <c r="W62" s="192">
        <v>0</v>
      </c>
      <c r="X62" s="192">
        <v>0</v>
      </c>
      <c r="Y62" s="192">
        <v>0</v>
      </c>
      <c r="Z62" s="192">
        <v>0</v>
      </c>
      <c r="AA62" s="192">
        <v>0</v>
      </c>
      <c r="AB62" s="192">
        <v>0</v>
      </c>
      <c r="AC62" s="192">
        <v>0</v>
      </c>
      <c r="AD62" s="192">
        <v>0</v>
      </c>
      <c r="AE62" s="192">
        <v>0</v>
      </c>
      <c r="AF62" s="193">
        <v>0</v>
      </c>
      <c r="AG62" s="193">
        <v>0</v>
      </c>
      <c r="AH62" s="193">
        <v>0</v>
      </c>
      <c r="AI62" s="193">
        <v>0</v>
      </c>
      <c r="AJ62" s="193">
        <v>0</v>
      </c>
      <c r="AK62" s="193">
        <v>0</v>
      </c>
      <c r="AL62" s="193">
        <v>0</v>
      </c>
      <c r="AM62" s="193">
        <v>0</v>
      </c>
      <c r="AN62" s="193">
        <v>0</v>
      </c>
      <c r="AO62" s="193">
        <v>0</v>
      </c>
      <c r="AP62" s="193">
        <v>0</v>
      </c>
      <c r="AQ62" s="193">
        <v>0</v>
      </c>
      <c r="AR62" s="193">
        <v>0</v>
      </c>
      <c r="AS62" s="193">
        <v>0</v>
      </c>
      <c r="AT62" s="193">
        <v>0</v>
      </c>
      <c r="AU62" s="193">
        <v>0</v>
      </c>
      <c r="AV62" s="193">
        <v>0</v>
      </c>
      <c r="AW62" s="193">
        <v>0</v>
      </c>
      <c r="AX62" s="193">
        <v>0</v>
      </c>
      <c r="AY62" s="193">
        <v>0</v>
      </c>
      <c r="AZ62" s="193">
        <v>0</v>
      </c>
      <c r="BA62" s="193">
        <v>0</v>
      </c>
      <c r="BB62" s="193">
        <v>0</v>
      </c>
      <c r="BC62" s="193">
        <v>0</v>
      </c>
      <c r="BD62" s="193">
        <v>0</v>
      </c>
      <c r="BE62" s="193">
        <v>0</v>
      </c>
      <c r="BF62" s="193">
        <v>0</v>
      </c>
      <c r="BG62" s="193">
        <v>0</v>
      </c>
      <c r="BH62" s="193">
        <v>0</v>
      </c>
    </row>
    <row r="63" spans="1:60" s="188" customFormat="1">
      <c r="A63" s="189">
        <v>-11</v>
      </c>
      <c r="B63" s="190" t="s">
        <v>889</v>
      </c>
      <c r="C63" s="191">
        <v>280000</v>
      </c>
      <c r="D63" s="192">
        <v>0</v>
      </c>
      <c r="E63" s="192">
        <v>0</v>
      </c>
      <c r="F63" s="192">
        <v>0</v>
      </c>
      <c r="G63" s="192">
        <v>0</v>
      </c>
      <c r="H63" s="192">
        <v>0</v>
      </c>
      <c r="I63" s="192">
        <v>0</v>
      </c>
      <c r="J63" s="192">
        <v>0</v>
      </c>
      <c r="K63" s="192">
        <v>0</v>
      </c>
      <c r="L63" s="192">
        <v>0</v>
      </c>
      <c r="M63" s="192">
        <v>0</v>
      </c>
      <c r="N63" s="192">
        <v>0</v>
      </c>
      <c r="O63" s="192">
        <v>0</v>
      </c>
      <c r="P63" s="192">
        <v>0</v>
      </c>
      <c r="Q63" s="192">
        <v>0</v>
      </c>
      <c r="R63" s="192">
        <v>0</v>
      </c>
      <c r="S63" s="192">
        <v>0</v>
      </c>
      <c r="T63" s="192">
        <v>0</v>
      </c>
      <c r="U63" s="192">
        <v>0</v>
      </c>
      <c r="V63" s="192">
        <v>0</v>
      </c>
      <c r="W63" s="192">
        <v>0</v>
      </c>
      <c r="X63" s="192">
        <v>0</v>
      </c>
      <c r="Y63" s="192">
        <v>0</v>
      </c>
      <c r="Z63" s="192">
        <v>0</v>
      </c>
      <c r="AA63" s="192">
        <v>0</v>
      </c>
      <c r="AB63" s="192">
        <v>0</v>
      </c>
      <c r="AC63" s="192">
        <v>0</v>
      </c>
      <c r="AD63" s="192">
        <v>0</v>
      </c>
      <c r="AE63" s="192">
        <v>0</v>
      </c>
      <c r="AF63" s="193">
        <v>0</v>
      </c>
      <c r="AG63" s="193">
        <v>0</v>
      </c>
      <c r="AH63" s="193">
        <v>0</v>
      </c>
      <c r="AI63" s="193">
        <v>0</v>
      </c>
      <c r="AJ63" s="193">
        <v>0</v>
      </c>
      <c r="AK63" s="193">
        <v>0</v>
      </c>
      <c r="AL63" s="193">
        <v>0</v>
      </c>
      <c r="AM63" s="193">
        <v>0</v>
      </c>
      <c r="AN63" s="193">
        <v>0</v>
      </c>
      <c r="AO63" s="193">
        <v>0</v>
      </c>
      <c r="AP63" s="193">
        <v>0</v>
      </c>
      <c r="AQ63" s="193">
        <v>0</v>
      </c>
      <c r="AR63" s="193">
        <v>0</v>
      </c>
      <c r="AS63" s="193">
        <v>0</v>
      </c>
      <c r="AT63" s="193">
        <v>0</v>
      </c>
      <c r="AU63" s="193">
        <v>0</v>
      </c>
      <c r="AV63" s="193">
        <v>0</v>
      </c>
      <c r="AW63" s="193">
        <v>0</v>
      </c>
      <c r="AX63" s="193">
        <v>0</v>
      </c>
      <c r="AY63" s="193">
        <v>0</v>
      </c>
      <c r="AZ63" s="193">
        <v>0</v>
      </c>
      <c r="BA63" s="193">
        <v>0</v>
      </c>
      <c r="BB63" s="193">
        <v>0</v>
      </c>
      <c r="BC63" s="193">
        <v>0</v>
      </c>
      <c r="BD63" s="193">
        <v>0</v>
      </c>
      <c r="BE63" s="193">
        <v>0</v>
      </c>
      <c r="BF63" s="193">
        <v>0</v>
      </c>
      <c r="BG63" s="193">
        <v>0</v>
      </c>
      <c r="BH63" s="193">
        <v>0</v>
      </c>
    </row>
    <row r="64" spans="1:60" s="188" customFormat="1">
      <c r="A64" s="189">
        <v>-12</v>
      </c>
      <c r="B64" s="190" t="s">
        <v>890</v>
      </c>
      <c r="C64" s="191">
        <v>300000</v>
      </c>
      <c r="D64" s="192">
        <v>0</v>
      </c>
      <c r="E64" s="192">
        <v>0</v>
      </c>
      <c r="F64" s="192">
        <v>0</v>
      </c>
      <c r="G64" s="192">
        <v>0</v>
      </c>
      <c r="H64" s="192">
        <v>0</v>
      </c>
      <c r="I64" s="192">
        <v>0</v>
      </c>
      <c r="J64" s="192">
        <v>0</v>
      </c>
      <c r="K64" s="192">
        <v>0</v>
      </c>
      <c r="L64" s="192">
        <v>0</v>
      </c>
      <c r="M64" s="192">
        <v>0</v>
      </c>
      <c r="N64" s="192">
        <v>0</v>
      </c>
      <c r="O64" s="192">
        <v>0</v>
      </c>
      <c r="P64" s="192">
        <v>0</v>
      </c>
      <c r="Q64" s="192">
        <v>0</v>
      </c>
      <c r="R64" s="192">
        <v>0</v>
      </c>
      <c r="S64" s="192">
        <v>0</v>
      </c>
      <c r="T64" s="192">
        <v>0</v>
      </c>
      <c r="U64" s="192">
        <v>0</v>
      </c>
      <c r="V64" s="192">
        <v>0</v>
      </c>
      <c r="W64" s="192">
        <v>0</v>
      </c>
      <c r="X64" s="192">
        <v>0</v>
      </c>
      <c r="Y64" s="192">
        <v>0</v>
      </c>
      <c r="Z64" s="192">
        <v>0</v>
      </c>
      <c r="AA64" s="192">
        <v>0</v>
      </c>
      <c r="AB64" s="192">
        <v>0</v>
      </c>
      <c r="AC64" s="192">
        <v>0</v>
      </c>
      <c r="AD64" s="192">
        <v>0</v>
      </c>
      <c r="AE64" s="192">
        <v>0</v>
      </c>
      <c r="AF64" s="193">
        <v>0</v>
      </c>
      <c r="AG64" s="193">
        <v>0</v>
      </c>
      <c r="AH64" s="193">
        <v>0</v>
      </c>
      <c r="AI64" s="193">
        <v>0</v>
      </c>
      <c r="AJ64" s="193">
        <v>0</v>
      </c>
      <c r="AK64" s="193">
        <v>0</v>
      </c>
      <c r="AL64" s="193">
        <v>0</v>
      </c>
      <c r="AM64" s="193">
        <v>0</v>
      </c>
      <c r="AN64" s="193">
        <v>0</v>
      </c>
      <c r="AO64" s="193">
        <v>0</v>
      </c>
      <c r="AP64" s="193">
        <v>0</v>
      </c>
      <c r="AQ64" s="193">
        <v>0</v>
      </c>
      <c r="AR64" s="193">
        <v>0</v>
      </c>
      <c r="AS64" s="193">
        <v>0</v>
      </c>
      <c r="AT64" s="193">
        <v>0</v>
      </c>
      <c r="AU64" s="193">
        <v>0</v>
      </c>
      <c r="AV64" s="193">
        <v>0</v>
      </c>
      <c r="AW64" s="193">
        <v>0</v>
      </c>
      <c r="AX64" s="193">
        <v>0</v>
      </c>
      <c r="AY64" s="193">
        <v>0</v>
      </c>
      <c r="AZ64" s="193">
        <v>0</v>
      </c>
      <c r="BA64" s="193">
        <v>0</v>
      </c>
      <c r="BB64" s="193">
        <v>0</v>
      </c>
      <c r="BC64" s="193">
        <v>0</v>
      </c>
      <c r="BD64" s="193">
        <v>0</v>
      </c>
      <c r="BE64" s="193">
        <v>0</v>
      </c>
      <c r="BF64" s="193">
        <v>0</v>
      </c>
      <c r="BG64" s="193">
        <v>0</v>
      </c>
      <c r="BH64" s="193">
        <v>0</v>
      </c>
    </row>
    <row r="65" spans="1:60" s="188" customFormat="1">
      <c r="A65" s="189">
        <v>-13</v>
      </c>
      <c r="B65" s="194" t="s">
        <v>854</v>
      </c>
      <c r="C65" s="191">
        <v>300000</v>
      </c>
      <c r="D65" s="192">
        <v>0</v>
      </c>
      <c r="E65" s="192">
        <v>0</v>
      </c>
      <c r="F65" s="192">
        <v>0</v>
      </c>
      <c r="G65" s="192">
        <v>0</v>
      </c>
      <c r="H65" s="192">
        <v>0</v>
      </c>
      <c r="I65" s="192">
        <v>0</v>
      </c>
      <c r="J65" s="192">
        <v>0</v>
      </c>
      <c r="K65" s="192">
        <v>0</v>
      </c>
      <c r="L65" s="192">
        <v>0</v>
      </c>
      <c r="M65" s="192">
        <v>0</v>
      </c>
      <c r="N65" s="192">
        <v>1</v>
      </c>
      <c r="O65" s="192">
        <v>0</v>
      </c>
      <c r="P65" s="192">
        <v>0</v>
      </c>
      <c r="Q65" s="192">
        <v>0</v>
      </c>
      <c r="R65" s="192">
        <v>0</v>
      </c>
      <c r="S65" s="192">
        <v>0</v>
      </c>
      <c r="T65" s="192">
        <v>0</v>
      </c>
      <c r="U65" s="192">
        <v>0</v>
      </c>
      <c r="V65" s="192">
        <v>0</v>
      </c>
      <c r="W65" s="192">
        <v>0</v>
      </c>
      <c r="X65" s="192">
        <v>0</v>
      </c>
      <c r="Y65" s="192">
        <v>0</v>
      </c>
      <c r="Z65" s="192">
        <v>0</v>
      </c>
      <c r="AA65" s="192">
        <v>0</v>
      </c>
      <c r="AB65" s="192">
        <v>0</v>
      </c>
      <c r="AC65" s="192">
        <v>0</v>
      </c>
      <c r="AD65" s="192">
        <v>1</v>
      </c>
      <c r="AE65" s="192">
        <v>0</v>
      </c>
      <c r="AF65" s="193">
        <v>0</v>
      </c>
      <c r="AG65" s="193">
        <v>0</v>
      </c>
      <c r="AH65" s="193">
        <v>0</v>
      </c>
      <c r="AI65" s="193">
        <v>0</v>
      </c>
      <c r="AJ65" s="193">
        <v>0</v>
      </c>
      <c r="AK65" s="193">
        <v>0</v>
      </c>
      <c r="AL65" s="193">
        <v>0</v>
      </c>
      <c r="AM65" s="193">
        <v>0</v>
      </c>
      <c r="AN65" s="193">
        <v>0</v>
      </c>
      <c r="AO65" s="193">
        <v>0</v>
      </c>
      <c r="AP65" s="193">
        <v>300000</v>
      </c>
      <c r="AQ65" s="193">
        <v>0</v>
      </c>
      <c r="AR65" s="193">
        <v>0</v>
      </c>
      <c r="AS65" s="193">
        <v>0</v>
      </c>
      <c r="AT65" s="193">
        <v>0</v>
      </c>
      <c r="AU65" s="193">
        <v>0</v>
      </c>
      <c r="AV65" s="193">
        <v>0</v>
      </c>
      <c r="AW65" s="193">
        <v>0</v>
      </c>
      <c r="AX65" s="193">
        <v>0</v>
      </c>
      <c r="AY65" s="193">
        <v>0</v>
      </c>
      <c r="AZ65" s="193">
        <v>0</v>
      </c>
      <c r="BA65" s="193">
        <v>0</v>
      </c>
      <c r="BB65" s="193">
        <v>0</v>
      </c>
      <c r="BC65" s="193">
        <v>0</v>
      </c>
      <c r="BD65" s="193">
        <v>0</v>
      </c>
      <c r="BE65" s="193">
        <v>0</v>
      </c>
      <c r="BF65" s="193">
        <v>300000</v>
      </c>
      <c r="BG65" s="193">
        <v>0</v>
      </c>
      <c r="BH65" s="193">
        <v>300000</v>
      </c>
    </row>
    <row r="66" spans="1:60" s="188" customFormat="1">
      <c r="A66" s="189">
        <v>-14</v>
      </c>
      <c r="B66" s="190" t="s">
        <v>891</v>
      </c>
      <c r="C66" s="191">
        <v>320000</v>
      </c>
      <c r="D66" s="192">
        <v>0</v>
      </c>
      <c r="E66" s="192">
        <v>0</v>
      </c>
      <c r="F66" s="192">
        <v>0</v>
      </c>
      <c r="G66" s="192">
        <v>0</v>
      </c>
      <c r="H66" s="192">
        <v>0</v>
      </c>
      <c r="I66" s="192">
        <v>0</v>
      </c>
      <c r="J66" s="192">
        <v>0</v>
      </c>
      <c r="K66" s="192">
        <v>0</v>
      </c>
      <c r="L66" s="192">
        <v>0</v>
      </c>
      <c r="M66" s="192">
        <v>0</v>
      </c>
      <c r="N66" s="192">
        <v>0</v>
      </c>
      <c r="O66" s="192">
        <v>0</v>
      </c>
      <c r="P66" s="192">
        <v>0</v>
      </c>
      <c r="Q66" s="192">
        <v>0</v>
      </c>
      <c r="R66" s="192">
        <v>0</v>
      </c>
      <c r="S66" s="192">
        <v>0</v>
      </c>
      <c r="T66" s="192">
        <v>0</v>
      </c>
      <c r="U66" s="192">
        <v>0</v>
      </c>
      <c r="V66" s="192">
        <v>0</v>
      </c>
      <c r="W66" s="192">
        <v>0</v>
      </c>
      <c r="X66" s="192">
        <v>0</v>
      </c>
      <c r="Y66" s="192">
        <v>0</v>
      </c>
      <c r="Z66" s="192">
        <v>0</v>
      </c>
      <c r="AA66" s="192">
        <v>0</v>
      </c>
      <c r="AB66" s="192">
        <v>0</v>
      </c>
      <c r="AC66" s="192">
        <v>0</v>
      </c>
      <c r="AD66" s="192">
        <v>0</v>
      </c>
      <c r="AE66" s="192">
        <v>0</v>
      </c>
      <c r="AF66" s="193">
        <v>0</v>
      </c>
      <c r="AG66" s="193">
        <v>0</v>
      </c>
      <c r="AH66" s="193">
        <v>0</v>
      </c>
      <c r="AI66" s="193">
        <v>0</v>
      </c>
      <c r="AJ66" s="193">
        <v>0</v>
      </c>
      <c r="AK66" s="193">
        <v>0</v>
      </c>
      <c r="AL66" s="193">
        <v>0</v>
      </c>
      <c r="AM66" s="193">
        <v>0</v>
      </c>
      <c r="AN66" s="193">
        <v>0</v>
      </c>
      <c r="AO66" s="193">
        <v>0</v>
      </c>
      <c r="AP66" s="193">
        <v>0</v>
      </c>
      <c r="AQ66" s="193">
        <v>0</v>
      </c>
      <c r="AR66" s="193">
        <v>0</v>
      </c>
      <c r="AS66" s="193">
        <v>0</v>
      </c>
      <c r="AT66" s="193">
        <v>0</v>
      </c>
      <c r="AU66" s="193">
        <v>0</v>
      </c>
      <c r="AV66" s="193">
        <v>0</v>
      </c>
      <c r="AW66" s="193">
        <v>0</v>
      </c>
      <c r="AX66" s="193">
        <v>0</v>
      </c>
      <c r="AY66" s="193">
        <v>0</v>
      </c>
      <c r="AZ66" s="193">
        <v>0</v>
      </c>
      <c r="BA66" s="193">
        <v>0</v>
      </c>
      <c r="BB66" s="193">
        <v>0</v>
      </c>
      <c r="BC66" s="193">
        <v>0</v>
      </c>
      <c r="BD66" s="193">
        <v>0</v>
      </c>
      <c r="BE66" s="193">
        <v>0</v>
      </c>
      <c r="BF66" s="193">
        <v>0</v>
      </c>
      <c r="BG66" s="193">
        <v>0</v>
      </c>
      <c r="BH66" s="193">
        <v>0</v>
      </c>
    </row>
    <row r="67" spans="1:60" s="188" customFormat="1">
      <c r="A67" s="189">
        <v>-15</v>
      </c>
      <c r="B67" s="190" t="s">
        <v>892</v>
      </c>
      <c r="C67" s="191">
        <v>340000</v>
      </c>
      <c r="D67" s="192">
        <v>0</v>
      </c>
      <c r="E67" s="192">
        <v>0</v>
      </c>
      <c r="F67" s="192">
        <v>0</v>
      </c>
      <c r="G67" s="192">
        <v>0</v>
      </c>
      <c r="H67" s="192">
        <v>0</v>
      </c>
      <c r="I67" s="192">
        <v>0</v>
      </c>
      <c r="J67" s="192">
        <v>0</v>
      </c>
      <c r="K67" s="192">
        <v>0</v>
      </c>
      <c r="L67" s="192">
        <v>0</v>
      </c>
      <c r="M67" s="192">
        <v>0</v>
      </c>
      <c r="N67" s="192">
        <v>0</v>
      </c>
      <c r="O67" s="192">
        <v>0</v>
      </c>
      <c r="P67" s="192">
        <v>0</v>
      </c>
      <c r="Q67" s="192">
        <v>0</v>
      </c>
      <c r="R67" s="192">
        <v>0</v>
      </c>
      <c r="S67" s="192">
        <v>0</v>
      </c>
      <c r="T67" s="192">
        <v>0</v>
      </c>
      <c r="U67" s="192">
        <v>0</v>
      </c>
      <c r="V67" s="192">
        <v>0</v>
      </c>
      <c r="W67" s="192">
        <v>0</v>
      </c>
      <c r="X67" s="192">
        <v>0</v>
      </c>
      <c r="Y67" s="192">
        <v>0</v>
      </c>
      <c r="Z67" s="192">
        <v>0</v>
      </c>
      <c r="AA67" s="192">
        <v>0</v>
      </c>
      <c r="AB67" s="192">
        <v>0</v>
      </c>
      <c r="AC67" s="192">
        <v>0</v>
      </c>
      <c r="AD67" s="192">
        <v>0</v>
      </c>
      <c r="AE67" s="192">
        <v>0</v>
      </c>
      <c r="AF67" s="193">
        <v>0</v>
      </c>
      <c r="AG67" s="193">
        <v>0</v>
      </c>
      <c r="AH67" s="193">
        <v>0</v>
      </c>
      <c r="AI67" s="193">
        <v>0</v>
      </c>
      <c r="AJ67" s="193">
        <v>0</v>
      </c>
      <c r="AK67" s="193">
        <v>0</v>
      </c>
      <c r="AL67" s="193">
        <v>0</v>
      </c>
      <c r="AM67" s="193">
        <v>0</v>
      </c>
      <c r="AN67" s="193">
        <v>0</v>
      </c>
      <c r="AO67" s="193">
        <v>0</v>
      </c>
      <c r="AP67" s="193">
        <v>0</v>
      </c>
      <c r="AQ67" s="193">
        <v>0</v>
      </c>
      <c r="AR67" s="193">
        <v>0</v>
      </c>
      <c r="AS67" s="193">
        <v>0</v>
      </c>
      <c r="AT67" s="193">
        <v>0</v>
      </c>
      <c r="AU67" s="193">
        <v>0</v>
      </c>
      <c r="AV67" s="193">
        <v>0</v>
      </c>
      <c r="AW67" s="193">
        <v>0</v>
      </c>
      <c r="AX67" s="193">
        <v>0</v>
      </c>
      <c r="AY67" s="193">
        <v>0</v>
      </c>
      <c r="AZ67" s="193">
        <v>0</v>
      </c>
      <c r="BA67" s="193">
        <v>0</v>
      </c>
      <c r="BB67" s="193">
        <v>0</v>
      </c>
      <c r="BC67" s="193">
        <v>0</v>
      </c>
      <c r="BD67" s="193">
        <v>0</v>
      </c>
      <c r="BE67" s="193">
        <v>0</v>
      </c>
      <c r="BF67" s="193">
        <v>0</v>
      </c>
      <c r="BG67" s="193">
        <v>0</v>
      </c>
      <c r="BH67" s="193">
        <v>0</v>
      </c>
    </row>
    <row r="68" spans="1:60" s="188" customFormat="1">
      <c r="A68" s="189">
        <v>-16</v>
      </c>
      <c r="B68" s="194" t="s">
        <v>855</v>
      </c>
      <c r="C68" s="191">
        <v>340000</v>
      </c>
      <c r="D68" s="192">
        <v>0</v>
      </c>
      <c r="E68" s="192">
        <v>0</v>
      </c>
      <c r="F68" s="192">
        <v>0</v>
      </c>
      <c r="G68" s="192">
        <v>0</v>
      </c>
      <c r="H68" s="192">
        <v>0</v>
      </c>
      <c r="I68" s="192">
        <v>0</v>
      </c>
      <c r="J68" s="192">
        <v>0</v>
      </c>
      <c r="K68" s="192">
        <v>0</v>
      </c>
      <c r="L68" s="192">
        <v>0</v>
      </c>
      <c r="M68" s="192">
        <v>0</v>
      </c>
      <c r="N68" s="192">
        <v>0</v>
      </c>
      <c r="O68" s="192">
        <v>0</v>
      </c>
      <c r="P68" s="192">
        <v>0</v>
      </c>
      <c r="Q68" s="192">
        <v>0</v>
      </c>
      <c r="R68" s="192">
        <v>0</v>
      </c>
      <c r="S68" s="192">
        <v>0</v>
      </c>
      <c r="T68" s="192">
        <v>0</v>
      </c>
      <c r="U68" s="192">
        <v>0</v>
      </c>
      <c r="V68" s="192">
        <v>0</v>
      </c>
      <c r="W68" s="192">
        <v>0</v>
      </c>
      <c r="X68" s="192">
        <v>0</v>
      </c>
      <c r="Y68" s="192">
        <v>0</v>
      </c>
      <c r="Z68" s="192">
        <v>0</v>
      </c>
      <c r="AA68" s="192">
        <v>0</v>
      </c>
      <c r="AB68" s="192">
        <v>0</v>
      </c>
      <c r="AC68" s="192">
        <v>0</v>
      </c>
      <c r="AD68" s="192">
        <v>0</v>
      </c>
      <c r="AE68" s="192">
        <v>0</v>
      </c>
      <c r="AF68" s="193">
        <v>0</v>
      </c>
      <c r="AG68" s="193">
        <v>0</v>
      </c>
      <c r="AH68" s="193">
        <v>0</v>
      </c>
      <c r="AI68" s="193">
        <v>0</v>
      </c>
      <c r="AJ68" s="193">
        <v>0</v>
      </c>
      <c r="AK68" s="193">
        <v>0</v>
      </c>
      <c r="AL68" s="193">
        <v>0</v>
      </c>
      <c r="AM68" s="193">
        <v>0</v>
      </c>
      <c r="AN68" s="193">
        <v>0</v>
      </c>
      <c r="AO68" s="193">
        <v>0</v>
      </c>
      <c r="AP68" s="193">
        <v>0</v>
      </c>
      <c r="AQ68" s="193">
        <v>0</v>
      </c>
      <c r="AR68" s="193">
        <v>0</v>
      </c>
      <c r="AS68" s="193">
        <v>0</v>
      </c>
      <c r="AT68" s="193">
        <v>0</v>
      </c>
      <c r="AU68" s="193">
        <v>0</v>
      </c>
      <c r="AV68" s="193">
        <v>0</v>
      </c>
      <c r="AW68" s="193">
        <v>0</v>
      </c>
      <c r="AX68" s="193">
        <v>0</v>
      </c>
      <c r="AY68" s="193">
        <v>0</v>
      </c>
      <c r="AZ68" s="193">
        <v>0</v>
      </c>
      <c r="BA68" s="193">
        <v>0</v>
      </c>
      <c r="BB68" s="193">
        <v>0</v>
      </c>
      <c r="BC68" s="193">
        <v>0</v>
      </c>
      <c r="BD68" s="193">
        <v>0</v>
      </c>
      <c r="BE68" s="193">
        <v>0</v>
      </c>
      <c r="BF68" s="193">
        <v>0</v>
      </c>
      <c r="BG68" s="193">
        <v>0</v>
      </c>
      <c r="BH68" s="193">
        <v>0</v>
      </c>
    </row>
    <row r="69" spans="1:60" s="188" customFormat="1">
      <c r="A69" s="189">
        <v>-17</v>
      </c>
      <c r="B69" s="190" t="s">
        <v>858</v>
      </c>
      <c r="C69" s="191">
        <v>400000</v>
      </c>
      <c r="D69" s="192">
        <v>0</v>
      </c>
      <c r="E69" s="192">
        <v>0</v>
      </c>
      <c r="F69" s="192">
        <v>0</v>
      </c>
      <c r="G69" s="192">
        <v>0</v>
      </c>
      <c r="H69" s="192">
        <v>0</v>
      </c>
      <c r="I69" s="192">
        <v>0</v>
      </c>
      <c r="J69" s="192">
        <v>0</v>
      </c>
      <c r="K69" s="192">
        <v>0</v>
      </c>
      <c r="L69" s="192">
        <v>0</v>
      </c>
      <c r="M69" s="192">
        <v>0</v>
      </c>
      <c r="N69" s="192">
        <v>0</v>
      </c>
      <c r="O69" s="192">
        <v>0</v>
      </c>
      <c r="P69" s="192">
        <v>0</v>
      </c>
      <c r="Q69" s="192">
        <v>0</v>
      </c>
      <c r="R69" s="192">
        <v>0</v>
      </c>
      <c r="S69" s="192">
        <v>0</v>
      </c>
      <c r="T69" s="192">
        <v>0</v>
      </c>
      <c r="U69" s="192">
        <v>0</v>
      </c>
      <c r="V69" s="192">
        <v>0</v>
      </c>
      <c r="W69" s="192">
        <v>0</v>
      </c>
      <c r="X69" s="192">
        <v>0</v>
      </c>
      <c r="Y69" s="192">
        <v>0</v>
      </c>
      <c r="Z69" s="192">
        <v>0</v>
      </c>
      <c r="AA69" s="192">
        <v>0</v>
      </c>
      <c r="AB69" s="192">
        <v>0</v>
      </c>
      <c r="AC69" s="192">
        <v>0</v>
      </c>
      <c r="AD69" s="192">
        <v>0</v>
      </c>
      <c r="AE69" s="192">
        <v>0</v>
      </c>
      <c r="AF69" s="193">
        <v>0</v>
      </c>
      <c r="AG69" s="193">
        <v>0</v>
      </c>
      <c r="AH69" s="193">
        <v>0</v>
      </c>
      <c r="AI69" s="193">
        <v>0</v>
      </c>
      <c r="AJ69" s="193">
        <v>0</v>
      </c>
      <c r="AK69" s="193">
        <v>0</v>
      </c>
      <c r="AL69" s="193">
        <v>0</v>
      </c>
      <c r="AM69" s="193">
        <v>0</v>
      </c>
      <c r="AN69" s="193">
        <v>0</v>
      </c>
      <c r="AO69" s="193">
        <v>0</v>
      </c>
      <c r="AP69" s="193">
        <v>0</v>
      </c>
      <c r="AQ69" s="193">
        <v>0</v>
      </c>
      <c r="AR69" s="193">
        <v>0</v>
      </c>
      <c r="AS69" s="193">
        <v>0</v>
      </c>
      <c r="AT69" s="193">
        <v>0</v>
      </c>
      <c r="AU69" s="193">
        <v>0</v>
      </c>
      <c r="AV69" s="193">
        <v>0</v>
      </c>
      <c r="AW69" s="193">
        <v>0</v>
      </c>
      <c r="AX69" s="193">
        <v>0</v>
      </c>
      <c r="AY69" s="193">
        <v>0</v>
      </c>
      <c r="AZ69" s="193">
        <v>0</v>
      </c>
      <c r="BA69" s="193">
        <v>0</v>
      </c>
      <c r="BB69" s="193">
        <v>0</v>
      </c>
      <c r="BC69" s="193">
        <v>0</v>
      </c>
      <c r="BD69" s="193">
        <v>0</v>
      </c>
      <c r="BE69" s="193">
        <v>0</v>
      </c>
      <c r="BF69" s="193">
        <v>0</v>
      </c>
      <c r="BG69" s="193">
        <v>0</v>
      </c>
      <c r="BH69" s="193">
        <v>0</v>
      </c>
    </row>
    <row r="70" spans="1:60" s="188" customFormat="1">
      <c r="A70" s="189">
        <v>-18</v>
      </c>
      <c r="B70" s="198" t="s">
        <v>893</v>
      </c>
      <c r="C70" s="191">
        <v>400000</v>
      </c>
      <c r="D70" s="192">
        <v>0</v>
      </c>
      <c r="E70" s="192">
        <v>0</v>
      </c>
      <c r="F70" s="192">
        <v>0</v>
      </c>
      <c r="G70" s="192">
        <v>0</v>
      </c>
      <c r="H70" s="192">
        <v>0</v>
      </c>
      <c r="I70" s="192">
        <v>0</v>
      </c>
      <c r="J70" s="192">
        <v>0</v>
      </c>
      <c r="K70" s="192">
        <v>0</v>
      </c>
      <c r="L70" s="192">
        <v>0</v>
      </c>
      <c r="M70" s="192">
        <v>0</v>
      </c>
      <c r="N70" s="192">
        <v>0</v>
      </c>
      <c r="O70" s="192">
        <v>0</v>
      </c>
      <c r="P70" s="192">
        <v>0</v>
      </c>
      <c r="Q70" s="192">
        <v>0</v>
      </c>
      <c r="R70" s="192">
        <v>0</v>
      </c>
      <c r="S70" s="192">
        <v>0</v>
      </c>
      <c r="T70" s="192">
        <v>0</v>
      </c>
      <c r="U70" s="192">
        <v>0</v>
      </c>
      <c r="V70" s="192">
        <v>0</v>
      </c>
      <c r="W70" s="192">
        <v>0</v>
      </c>
      <c r="X70" s="192">
        <v>0</v>
      </c>
      <c r="Y70" s="192">
        <v>0</v>
      </c>
      <c r="Z70" s="192">
        <v>0</v>
      </c>
      <c r="AA70" s="192">
        <v>0</v>
      </c>
      <c r="AB70" s="192">
        <v>0</v>
      </c>
      <c r="AC70" s="192">
        <v>0</v>
      </c>
      <c r="AD70" s="192">
        <v>0</v>
      </c>
      <c r="AE70" s="192">
        <v>0</v>
      </c>
      <c r="AF70" s="193">
        <v>0</v>
      </c>
      <c r="AG70" s="193">
        <v>0</v>
      </c>
      <c r="AH70" s="193">
        <v>0</v>
      </c>
      <c r="AI70" s="193">
        <v>0</v>
      </c>
      <c r="AJ70" s="193">
        <v>0</v>
      </c>
      <c r="AK70" s="193">
        <v>0</v>
      </c>
      <c r="AL70" s="193">
        <v>0</v>
      </c>
      <c r="AM70" s="193">
        <v>0</v>
      </c>
      <c r="AN70" s="193">
        <v>0</v>
      </c>
      <c r="AO70" s="193">
        <v>0</v>
      </c>
      <c r="AP70" s="193">
        <v>0</v>
      </c>
      <c r="AQ70" s="193">
        <v>0</v>
      </c>
      <c r="AR70" s="193">
        <v>0</v>
      </c>
      <c r="AS70" s="193">
        <v>0</v>
      </c>
      <c r="AT70" s="193">
        <v>0</v>
      </c>
      <c r="AU70" s="193">
        <v>0</v>
      </c>
      <c r="AV70" s="193">
        <v>0</v>
      </c>
      <c r="AW70" s="193">
        <v>0</v>
      </c>
      <c r="AX70" s="193">
        <v>0</v>
      </c>
      <c r="AY70" s="193">
        <v>0</v>
      </c>
      <c r="AZ70" s="193">
        <v>0</v>
      </c>
      <c r="BA70" s="193">
        <v>0</v>
      </c>
      <c r="BB70" s="193">
        <v>0</v>
      </c>
      <c r="BC70" s="193">
        <v>0</v>
      </c>
      <c r="BD70" s="193">
        <v>0</v>
      </c>
      <c r="BE70" s="193">
        <v>0</v>
      </c>
      <c r="BF70" s="193">
        <v>0</v>
      </c>
      <c r="BG70" s="193">
        <v>0</v>
      </c>
      <c r="BH70" s="193">
        <v>0</v>
      </c>
    </row>
    <row r="71" spans="1:60" s="188" customFormat="1">
      <c r="A71" s="189">
        <v>-19</v>
      </c>
      <c r="B71" s="201" t="s">
        <v>894</v>
      </c>
      <c r="C71" s="191">
        <v>450000</v>
      </c>
      <c r="D71" s="192">
        <v>0</v>
      </c>
      <c r="E71" s="192">
        <v>0</v>
      </c>
      <c r="F71" s="192">
        <v>0</v>
      </c>
      <c r="G71" s="192">
        <v>0</v>
      </c>
      <c r="H71" s="192">
        <v>0</v>
      </c>
      <c r="I71" s="192">
        <v>0</v>
      </c>
      <c r="J71" s="192">
        <v>0</v>
      </c>
      <c r="K71" s="192">
        <v>0</v>
      </c>
      <c r="L71" s="192">
        <v>0</v>
      </c>
      <c r="M71" s="192">
        <v>0</v>
      </c>
      <c r="N71" s="192">
        <v>0</v>
      </c>
      <c r="O71" s="192">
        <v>0</v>
      </c>
      <c r="P71" s="192">
        <v>0</v>
      </c>
      <c r="Q71" s="192">
        <v>0</v>
      </c>
      <c r="R71" s="192">
        <v>0</v>
      </c>
      <c r="S71" s="192">
        <v>0</v>
      </c>
      <c r="T71" s="192">
        <v>0</v>
      </c>
      <c r="U71" s="192">
        <v>0</v>
      </c>
      <c r="V71" s="192">
        <v>0</v>
      </c>
      <c r="W71" s="192">
        <v>0</v>
      </c>
      <c r="X71" s="192">
        <v>0</v>
      </c>
      <c r="Y71" s="192">
        <v>0</v>
      </c>
      <c r="Z71" s="192">
        <v>0</v>
      </c>
      <c r="AA71" s="192">
        <v>0</v>
      </c>
      <c r="AB71" s="192">
        <v>0</v>
      </c>
      <c r="AC71" s="192">
        <v>0</v>
      </c>
      <c r="AD71" s="192">
        <v>0</v>
      </c>
      <c r="AE71" s="192">
        <v>0</v>
      </c>
      <c r="AF71" s="193">
        <v>0</v>
      </c>
      <c r="AG71" s="193">
        <v>0</v>
      </c>
      <c r="AH71" s="193">
        <v>0</v>
      </c>
      <c r="AI71" s="193">
        <v>0</v>
      </c>
      <c r="AJ71" s="193">
        <v>0</v>
      </c>
      <c r="AK71" s="193">
        <v>0</v>
      </c>
      <c r="AL71" s="193">
        <v>0</v>
      </c>
      <c r="AM71" s="193">
        <v>0</v>
      </c>
      <c r="AN71" s="193">
        <v>0</v>
      </c>
      <c r="AO71" s="193">
        <v>0</v>
      </c>
      <c r="AP71" s="193">
        <v>0</v>
      </c>
      <c r="AQ71" s="193">
        <v>0</v>
      </c>
      <c r="AR71" s="193">
        <v>0</v>
      </c>
      <c r="AS71" s="193">
        <v>0</v>
      </c>
      <c r="AT71" s="193">
        <v>0</v>
      </c>
      <c r="AU71" s="193">
        <v>0</v>
      </c>
      <c r="AV71" s="193">
        <v>0</v>
      </c>
      <c r="AW71" s="193">
        <v>0</v>
      </c>
      <c r="AX71" s="193">
        <v>0</v>
      </c>
      <c r="AY71" s="193">
        <v>0</v>
      </c>
      <c r="AZ71" s="193">
        <v>0</v>
      </c>
      <c r="BA71" s="193">
        <v>0</v>
      </c>
      <c r="BB71" s="193">
        <v>0</v>
      </c>
      <c r="BC71" s="193">
        <v>0</v>
      </c>
      <c r="BD71" s="193">
        <v>0</v>
      </c>
      <c r="BE71" s="193">
        <v>0</v>
      </c>
      <c r="BF71" s="193">
        <v>0</v>
      </c>
      <c r="BG71" s="193">
        <v>0</v>
      </c>
      <c r="BH71" s="193">
        <v>0</v>
      </c>
    </row>
    <row r="72" spans="1:60" s="188" customFormat="1">
      <c r="A72" s="189">
        <v>-20</v>
      </c>
      <c r="B72" s="190" t="s">
        <v>895</v>
      </c>
      <c r="C72" s="191">
        <v>450000</v>
      </c>
      <c r="D72" s="192">
        <v>0</v>
      </c>
      <c r="E72" s="192">
        <v>0</v>
      </c>
      <c r="F72" s="192">
        <v>0</v>
      </c>
      <c r="G72" s="192">
        <v>0</v>
      </c>
      <c r="H72" s="192">
        <v>0</v>
      </c>
      <c r="I72" s="192">
        <v>0</v>
      </c>
      <c r="J72" s="192">
        <v>0</v>
      </c>
      <c r="K72" s="192">
        <v>0</v>
      </c>
      <c r="L72" s="192">
        <v>0</v>
      </c>
      <c r="M72" s="192">
        <v>0</v>
      </c>
      <c r="N72" s="192">
        <v>0</v>
      </c>
      <c r="O72" s="192">
        <v>0</v>
      </c>
      <c r="P72" s="192">
        <v>0</v>
      </c>
      <c r="Q72" s="192">
        <v>0</v>
      </c>
      <c r="R72" s="192">
        <v>0</v>
      </c>
      <c r="S72" s="192">
        <v>0</v>
      </c>
      <c r="T72" s="192">
        <v>0</v>
      </c>
      <c r="U72" s="192">
        <v>0</v>
      </c>
      <c r="V72" s="192">
        <v>0</v>
      </c>
      <c r="W72" s="192">
        <v>0</v>
      </c>
      <c r="X72" s="192">
        <v>0</v>
      </c>
      <c r="Y72" s="192">
        <v>0</v>
      </c>
      <c r="Z72" s="192">
        <v>0</v>
      </c>
      <c r="AA72" s="192">
        <v>0</v>
      </c>
      <c r="AB72" s="192">
        <v>0</v>
      </c>
      <c r="AC72" s="192">
        <v>0</v>
      </c>
      <c r="AD72" s="192">
        <v>0</v>
      </c>
      <c r="AE72" s="192">
        <v>0</v>
      </c>
      <c r="AF72" s="193">
        <v>0</v>
      </c>
      <c r="AG72" s="193">
        <v>0</v>
      </c>
      <c r="AH72" s="193">
        <v>0</v>
      </c>
      <c r="AI72" s="193">
        <v>0</v>
      </c>
      <c r="AJ72" s="193">
        <v>0</v>
      </c>
      <c r="AK72" s="193">
        <v>0</v>
      </c>
      <c r="AL72" s="193">
        <v>0</v>
      </c>
      <c r="AM72" s="193">
        <v>0</v>
      </c>
      <c r="AN72" s="193">
        <v>0</v>
      </c>
      <c r="AO72" s="193">
        <v>0</v>
      </c>
      <c r="AP72" s="193">
        <v>0</v>
      </c>
      <c r="AQ72" s="193">
        <v>0</v>
      </c>
      <c r="AR72" s="193">
        <v>0</v>
      </c>
      <c r="AS72" s="193">
        <v>0</v>
      </c>
      <c r="AT72" s="193">
        <v>0</v>
      </c>
      <c r="AU72" s="193">
        <v>0</v>
      </c>
      <c r="AV72" s="193">
        <v>0</v>
      </c>
      <c r="AW72" s="193">
        <v>0</v>
      </c>
      <c r="AX72" s="193">
        <v>0</v>
      </c>
      <c r="AY72" s="193">
        <v>0</v>
      </c>
      <c r="AZ72" s="193">
        <v>0</v>
      </c>
      <c r="BA72" s="193">
        <v>0</v>
      </c>
      <c r="BB72" s="193">
        <v>0</v>
      </c>
      <c r="BC72" s="193">
        <v>0</v>
      </c>
      <c r="BD72" s="193">
        <v>0</v>
      </c>
      <c r="BE72" s="193">
        <v>0</v>
      </c>
      <c r="BF72" s="193">
        <v>0</v>
      </c>
      <c r="BG72" s="193">
        <v>0</v>
      </c>
      <c r="BH72" s="193">
        <v>0</v>
      </c>
    </row>
    <row r="73" spans="1:60" s="188" customFormat="1">
      <c r="A73" s="189">
        <v>-21</v>
      </c>
      <c r="B73" s="202" t="s">
        <v>896</v>
      </c>
      <c r="C73" s="191">
        <v>460000</v>
      </c>
      <c r="D73" s="192">
        <v>0</v>
      </c>
      <c r="E73" s="192">
        <v>0</v>
      </c>
      <c r="F73" s="192">
        <v>0</v>
      </c>
      <c r="G73" s="192">
        <v>0</v>
      </c>
      <c r="H73" s="192">
        <v>0</v>
      </c>
      <c r="I73" s="192">
        <v>0</v>
      </c>
      <c r="J73" s="192">
        <v>0</v>
      </c>
      <c r="K73" s="192">
        <v>0</v>
      </c>
      <c r="L73" s="192">
        <v>0</v>
      </c>
      <c r="M73" s="192">
        <v>0</v>
      </c>
      <c r="N73" s="192">
        <v>0</v>
      </c>
      <c r="O73" s="192">
        <v>1</v>
      </c>
      <c r="P73" s="192">
        <v>0</v>
      </c>
      <c r="Q73" s="192">
        <v>0</v>
      </c>
      <c r="R73" s="192">
        <v>0</v>
      </c>
      <c r="S73" s="192">
        <v>0</v>
      </c>
      <c r="T73" s="192">
        <v>0</v>
      </c>
      <c r="U73" s="192">
        <v>0</v>
      </c>
      <c r="V73" s="192">
        <v>0</v>
      </c>
      <c r="W73" s="192">
        <v>0</v>
      </c>
      <c r="X73" s="192">
        <v>0</v>
      </c>
      <c r="Y73" s="192">
        <v>0</v>
      </c>
      <c r="Z73" s="192">
        <v>0</v>
      </c>
      <c r="AA73" s="192">
        <v>0</v>
      </c>
      <c r="AB73" s="192">
        <v>0</v>
      </c>
      <c r="AC73" s="192">
        <v>0</v>
      </c>
      <c r="AD73" s="192">
        <v>0</v>
      </c>
      <c r="AE73" s="192">
        <v>1</v>
      </c>
      <c r="AF73" s="193">
        <v>0</v>
      </c>
      <c r="AG73" s="193">
        <v>0</v>
      </c>
      <c r="AH73" s="193">
        <v>0</v>
      </c>
      <c r="AI73" s="193">
        <v>0</v>
      </c>
      <c r="AJ73" s="193">
        <v>0</v>
      </c>
      <c r="AK73" s="193">
        <v>0</v>
      </c>
      <c r="AL73" s="193">
        <v>0</v>
      </c>
      <c r="AM73" s="193">
        <v>0</v>
      </c>
      <c r="AN73" s="193">
        <v>0</v>
      </c>
      <c r="AO73" s="193">
        <v>0</v>
      </c>
      <c r="AP73" s="193">
        <v>0</v>
      </c>
      <c r="AQ73" s="193">
        <v>460000</v>
      </c>
      <c r="AR73" s="193">
        <v>0</v>
      </c>
      <c r="AS73" s="193">
        <v>0</v>
      </c>
      <c r="AT73" s="193">
        <v>0</v>
      </c>
      <c r="AU73" s="193">
        <v>0</v>
      </c>
      <c r="AV73" s="193">
        <v>0</v>
      </c>
      <c r="AW73" s="193">
        <v>0</v>
      </c>
      <c r="AX73" s="193">
        <v>0</v>
      </c>
      <c r="AY73" s="193">
        <v>0</v>
      </c>
      <c r="AZ73" s="193">
        <v>0</v>
      </c>
      <c r="BA73" s="193">
        <v>0</v>
      </c>
      <c r="BB73" s="193">
        <v>0</v>
      </c>
      <c r="BC73" s="193">
        <v>0</v>
      </c>
      <c r="BD73" s="193">
        <v>0</v>
      </c>
      <c r="BE73" s="193">
        <v>0</v>
      </c>
      <c r="BF73" s="193">
        <v>0</v>
      </c>
      <c r="BG73" s="193">
        <v>460000</v>
      </c>
      <c r="BH73" s="193">
        <v>460000</v>
      </c>
    </row>
    <row r="74" spans="1:60" s="188" customFormat="1">
      <c r="A74" s="189">
        <v>-22</v>
      </c>
      <c r="B74" s="202" t="s">
        <v>897</v>
      </c>
      <c r="C74" s="191">
        <v>460000</v>
      </c>
      <c r="D74" s="192">
        <v>0</v>
      </c>
      <c r="E74" s="192">
        <v>0</v>
      </c>
      <c r="F74" s="192">
        <v>0</v>
      </c>
      <c r="G74" s="192">
        <v>0</v>
      </c>
      <c r="H74" s="192">
        <v>0</v>
      </c>
      <c r="I74" s="192">
        <v>0</v>
      </c>
      <c r="J74" s="192">
        <v>0</v>
      </c>
      <c r="K74" s="192">
        <v>0</v>
      </c>
      <c r="L74" s="192">
        <v>0</v>
      </c>
      <c r="M74" s="192">
        <v>0</v>
      </c>
      <c r="N74" s="192">
        <v>0</v>
      </c>
      <c r="O74" s="192">
        <v>0</v>
      </c>
      <c r="P74" s="192">
        <v>0</v>
      </c>
      <c r="Q74" s="192">
        <v>0</v>
      </c>
      <c r="R74" s="192">
        <v>0</v>
      </c>
      <c r="S74" s="192">
        <v>0</v>
      </c>
      <c r="T74" s="192">
        <v>0</v>
      </c>
      <c r="U74" s="192">
        <v>0</v>
      </c>
      <c r="V74" s="192">
        <v>0</v>
      </c>
      <c r="W74" s="192">
        <v>0</v>
      </c>
      <c r="X74" s="192">
        <v>0</v>
      </c>
      <c r="Y74" s="192">
        <v>0</v>
      </c>
      <c r="Z74" s="192">
        <v>0</v>
      </c>
      <c r="AA74" s="192">
        <v>0</v>
      </c>
      <c r="AB74" s="192">
        <v>0</v>
      </c>
      <c r="AC74" s="192">
        <v>0</v>
      </c>
      <c r="AD74" s="192">
        <v>0</v>
      </c>
      <c r="AE74" s="192">
        <v>0</v>
      </c>
      <c r="AF74" s="193">
        <v>0</v>
      </c>
      <c r="AG74" s="193">
        <v>0</v>
      </c>
      <c r="AH74" s="193">
        <v>0</v>
      </c>
      <c r="AI74" s="193">
        <v>0</v>
      </c>
      <c r="AJ74" s="193">
        <v>0</v>
      </c>
      <c r="AK74" s="193">
        <v>0</v>
      </c>
      <c r="AL74" s="193">
        <v>0</v>
      </c>
      <c r="AM74" s="193">
        <v>0</v>
      </c>
      <c r="AN74" s="193">
        <v>0</v>
      </c>
      <c r="AO74" s="193">
        <v>0</v>
      </c>
      <c r="AP74" s="193">
        <v>0</v>
      </c>
      <c r="AQ74" s="193">
        <v>0</v>
      </c>
      <c r="AR74" s="193">
        <v>0</v>
      </c>
      <c r="AS74" s="193">
        <v>0</v>
      </c>
      <c r="AT74" s="193">
        <v>0</v>
      </c>
      <c r="AU74" s="193">
        <v>0</v>
      </c>
      <c r="AV74" s="193">
        <v>0</v>
      </c>
      <c r="AW74" s="193">
        <v>0</v>
      </c>
      <c r="AX74" s="193">
        <v>0</v>
      </c>
      <c r="AY74" s="193">
        <v>0</v>
      </c>
      <c r="AZ74" s="193">
        <v>0</v>
      </c>
      <c r="BA74" s="193">
        <v>0</v>
      </c>
      <c r="BB74" s="193">
        <v>0</v>
      </c>
      <c r="BC74" s="193">
        <v>0</v>
      </c>
      <c r="BD74" s="193">
        <v>0</v>
      </c>
      <c r="BE74" s="193">
        <v>0</v>
      </c>
      <c r="BF74" s="193">
        <v>0</v>
      </c>
      <c r="BG74" s="193">
        <v>0</v>
      </c>
      <c r="BH74" s="193">
        <v>0</v>
      </c>
    </row>
    <row r="75" spans="1:60" s="188" customFormat="1">
      <c r="A75" s="189">
        <v>-23</v>
      </c>
      <c r="B75" s="194" t="s">
        <v>898</v>
      </c>
      <c r="C75" s="191">
        <v>460000</v>
      </c>
      <c r="D75" s="192">
        <v>0</v>
      </c>
      <c r="E75" s="192">
        <v>0</v>
      </c>
      <c r="F75" s="192">
        <v>0</v>
      </c>
      <c r="G75" s="192">
        <v>0</v>
      </c>
      <c r="H75" s="192">
        <v>0</v>
      </c>
      <c r="I75" s="192">
        <v>0</v>
      </c>
      <c r="J75" s="192">
        <v>0</v>
      </c>
      <c r="K75" s="192">
        <v>0</v>
      </c>
      <c r="L75" s="192">
        <v>0</v>
      </c>
      <c r="M75" s="192">
        <v>0</v>
      </c>
      <c r="N75" s="192">
        <v>0</v>
      </c>
      <c r="O75" s="192">
        <v>0</v>
      </c>
      <c r="P75" s="192">
        <v>0</v>
      </c>
      <c r="Q75" s="192">
        <v>0</v>
      </c>
      <c r="R75" s="192">
        <v>0</v>
      </c>
      <c r="S75" s="192">
        <v>0</v>
      </c>
      <c r="T75" s="192">
        <v>0</v>
      </c>
      <c r="U75" s="192">
        <v>0</v>
      </c>
      <c r="V75" s="192">
        <v>0</v>
      </c>
      <c r="W75" s="192">
        <v>0</v>
      </c>
      <c r="X75" s="192">
        <v>0</v>
      </c>
      <c r="Y75" s="192">
        <v>0</v>
      </c>
      <c r="Z75" s="192">
        <v>0</v>
      </c>
      <c r="AA75" s="192">
        <v>0</v>
      </c>
      <c r="AB75" s="192">
        <v>0</v>
      </c>
      <c r="AC75" s="192">
        <v>0</v>
      </c>
      <c r="AD75" s="192">
        <v>0</v>
      </c>
      <c r="AE75" s="192">
        <v>0</v>
      </c>
      <c r="AF75" s="193">
        <v>0</v>
      </c>
      <c r="AG75" s="193">
        <v>0</v>
      </c>
      <c r="AH75" s="193">
        <v>0</v>
      </c>
      <c r="AI75" s="193">
        <v>0</v>
      </c>
      <c r="AJ75" s="193">
        <v>0</v>
      </c>
      <c r="AK75" s="193">
        <v>0</v>
      </c>
      <c r="AL75" s="193">
        <v>0</v>
      </c>
      <c r="AM75" s="193">
        <v>0</v>
      </c>
      <c r="AN75" s="193">
        <v>0</v>
      </c>
      <c r="AO75" s="193">
        <v>0</v>
      </c>
      <c r="AP75" s="193">
        <v>0</v>
      </c>
      <c r="AQ75" s="193">
        <v>0</v>
      </c>
      <c r="AR75" s="193">
        <v>0</v>
      </c>
      <c r="AS75" s="193">
        <v>0</v>
      </c>
      <c r="AT75" s="193">
        <v>0</v>
      </c>
      <c r="AU75" s="193">
        <v>0</v>
      </c>
      <c r="AV75" s="193">
        <v>0</v>
      </c>
      <c r="AW75" s="193">
        <v>0</v>
      </c>
      <c r="AX75" s="193">
        <v>0</v>
      </c>
      <c r="AY75" s="193">
        <v>0</v>
      </c>
      <c r="AZ75" s="193">
        <v>0</v>
      </c>
      <c r="BA75" s="193">
        <v>0</v>
      </c>
      <c r="BB75" s="193">
        <v>0</v>
      </c>
      <c r="BC75" s="193">
        <v>0</v>
      </c>
      <c r="BD75" s="193">
        <v>0</v>
      </c>
      <c r="BE75" s="193">
        <v>0</v>
      </c>
      <c r="BF75" s="193">
        <v>0</v>
      </c>
      <c r="BG75" s="193">
        <v>0</v>
      </c>
      <c r="BH75" s="193">
        <v>0</v>
      </c>
    </row>
    <row r="76" spans="1:60" s="188" customFormat="1">
      <c r="A76" s="189">
        <v>-24</v>
      </c>
      <c r="B76" s="194" t="s">
        <v>899</v>
      </c>
      <c r="C76" s="191">
        <v>460000</v>
      </c>
      <c r="D76" s="192">
        <v>0</v>
      </c>
      <c r="E76" s="192">
        <v>0</v>
      </c>
      <c r="F76" s="192">
        <v>0</v>
      </c>
      <c r="G76" s="192">
        <v>0</v>
      </c>
      <c r="H76" s="192">
        <v>0</v>
      </c>
      <c r="I76" s="192">
        <v>0</v>
      </c>
      <c r="J76" s="192">
        <v>0</v>
      </c>
      <c r="K76" s="192">
        <v>0</v>
      </c>
      <c r="L76" s="192">
        <v>0</v>
      </c>
      <c r="M76" s="192">
        <v>0</v>
      </c>
      <c r="N76" s="192">
        <v>0</v>
      </c>
      <c r="O76" s="192">
        <v>0</v>
      </c>
      <c r="P76" s="192">
        <v>0</v>
      </c>
      <c r="Q76" s="192">
        <v>0</v>
      </c>
      <c r="R76" s="192">
        <v>0</v>
      </c>
      <c r="S76" s="192">
        <v>0</v>
      </c>
      <c r="T76" s="192">
        <v>0</v>
      </c>
      <c r="U76" s="192">
        <v>0</v>
      </c>
      <c r="V76" s="192">
        <v>0</v>
      </c>
      <c r="W76" s="192">
        <v>0</v>
      </c>
      <c r="X76" s="192">
        <v>0</v>
      </c>
      <c r="Y76" s="192">
        <v>0</v>
      </c>
      <c r="Z76" s="192">
        <v>0</v>
      </c>
      <c r="AA76" s="192">
        <v>0</v>
      </c>
      <c r="AB76" s="192">
        <v>0</v>
      </c>
      <c r="AC76" s="192">
        <v>0</v>
      </c>
      <c r="AD76" s="192">
        <v>0</v>
      </c>
      <c r="AE76" s="192">
        <v>0</v>
      </c>
      <c r="AF76" s="193">
        <v>0</v>
      </c>
      <c r="AG76" s="193">
        <v>0</v>
      </c>
      <c r="AH76" s="193">
        <v>0</v>
      </c>
      <c r="AI76" s="193">
        <v>0</v>
      </c>
      <c r="AJ76" s="193">
        <v>0</v>
      </c>
      <c r="AK76" s="193">
        <v>0</v>
      </c>
      <c r="AL76" s="193">
        <v>0</v>
      </c>
      <c r="AM76" s="193">
        <v>0</v>
      </c>
      <c r="AN76" s="193">
        <v>0</v>
      </c>
      <c r="AO76" s="193">
        <v>0</v>
      </c>
      <c r="AP76" s="193">
        <v>0</v>
      </c>
      <c r="AQ76" s="193">
        <v>0</v>
      </c>
      <c r="AR76" s="193">
        <v>0</v>
      </c>
      <c r="AS76" s="193">
        <v>0</v>
      </c>
      <c r="AT76" s="193">
        <v>0</v>
      </c>
      <c r="AU76" s="193">
        <v>0</v>
      </c>
      <c r="AV76" s="193">
        <v>0</v>
      </c>
      <c r="AW76" s="193">
        <v>0</v>
      </c>
      <c r="AX76" s="193">
        <v>0</v>
      </c>
      <c r="AY76" s="193">
        <v>0</v>
      </c>
      <c r="AZ76" s="193">
        <v>0</v>
      </c>
      <c r="BA76" s="193">
        <v>0</v>
      </c>
      <c r="BB76" s="193">
        <v>0</v>
      </c>
      <c r="BC76" s="193">
        <v>0</v>
      </c>
      <c r="BD76" s="193">
        <v>0</v>
      </c>
      <c r="BE76" s="193">
        <v>0</v>
      </c>
      <c r="BF76" s="193">
        <v>0</v>
      </c>
      <c r="BG76" s="193">
        <v>0</v>
      </c>
      <c r="BH76" s="193">
        <v>0</v>
      </c>
    </row>
    <row r="77" spans="1:60" s="188" customFormat="1">
      <c r="A77" s="189">
        <v>-25</v>
      </c>
      <c r="B77" s="194" t="s">
        <v>900</v>
      </c>
      <c r="C77" s="191">
        <v>460000</v>
      </c>
      <c r="D77" s="192">
        <v>0</v>
      </c>
      <c r="E77" s="192">
        <v>0</v>
      </c>
      <c r="F77" s="192">
        <v>0</v>
      </c>
      <c r="G77" s="192">
        <v>0</v>
      </c>
      <c r="H77" s="192">
        <v>0</v>
      </c>
      <c r="I77" s="192">
        <v>0</v>
      </c>
      <c r="J77" s="192">
        <v>0</v>
      </c>
      <c r="K77" s="192">
        <v>0</v>
      </c>
      <c r="L77" s="192">
        <v>0</v>
      </c>
      <c r="M77" s="192">
        <v>0</v>
      </c>
      <c r="N77" s="192">
        <v>0</v>
      </c>
      <c r="O77" s="192">
        <v>1</v>
      </c>
      <c r="P77" s="192">
        <v>0</v>
      </c>
      <c r="Q77" s="192">
        <v>0</v>
      </c>
      <c r="R77" s="192">
        <v>0</v>
      </c>
      <c r="S77" s="192">
        <v>0</v>
      </c>
      <c r="T77" s="192">
        <v>0</v>
      </c>
      <c r="U77" s="192">
        <v>0</v>
      </c>
      <c r="V77" s="192">
        <v>0</v>
      </c>
      <c r="W77" s="192">
        <v>0</v>
      </c>
      <c r="X77" s="192">
        <v>0</v>
      </c>
      <c r="Y77" s="192">
        <v>0</v>
      </c>
      <c r="Z77" s="192">
        <v>0</v>
      </c>
      <c r="AA77" s="192">
        <v>0</v>
      </c>
      <c r="AB77" s="192">
        <v>0</v>
      </c>
      <c r="AC77" s="192">
        <v>0</v>
      </c>
      <c r="AD77" s="192">
        <v>0</v>
      </c>
      <c r="AE77" s="192">
        <v>1</v>
      </c>
      <c r="AF77" s="193">
        <v>0</v>
      </c>
      <c r="AG77" s="193">
        <v>0</v>
      </c>
      <c r="AH77" s="193">
        <v>0</v>
      </c>
      <c r="AI77" s="193">
        <v>0</v>
      </c>
      <c r="AJ77" s="193">
        <v>0</v>
      </c>
      <c r="AK77" s="193">
        <v>0</v>
      </c>
      <c r="AL77" s="193">
        <v>0</v>
      </c>
      <c r="AM77" s="193">
        <v>0</v>
      </c>
      <c r="AN77" s="193">
        <v>0</v>
      </c>
      <c r="AO77" s="193">
        <v>0</v>
      </c>
      <c r="AP77" s="193">
        <v>0</v>
      </c>
      <c r="AQ77" s="193">
        <v>460000</v>
      </c>
      <c r="AR77" s="193">
        <v>0</v>
      </c>
      <c r="AS77" s="193">
        <v>0</v>
      </c>
      <c r="AT77" s="193">
        <v>0</v>
      </c>
      <c r="AU77" s="193">
        <v>0</v>
      </c>
      <c r="AV77" s="193">
        <v>0</v>
      </c>
      <c r="AW77" s="193">
        <v>0</v>
      </c>
      <c r="AX77" s="193">
        <v>0</v>
      </c>
      <c r="AY77" s="193">
        <v>0</v>
      </c>
      <c r="AZ77" s="193">
        <v>0</v>
      </c>
      <c r="BA77" s="193">
        <v>0</v>
      </c>
      <c r="BB77" s="193">
        <v>0</v>
      </c>
      <c r="BC77" s="193">
        <v>0</v>
      </c>
      <c r="BD77" s="193">
        <v>0</v>
      </c>
      <c r="BE77" s="193">
        <v>0</v>
      </c>
      <c r="BF77" s="193">
        <v>0</v>
      </c>
      <c r="BG77" s="193">
        <v>460000</v>
      </c>
      <c r="BH77" s="193">
        <v>460000</v>
      </c>
    </row>
    <row r="78" spans="1:60" s="188" customFormat="1">
      <c r="A78" s="189">
        <v>-26</v>
      </c>
      <c r="B78" s="190" t="s">
        <v>901</v>
      </c>
      <c r="C78" s="191">
        <v>800000</v>
      </c>
      <c r="D78" s="192">
        <v>0</v>
      </c>
      <c r="E78" s="192">
        <v>0</v>
      </c>
      <c r="F78" s="192">
        <v>0</v>
      </c>
      <c r="G78" s="192">
        <v>0</v>
      </c>
      <c r="H78" s="192">
        <v>0</v>
      </c>
      <c r="I78" s="192">
        <v>0</v>
      </c>
      <c r="J78" s="192">
        <v>0</v>
      </c>
      <c r="K78" s="192">
        <v>0</v>
      </c>
      <c r="L78" s="192">
        <v>0</v>
      </c>
      <c r="M78" s="192">
        <v>0</v>
      </c>
      <c r="N78" s="192">
        <v>0</v>
      </c>
      <c r="O78" s="192">
        <v>0</v>
      </c>
      <c r="P78" s="192">
        <v>0</v>
      </c>
      <c r="Q78" s="192">
        <v>0</v>
      </c>
      <c r="R78" s="192">
        <v>0</v>
      </c>
      <c r="S78" s="192">
        <v>0</v>
      </c>
      <c r="T78" s="192">
        <v>0</v>
      </c>
      <c r="U78" s="192">
        <v>0</v>
      </c>
      <c r="V78" s="192">
        <v>0</v>
      </c>
      <c r="W78" s="192">
        <v>0</v>
      </c>
      <c r="X78" s="192">
        <v>0</v>
      </c>
      <c r="Y78" s="192">
        <v>0</v>
      </c>
      <c r="Z78" s="192">
        <v>0</v>
      </c>
      <c r="AA78" s="192">
        <v>0</v>
      </c>
      <c r="AB78" s="192">
        <v>0</v>
      </c>
      <c r="AC78" s="192">
        <v>0</v>
      </c>
      <c r="AD78" s="192">
        <v>0</v>
      </c>
      <c r="AE78" s="192">
        <v>0</v>
      </c>
      <c r="AF78" s="193">
        <v>0</v>
      </c>
      <c r="AG78" s="193">
        <v>0</v>
      </c>
      <c r="AH78" s="193">
        <v>0</v>
      </c>
      <c r="AI78" s="193">
        <v>0</v>
      </c>
      <c r="AJ78" s="193">
        <v>0</v>
      </c>
      <c r="AK78" s="193">
        <v>0</v>
      </c>
      <c r="AL78" s="193">
        <v>0</v>
      </c>
      <c r="AM78" s="193">
        <v>0</v>
      </c>
      <c r="AN78" s="193">
        <v>0</v>
      </c>
      <c r="AO78" s="193">
        <v>0</v>
      </c>
      <c r="AP78" s="193">
        <v>0</v>
      </c>
      <c r="AQ78" s="193">
        <v>0</v>
      </c>
      <c r="AR78" s="193">
        <v>0</v>
      </c>
      <c r="AS78" s="193">
        <v>0</v>
      </c>
      <c r="AT78" s="193">
        <v>0</v>
      </c>
      <c r="AU78" s="193">
        <v>0</v>
      </c>
      <c r="AV78" s="193">
        <v>0</v>
      </c>
      <c r="AW78" s="193">
        <v>0</v>
      </c>
      <c r="AX78" s="193">
        <v>0</v>
      </c>
      <c r="AY78" s="193">
        <v>0</v>
      </c>
      <c r="AZ78" s="193">
        <v>0</v>
      </c>
      <c r="BA78" s="193">
        <v>0</v>
      </c>
      <c r="BB78" s="193">
        <v>0</v>
      </c>
      <c r="BC78" s="193">
        <v>0</v>
      </c>
      <c r="BD78" s="193">
        <v>0</v>
      </c>
      <c r="BE78" s="193">
        <v>0</v>
      </c>
      <c r="BF78" s="193">
        <v>0</v>
      </c>
      <c r="BG78" s="193">
        <v>0</v>
      </c>
      <c r="BH78" s="193">
        <v>0</v>
      </c>
    </row>
    <row r="79" spans="1:60" s="188" customFormat="1">
      <c r="A79" s="189">
        <v>-27</v>
      </c>
      <c r="B79" s="190" t="s">
        <v>902</v>
      </c>
      <c r="C79" s="191">
        <v>850000</v>
      </c>
      <c r="D79" s="192">
        <v>0</v>
      </c>
      <c r="E79" s="192">
        <v>0</v>
      </c>
      <c r="F79" s="192">
        <v>0</v>
      </c>
      <c r="G79" s="192">
        <v>0</v>
      </c>
      <c r="H79" s="192">
        <v>0</v>
      </c>
      <c r="I79" s="192">
        <v>0</v>
      </c>
      <c r="J79" s="192">
        <v>0</v>
      </c>
      <c r="K79" s="192">
        <v>0</v>
      </c>
      <c r="L79" s="192">
        <v>0</v>
      </c>
      <c r="M79" s="192">
        <v>0</v>
      </c>
      <c r="N79" s="192">
        <v>0</v>
      </c>
      <c r="O79" s="192">
        <v>0</v>
      </c>
      <c r="P79" s="192">
        <v>0</v>
      </c>
      <c r="Q79" s="192">
        <v>0</v>
      </c>
      <c r="R79" s="192">
        <v>0</v>
      </c>
      <c r="S79" s="192">
        <v>0</v>
      </c>
      <c r="T79" s="192">
        <v>0</v>
      </c>
      <c r="U79" s="192">
        <v>0</v>
      </c>
      <c r="V79" s="192">
        <v>0</v>
      </c>
      <c r="W79" s="192">
        <v>0</v>
      </c>
      <c r="X79" s="192">
        <v>0</v>
      </c>
      <c r="Y79" s="192">
        <v>0</v>
      </c>
      <c r="Z79" s="192">
        <v>0</v>
      </c>
      <c r="AA79" s="192">
        <v>0</v>
      </c>
      <c r="AB79" s="192">
        <v>0</v>
      </c>
      <c r="AC79" s="192">
        <v>0</v>
      </c>
      <c r="AD79" s="192">
        <v>0</v>
      </c>
      <c r="AE79" s="192">
        <v>0</v>
      </c>
      <c r="AF79" s="193">
        <v>0</v>
      </c>
      <c r="AG79" s="193">
        <v>0</v>
      </c>
      <c r="AH79" s="193">
        <v>0</v>
      </c>
      <c r="AI79" s="193">
        <v>0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0</v>
      </c>
      <c r="AT79" s="193">
        <v>0</v>
      </c>
      <c r="AU79" s="193">
        <v>0</v>
      </c>
      <c r="AV79" s="193">
        <v>0</v>
      </c>
      <c r="AW79" s="193">
        <v>0</v>
      </c>
      <c r="AX79" s="193">
        <v>0</v>
      </c>
      <c r="AY79" s="193">
        <v>0</v>
      </c>
      <c r="AZ79" s="193">
        <v>0</v>
      </c>
      <c r="BA79" s="193">
        <v>0</v>
      </c>
      <c r="BB79" s="193">
        <v>0</v>
      </c>
      <c r="BC79" s="193">
        <v>0</v>
      </c>
      <c r="BD79" s="193">
        <v>0</v>
      </c>
      <c r="BE79" s="193">
        <v>0</v>
      </c>
      <c r="BF79" s="193">
        <v>0</v>
      </c>
      <c r="BG79" s="193">
        <v>0</v>
      </c>
      <c r="BH79" s="193">
        <v>0</v>
      </c>
    </row>
    <row r="80" spans="1:60" s="188" customFormat="1">
      <c r="A80" s="189">
        <v>-28</v>
      </c>
      <c r="B80" s="203" t="s">
        <v>903</v>
      </c>
      <c r="C80" s="191">
        <v>900000</v>
      </c>
      <c r="D80" s="192">
        <v>0</v>
      </c>
      <c r="E80" s="192">
        <v>0</v>
      </c>
      <c r="F80" s="192">
        <v>0</v>
      </c>
      <c r="G80" s="192">
        <v>0</v>
      </c>
      <c r="H80" s="192">
        <v>0</v>
      </c>
      <c r="I80" s="192">
        <v>0</v>
      </c>
      <c r="J80" s="192">
        <v>0</v>
      </c>
      <c r="K80" s="192">
        <v>0</v>
      </c>
      <c r="L80" s="192">
        <v>0</v>
      </c>
      <c r="M80" s="192">
        <v>0</v>
      </c>
      <c r="N80" s="192">
        <v>0</v>
      </c>
      <c r="O80" s="192">
        <v>0</v>
      </c>
      <c r="P80" s="192">
        <v>0</v>
      </c>
      <c r="Q80" s="192">
        <v>0</v>
      </c>
      <c r="R80" s="192">
        <v>0</v>
      </c>
      <c r="S80" s="192">
        <v>0</v>
      </c>
      <c r="T80" s="192">
        <v>0</v>
      </c>
      <c r="U80" s="192">
        <v>0</v>
      </c>
      <c r="V80" s="192">
        <v>0</v>
      </c>
      <c r="W80" s="192">
        <v>0</v>
      </c>
      <c r="X80" s="192">
        <v>0</v>
      </c>
      <c r="Y80" s="192">
        <v>0</v>
      </c>
      <c r="Z80" s="192">
        <v>0</v>
      </c>
      <c r="AA80" s="192">
        <v>0</v>
      </c>
      <c r="AB80" s="192">
        <v>0</v>
      </c>
      <c r="AC80" s="192">
        <v>0</v>
      </c>
      <c r="AD80" s="192">
        <v>0</v>
      </c>
      <c r="AE80" s="192">
        <v>0</v>
      </c>
      <c r="AF80" s="193">
        <v>0</v>
      </c>
      <c r="AG80" s="193">
        <v>0</v>
      </c>
      <c r="AH80" s="193">
        <v>0</v>
      </c>
      <c r="AI80" s="193">
        <v>0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0</v>
      </c>
      <c r="AQ80" s="193">
        <v>0</v>
      </c>
      <c r="AR80" s="193">
        <v>0</v>
      </c>
      <c r="AS80" s="193">
        <v>0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0</v>
      </c>
      <c r="BE80" s="193">
        <v>0</v>
      </c>
      <c r="BF80" s="193">
        <v>0</v>
      </c>
      <c r="BG80" s="193">
        <v>0</v>
      </c>
      <c r="BH80" s="193">
        <v>0</v>
      </c>
    </row>
    <row r="81" spans="1:60" s="188" customFormat="1">
      <c r="A81" s="189">
        <v>-29</v>
      </c>
      <c r="B81" s="198" t="s">
        <v>904</v>
      </c>
      <c r="C81" s="191">
        <v>1000000</v>
      </c>
      <c r="D81" s="192">
        <v>0</v>
      </c>
      <c r="E81" s="192">
        <v>0</v>
      </c>
      <c r="F81" s="192">
        <v>0</v>
      </c>
      <c r="G81" s="192">
        <v>0</v>
      </c>
      <c r="H81" s="192">
        <v>0</v>
      </c>
      <c r="I81" s="192">
        <v>0</v>
      </c>
      <c r="J81" s="192">
        <v>0</v>
      </c>
      <c r="K81" s="192">
        <v>0</v>
      </c>
      <c r="L81" s="192">
        <v>0</v>
      </c>
      <c r="M81" s="192">
        <v>0</v>
      </c>
      <c r="N81" s="192">
        <v>0</v>
      </c>
      <c r="O81" s="192">
        <v>0</v>
      </c>
      <c r="P81" s="192">
        <v>0</v>
      </c>
      <c r="Q81" s="192">
        <v>0</v>
      </c>
      <c r="R81" s="192">
        <v>0</v>
      </c>
      <c r="S81" s="192">
        <v>0</v>
      </c>
      <c r="T81" s="192">
        <v>0</v>
      </c>
      <c r="U81" s="192">
        <v>0</v>
      </c>
      <c r="V81" s="192">
        <v>0</v>
      </c>
      <c r="W81" s="192">
        <v>0</v>
      </c>
      <c r="X81" s="192">
        <v>0</v>
      </c>
      <c r="Y81" s="192">
        <v>0</v>
      </c>
      <c r="Z81" s="192">
        <v>0</v>
      </c>
      <c r="AA81" s="192">
        <v>0</v>
      </c>
      <c r="AB81" s="192">
        <v>0</v>
      </c>
      <c r="AC81" s="192">
        <v>0</v>
      </c>
      <c r="AD81" s="192">
        <v>0</v>
      </c>
      <c r="AE81" s="192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0</v>
      </c>
    </row>
    <row r="82" spans="1:60" s="188" customFormat="1">
      <c r="A82" s="189">
        <v>-30</v>
      </c>
      <c r="B82" s="194" t="s">
        <v>867</v>
      </c>
      <c r="C82" s="191">
        <v>1100000</v>
      </c>
      <c r="D82" s="192">
        <v>0</v>
      </c>
      <c r="E82" s="192">
        <v>0</v>
      </c>
      <c r="F82" s="192">
        <v>0</v>
      </c>
      <c r="G82" s="192">
        <v>0</v>
      </c>
      <c r="H82" s="192">
        <v>0</v>
      </c>
      <c r="I82" s="192">
        <v>0</v>
      </c>
      <c r="J82" s="192">
        <v>0</v>
      </c>
      <c r="K82" s="192">
        <v>0</v>
      </c>
      <c r="L82" s="192">
        <v>0</v>
      </c>
      <c r="M82" s="192">
        <v>0</v>
      </c>
      <c r="N82" s="192">
        <v>0</v>
      </c>
      <c r="O82" s="192">
        <v>0</v>
      </c>
      <c r="P82" s="192">
        <v>0</v>
      </c>
      <c r="Q82" s="192">
        <v>0</v>
      </c>
      <c r="R82" s="192">
        <v>0</v>
      </c>
      <c r="S82" s="192">
        <v>0</v>
      </c>
      <c r="T82" s="192">
        <v>0</v>
      </c>
      <c r="U82" s="192">
        <v>0</v>
      </c>
      <c r="V82" s="192">
        <v>0</v>
      </c>
      <c r="W82" s="192">
        <v>0</v>
      </c>
      <c r="X82" s="192">
        <v>0</v>
      </c>
      <c r="Y82" s="192">
        <v>0</v>
      </c>
      <c r="Z82" s="192">
        <v>0</v>
      </c>
      <c r="AA82" s="192">
        <v>0</v>
      </c>
      <c r="AB82" s="192">
        <v>0</v>
      </c>
      <c r="AC82" s="192">
        <v>0</v>
      </c>
      <c r="AD82" s="192">
        <v>0</v>
      </c>
      <c r="AE82" s="192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</row>
    <row r="83" spans="1:60" s="188" customFormat="1">
      <c r="A83" s="189">
        <v>-31</v>
      </c>
      <c r="B83" s="190" t="s">
        <v>905</v>
      </c>
      <c r="C83" s="191">
        <v>1350000</v>
      </c>
      <c r="D83" s="192">
        <v>0</v>
      </c>
      <c r="E83" s="192">
        <v>0</v>
      </c>
      <c r="F83" s="192">
        <v>0</v>
      </c>
      <c r="G83" s="192">
        <v>0</v>
      </c>
      <c r="H83" s="192">
        <v>0</v>
      </c>
      <c r="I83" s="192">
        <v>0</v>
      </c>
      <c r="J83" s="192">
        <v>0</v>
      </c>
      <c r="K83" s="192">
        <v>0</v>
      </c>
      <c r="L83" s="192">
        <v>0</v>
      </c>
      <c r="M83" s="192">
        <v>0</v>
      </c>
      <c r="N83" s="192">
        <v>0</v>
      </c>
      <c r="O83" s="192">
        <v>0</v>
      </c>
      <c r="P83" s="192">
        <v>0</v>
      </c>
      <c r="Q83" s="192">
        <v>0</v>
      </c>
      <c r="R83" s="192">
        <v>0</v>
      </c>
      <c r="S83" s="192">
        <v>0</v>
      </c>
      <c r="T83" s="192">
        <v>0</v>
      </c>
      <c r="U83" s="192">
        <v>0</v>
      </c>
      <c r="V83" s="192">
        <v>0</v>
      </c>
      <c r="W83" s="192">
        <v>0</v>
      </c>
      <c r="X83" s="192">
        <v>0</v>
      </c>
      <c r="Y83" s="192">
        <v>0</v>
      </c>
      <c r="Z83" s="192">
        <v>0</v>
      </c>
      <c r="AA83" s="192">
        <v>0</v>
      </c>
      <c r="AB83" s="192">
        <v>0</v>
      </c>
      <c r="AC83" s="192">
        <v>0</v>
      </c>
      <c r="AD83" s="192">
        <v>0</v>
      </c>
      <c r="AE83" s="192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</row>
    <row r="84" spans="1:60" s="188" customFormat="1">
      <c r="A84" s="189">
        <v>-32</v>
      </c>
      <c r="B84" s="198" t="s">
        <v>906</v>
      </c>
      <c r="C84" s="191">
        <v>1550000</v>
      </c>
      <c r="D84" s="192">
        <v>0</v>
      </c>
      <c r="E84" s="192">
        <v>0</v>
      </c>
      <c r="F84" s="192">
        <v>0</v>
      </c>
      <c r="G84" s="192">
        <v>0</v>
      </c>
      <c r="H84" s="192">
        <v>0</v>
      </c>
      <c r="I84" s="192">
        <v>0</v>
      </c>
      <c r="J84" s="192">
        <v>0</v>
      </c>
      <c r="K84" s="192">
        <v>0</v>
      </c>
      <c r="L84" s="192">
        <v>0</v>
      </c>
      <c r="M84" s="192">
        <v>0</v>
      </c>
      <c r="N84" s="192">
        <v>0</v>
      </c>
      <c r="O84" s="192">
        <v>0</v>
      </c>
      <c r="P84" s="192">
        <v>0</v>
      </c>
      <c r="Q84" s="192">
        <v>0</v>
      </c>
      <c r="R84" s="192">
        <v>0</v>
      </c>
      <c r="S84" s="192">
        <v>0</v>
      </c>
      <c r="T84" s="192">
        <v>0</v>
      </c>
      <c r="U84" s="192">
        <v>0</v>
      </c>
      <c r="V84" s="192">
        <v>0</v>
      </c>
      <c r="W84" s="192">
        <v>0</v>
      </c>
      <c r="X84" s="192">
        <v>0</v>
      </c>
      <c r="Y84" s="192">
        <v>0</v>
      </c>
      <c r="Z84" s="192">
        <v>0</v>
      </c>
      <c r="AA84" s="192">
        <v>0</v>
      </c>
      <c r="AB84" s="192">
        <v>0</v>
      </c>
      <c r="AC84" s="192">
        <v>0</v>
      </c>
      <c r="AD84" s="192">
        <v>0</v>
      </c>
      <c r="AE84" s="192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</row>
    <row r="85" spans="1:60" s="188" customFormat="1">
      <c r="A85" s="189">
        <v>-33</v>
      </c>
      <c r="B85" s="203" t="s">
        <v>907</v>
      </c>
      <c r="C85" s="191">
        <v>1600000</v>
      </c>
      <c r="D85" s="192">
        <v>0</v>
      </c>
      <c r="E85" s="192">
        <v>0</v>
      </c>
      <c r="F85" s="192">
        <v>0</v>
      </c>
      <c r="G85" s="192">
        <v>0</v>
      </c>
      <c r="H85" s="192">
        <v>0</v>
      </c>
      <c r="I85" s="192">
        <v>0</v>
      </c>
      <c r="J85" s="192">
        <v>0</v>
      </c>
      <c r="K85" s="192">
        <v>0</v>
      </c>
      <c r="L85" s="192">
        <v>0</v>
      </c>
      <c r="M85" s="192">
        <v>0</v>
      </c>
      <c r="N85" s="192">
        <v>1</v>
      </c>
      <c r="O85" s="192">
        <v>0</v>
      </c>
      <c r="P85" s="192">
        <v>0</v>
      </c>
      <c r="Q85" s="192">
        <v>0</v>
      </c>
      <c r="R85" s="192">
        <v>0</v>
      </c>
      <c r="S85" s="192">
        <v>0</v>
      </c>
      <c r="T85" s="192">
        <v>0</v>
      </c>
      <c r="U85" s="192">
        <v>0</v>
      </c>
      <c r="V85" s="192">
        <v>0</v>
      </c>
      <c r="W85" s="192">
        <v>0</v>
      </c>
      <c r="X85" s="192">
        <v>0</v>
      </c>
      <c r="Y85" s="192">
        <v>0</v>
      </c>
      <c r="Z85" s="192">
        <v>0</v>
      </c>
      <c r="AA85" s="192">
        <v>0</v>
      </c>
      <c r="AB85" s="192">
        <v>0</v>
      </c>
      <c r="AC85" s="192">
        <v>0</v>
      </c>
      <c r="AD85" s="192">
        <v>1</v>
      </c>
      <c r="AE85" s="192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1600000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1600000</v>
      </c>
      <c r="BG85" s="193">
        <v>0</v>
      </c>
      <c r="BH85" s="193">
        <v>1600000</v>
      </c>
    </row>
    <row r="86" spans="1:60" s="188" customFormat="1">
      <c r="A86" s="189">
        <v>-34</v>
      </c>
      <c r="B86" s="198" t="s">
        <v>908</v>
      </c>
      <c r="C86" s="191">
        <v>2000000</v>
      </c>
      <c r="D86" s="192">
        <v>0</v>
      </c>
      <c r="E86" s="192">
        <v>0</v>
      </c>
      <c r="F86" s="192">
        <v>0</v>
      </c>
      <c r="G86" s="192">
        <v>0</v>
      </c>
      <c r="H86" s="192">
        <v>0</v>
      </c>
      <c r="I86" s="192">
        <v>0</v>
      </c>
      <c r="J86" s="192">
        <v>0</v>
      </c>
      <c r="K86" s="192">
        <v>0</v>
      </c>
      <c r="L86" s="192">
        <v>0</v>
      </c>
      <c r="M86" s="192">
        <v>0</v>
      </c>
      <c r="N86" s="192">
        <v>0</v>
      </c>
      <c r="O86" s="192">
        <v>0</v>
      </c>
      <c r="P86" s="192">
        <v>0</v>
      </c>
      <c r="Q86" s="192">
        <v>0</v>
      </c>
      <c r="R86" s="192">
        <v>0</v>
      </c>
      <c r="S86" s="192">
        <v>0</v>
      </c>
      <c r="T86" s="192">
        <v>0</v>
      </c>
      <c r="U86" s="192">
        <v>0</v>
      </c>
      <c r="V86" s="192">
        <v>0</v>
      </c>
      <c r="W86" s="192">
        <v>0</v>
      </c>
      <c r="X86" s="192">
        <v>0</v>
      </c>
      <c r="Y86" s="192">
        <v>0</v>
      </c>
      <c r="Z86" s="192">
        <v>0</v>
      </c>
      <c r="AA86" s="192">
        <v>0</v>
      </c>
      <c r="AB86" s="192">
        <v>0</v>
      </c>
      <c r="AC86" s="192">
        <v>0</v>
      </c>
      <c r="AD86" s="192">
        <v>0</v>
      </c>
      <c r="AE86" s="192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</row>
    <row r="87" spans="1:60" s="188" customFormat="1">
      <c r="A87" s="189">
        <v>-35</v>
      </c>
      <c r="B87" s="201" t="s">
        <v>909</v>
      </c>
      <c r="C87" s="191">
        <v>2700000</v>
      </c>
      <c r="D87" s="192">
        <v>0</v>
      </c>
      <c r="E87" s="192">
        <v>0</v>
      </c>
      <c r="F87" s="192">
        <v>0</v>
      </c>
      <c r="G87" s="192">
        <v>0</v>
      </c>
      <c r="H87" s="192">
        <v>0</v>
      </c>
      <c r="I87" s="192">
        <v>0</v>
      </c>
      <c r="J87" s="192">
        <v>0</v>
      </c>
      <c r="K87" s="192">
        <v>0</v>
      </c>
      <c r="L87" s="192">
        <v>0</v>
      </c>
      <c r="M87" s="192">
        <v>0</v>
      </c>
      <c r="N87" s="192">
        <v>0</v>
      </c>
      <c r="O87" s="192">
        <v>0</v>
      </c>
      <c r="P87" s="192">
        <v>0</v>
      </c>
      <c r="Q87" s="192">
        <v>0</v>
      </c>
      <c r="R87" s="192">
        <v>0</v>
      </c>
      <c r="S87" s="192">
        <v>0</v>
      </c>
      <c r="T87" s="192">
        <v>0</v>
      </c>
      <c r="U87" s="192">
        <v>0</v>
      </c>
      <c r="V87" s="192">
        <v>0</v>
      </c>
      <c r="W87" s="192">
        <v>0</v>
      </c>
      <c r="X87" s="192">
        <v>0</v>
      </c>
      <c r="Y87" s="192">
        <v>0</v>
      </c>
      <c r="Z87" s="192">
        <v>0</v>
      </c>
      <c r="AA87" s="192">
        <v>0</v>
      </c>
      <c r="AB87" s="192">
        <v>0</v>
      </c>
      <c r="AC87" s="192">
        <v>0</v>
      </c>
      <c r="AD87" s="192">
        <v>0</v>
      </c>
      <c r="AE87" s="192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</row>
    <row r="88" spans="1:60" s="188" customFormat="1">
      <c r="A88" s="189">
        <v>-36</v>
      </c>
      <c r="B88" s="190" t="s">
        <v>910</v>
      </c>
      <c r="C88" s="191">
        <v>3300000</v>
      </c>
      <c r="D88" s="192">
        <v>0</v>
      </c>
      <c r="E88" s="192">
        <v>0</v>
      </c>
      <c r="F88" s="192">
        <v>0</v>
      </c>
      <c r="G88" s="192">
        <v>0</v>
      </c>
      <c r="H88" s="192">
        <v>0</v>
      </c>
      <c r="I88" s="192">
        <v>0</v>
      </c>
      <c r="J88" s="192">
        <v>0</v>
      </c>
      <c r="K88" s="192">
        <v>0</v>
      </c>
      <c r="L88" s="192">
        <v>0</v>
      </c>
      <c r="M88" s="192">
        <v>0</v>
      </c>
      <c r="N88" s="192">
        <v>0</v>
      </c>
      <c r="O88" s="192">
        <v>0</v>
      </c>
      <c r="P88" s="192">
        <v>0</v>
      </c>
      <c r="Q88" s="192">
        <v>0</v>
      </c>
      <c r="R88" s="192">
        <v>0</v>
      </c>
      <c r="S88" s="192">
        <v>0</v>
      </c>
      <c r="T88" s="192">
        <v>0</v>
      </c>
      <c r="U88" s="192">
        <v>0</v>
      </c>
      <c r="V88" s="192">
        <v>0</v>
      </c>
      <c r="W88" s="192">
        <v>0</v>
      </c>
      <c r="X88" s="192">
        <v>0</v>
      </c>
      <c r="Y88" s="192">
        <v>0</v>
      </c>
      <c r="Z88" s="192">
        <v>0</v>
      </c>
      <c r="AA88" s="192">
        <v>0</v>
      </c>
      <c r="AB88" s="192">
        <v>0</v>
      </c>
      <c r="AC88" s="192">
        <v>0</v>
      </c>
      <c r="AD88" s="192">
        <v>0</v>
      </c>
      <c r="AE88" s="192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</row>
    <row r="89" spans="1:60" s="188" customFormat="1">
      <c r="A89" s="189">
        <v>-37</v>
      </c>
      <c r="B89" s="190" t="s">
        <v>911</v>
      </c>
      <c r="C89" s="191">
        <v>8100000</v>
      </c>
      <c r="D89" s="192">
        <v>0</v>
      </c>
      <c r="E89" s="192">
        <v>0</v>
      </c>
      <c r="F89" s="192">
        <v>0</v>
      </c>
      <c r="G89" s="192">
        <v>0</v>
      </c>
      <c r="H89" s="192">
        <v>0</v>
      </c>
      <c r="I89" s="192">
        <v>0</v>
      </c>
      <c r="J89" s="192">
        <v>0</v>
      </c>
      <c r="K89" s="192">
        <v>0</v>
      </c>
      <c r="L89" s="192">
        <v>0</v>
      </c>
      <c r="M89" s="192">
        <v>0</v>
      </c>
      <c r="N89" s="192">
        <v>0</v>
      </c>
      <c r="O89" s="192">
        <v>0</v>
      </c>
      <c r="P89" s="192">
        <v>0</v>
      </c>
      <c r="Q89" s="192">
        <v>0</v>
      </c>
      <c r="R89" s="192">
        <v>0</v>
      </c>
      <c r="S89" s="192">
        <v>0</v>
      </c>
      <c r="T89" s="192">
        <v>0</v>
      </c>
      <c r="U89" s="192">
        <v>0</v>
      </c>
      <c r="V89" s="192">
        <v>0</v>
      </c>
      <c r="W89" s="192">
        <v>0</v>
      </c>
      <c r="X89" s="192">
        <v>0</v>
      </c>
      <c r="Y89" s="192">
        <v>0</v>
      </c>
      <c r="Z89" s="192">
        <v>0</v>
      </c>
      <c r="AA89" s="192">
        <v>0</v>
      </c>
      <c r="AB89" s="192">
        <v>0</v>
      </c>
      <c r="AC89" s="192">
        <v>0</v>
      </c>
      <c r="AD89" s="192">
        <v>0</v>
      </c>
      <c r="AE89" s="192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</row>
    <row r="90" spans="1:60" s="188" customFormat="1">
      <c r="A90" s="189">
        <v>-38</v>
      </c>
      <c r="B90" s="190" t="s">
        <v>912</v>
      </c>
      <c r="C90" s="191">
        <v>11000000</v>
      </c>
      <c r="D90" s="192">
        <v>0</v>
      </c>
      <c r="E90" s="192">
        <v>0</v>
      </c>
      <c r="F90" s="192">
        <v>0</v>
      </c>
      <c r="G90" s="192">
        <v>0</v>
      </c>
      <c r="H90" s="192">
        <v>0</v>
      </c>
      <c r="I90" s="192">
        <v>0</v>
      </c>
      <c r="J90" s="192">
        <v>0</v>
      </c>
      <c r="K90" s="192">
        <v>0</v>
      </c>
      <c r="L90" s="192">
        <v>0</v>
      </c>
      <c r="M90" s="192">
        <v>0</v>
      </c>
      <c r="N90" s="192">
        <v>0</v>
      </c>
      <c r="O90" s="192">
        <v>0</v>
      </c>
      <c r="P90" s="192">
        <v>0</v>
      </c>
      <c r="Q90" s="192">
        <v>0</v>
      </c>
      <c r="R90" s="192">
        <v>0</v>
      </c>
      <c r="S90" s="192">
        <v>0</v>
      </c>
      <c r="T90" s="192">
        <v>0</v>
      </c>
      <c r="U90" s="192">
        <v>0</v>
      </c>
      <c r="V90" s="192">
        <v>0</v>
      </c>
      <c r="W90" s="192">
        <v>0</v>
      </c>
      <c r="X90" s="192">
        <v>0</v>
      </c>
      <c r="Y90" s="192">
        <v>0</v>
      </c>
      <c r="Z90" s="192">
        <v>0</v>
      </c>
      <c r="AA90" s="192">
        <v>0</v>
      </c>
      <c r="AB90" s="192">
        <v>0</v>
      </c>
      <c r="AC90" s="192">
        <v>0</v>
      </c>
      <c r="AD90" s="192">
        <v>0</v>
      </c>
      <c r="AE90" s="192">
        <v>0</v>
      </c>
      <c r="AF90" s="193">
        <v>0</v>
      </c>
      <c r="AG90" s="193">
        <v>0</v>
      </c>
      <c r="AH90" s="193">
        <v>0</v>
      </c>
      <c r="AI90" s="193">
        <v>0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0</v>
      </c>
      <c r="AT90" s="193">
        <v>0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0</v>
      </c>
      <c r="BA90" s="193">
        <v>0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</row>
    <row r="91" spans="1:60" collapsed="1">
      <c r="A91" s="196"/>
      <c r="B91" s="198" t="s">
        <v>913</v>
      </c>
      <c r="C91" s="196"/>
      <c r="D91" s="192">
        <v>0</v>
      </c>
      <c r="E91" s="192">
        <v>0</v>
      </c>
      <c r="F91" s="192">
        <v>0</v>
      </c>
      <c r="G91" s="192">
        <v>0</v>
      </c>
      <c r="H91" s="192">
        <v>0</v>
      </c>
      <c r="I91" s="192">
        <v>0</v>
      </c>
      <c r="J91" s="192">
        <v>0</v>
      </c>
      <c r="K91" s="192">
        <v>0</v>
      </c>
      <c r="L91" s="192">
        <v>0</v>
      </c>
      <c r="M91" s="192">
        <v>0</v>
      </c>
      <c r="N91" s="192">
        <v>3</v>
      </c>
      <c r="O91" s="192">
        <v>2</v>
      </c>
      <c r="P91" s="192">
        <v>0</v>
      </c>
      <c r="Q91" s="192">
        <v>0</v>
      </c>
      <c r="R91" s="192">
        <v>0</v>
      </c>
      <c r="S91" s="192">
        <v>0</v>
      </c>
      <c r="T91" s="192">
        <v>0</v>
      </c>
      <c r="U91" s="192">
        <v>0</v>
      </c>
      <c r="V91" s="192">
        <v>0</v>
      </c>
      <c r="W91" s="192">
        <v>0</v>
      </c>
      <c r="X91" s="192">
        <v>0</v>
      </c>
      <c r="Y91" s="192">
        <v>0</v>
      </c>
      <c r="Z91" s="192">
        <v>0</v>
      </c>
      <c r="AA91" s="192">
        <v>0</v>
      </c>
      <c r="AB91" s="192">
        <v>0</v>
      </c>
      <c r="AC91" s="192">
        <v>0</v>
      </c>
      <c r="AD91" s="192">
        <v>3</v>
      </c>
      <c r="AE91" s="192">
        <v>2</v>
      </c>
      <c r="AF91" s="193">
        <v>0</v>
      </c>
      <c r="AG91" s="193">
        <v>0</v>
      </c>
      <c r="AH91" s="193">
        <v>0</v>
      </c>
      <c r="AI91" s="193">
        <v>0</v>
      </c>
      <c r="AJ91" s="193">
        <v>0</v>
      </c>
      <c r="AK91" s="193">
        <v>0</v>
      </c>
      <c r="AL91" s="193">
        <v>0</v>
      </c>
      <c r="AM91" s="193">
        <v>0</v>
      </c>
      <c r="AN91" s="193">
        <v>0</v>
      </c>
      <c r="AO91" s="193">
        <v>0</v>
      </c>
      <c r="AP91" s="193">
        <v>2110000</v>
      </c>
      <c r="AQ91" s="193">
        <v>920000</v>
      </c>
      <c r="AR91" s="193">
        <v>0</v>
      </c>
      <c r="AS91" s="193">
        <v>0</v>
      </c>
      <c r="AT91" s="193">
        <v>0</v>
      </c>
      <c r="AU91" s="193">
        <v>0</v>
      </c>
      <c r="AV91" s="193">
        <v>0</v>
      </c>
      <c r="AW91" s="193">
        <v>0</v>
      </c>
      <c r="AX91" s="193">
        <v>0</v>
      </c>
      <c r="AY91" s="193">
        <v>0</v>
      </c>
      <c r="AZ91" s="193">
        <v>0</v>
      </c>
      <c r="BA91" s="193">
        <v>0</v>
      </c>
      <c r="BB91" s="193">
        <v>0</v>
      </c>
      <c r="BC91" s="193">
        <v>0</v>
      </c>
      <c r="BD91" s="193">
        <v>0</v>
      </c>
      <c r="BE91" s="193">
        <v>0</v>
      </c>
      <c r="BF91" s="193">
        <v>2110000</v>
      </c>
      <c r="BG91" s="193">
        <v>920000</v>
      </c>
      <c r="BH91" s="193">
        <v>3030000</v>
      </c>
    </row>
    <row r="92" spans="1:60" s="188" customFormat="1">
      <c r="A92" s="184">
        <v>4</v>
      </c>
      <c r="B92" s="185" t="s">
        <v>914</v>
      </c>
      <c r="C92" s="197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7"/>
      <c r="AG92" s="187"/>
      <c r="AH92" s="187"/>
      <c r="AI92" s="187"/>
      <c r="AJ92" s="187"/>
      <c r="AK92" s="187"/>
      <c r="AL92" s="187"/>
      <c r="AM92" s="187"/>
      <c r="AN92" s="187"/>
      <c r="AO92" s="187"/>
      <c r="AP92" s="187"/>
      <c r="AQ92" s="187"/>
      <c r="AR92" s="187"/>
      <c r="AS92" s="187"/>
      <c r="AT92" s="187"/>
      <c r="AU92" s="187"/>
      <c r="AV92" s="187"/>
      <c r="AW92" s="187"/>
      <c r="AX92" s="187"/>
      <c r="AY92" s="187"/>
      <c r="AZ92" s="187"/>
      <c r="BA92" s="187"/>
      <c r="BB92" s="187"/>
      <c r="BC92" s="187"/>
      <c r="BD92" s="187"/>
      <c r="BE92" s="187"/>
      <c r="BF92" s="187"/>
      <c r="BG92" s="187"/>
      <c r="BH92" s="187"/>
    </row>
    <row r="93" spans="1:60" s="188" customFormat="1">
      <c r="A93" s="189">
        <v>-1</v>
      </c>
      <c r="B93" s="204" t="s">
        <v>915</v>
      </c>
      <c r="C93" s="191">
        <v>120000</v>
      </c>
      <c r="D93" s="192">
        <v>0</v>
      </c>
      <c r="E93" s="192">
        <v>0</v>
      </c>
      <c r="F93" s="192">
        <v>0</v>
      </c>
      <c r="G93" s="192">
        <v>0</v>
      </c>
      <c r="H93" s="192">
        <v>0</v>
      </c>
      <c r="I93" s="192">
        <v>0</v>
      </c>
      <c r="J93" s="192">
        <v>0</v>
      </c>
      <c r="K93" s="192">
        <v>0</v>
      </c>
      <c r="L93" s="192">
        <v>0</v>
      </c>
      <c r="M93" s="192">
        <v>0</v>
      </c>
      <c r="N93" s="192">
        <v>0</v>
      </c>
      <c r="O93" s="192">
        <v>0</v>
      </c>
      <c r="P93" s="192">
        <v>0</v>
      </c>
      <c r="Q93" s="192">
        <v>0</v>
      </c>
      <c r="R93" s="192">
        <v>0</v>
      </c>
      <c r="S93" s="192">
        <v>0</v>
      </c>
      <c r="T93" s="192">
        <v>0</v>
      </c>
      <c r="U93" s="192">
        <v>0</v>
      </c>
      <c r="V93" s="192">
        <v>0</v>
      </c>
      <c r="W93" s="192">
        <v>0</v>
      </c>
      <c r="X93" s="192">
        <v>0</v>
      </c>
      <c r="Y93" s="192">
        <v>0</v>
      </c>
      <c r="Z93" s="192">
        <v>0</v>
      </c>
      <c r="AA93" s="192">
        <v>0</v>
      </c>
      <c r="AB93" s="192">
        <v>0</v>
      </c>
      <c r="AC93" s="192">
        <v>0</v>
      </c>
      <c r="AD93" s="192">
        <v>0</v>
      </c>
      <c r="AE93" s="192">
        <v>0</v>
      </c>
      <c r="AF93" s="193">
        <v>0</v>
      </c>
      <c r="AG93" s="193">
        <v>0</v>
      </c>
      <c r="AH93" s="193">
        <v>0</v>
      </c>
      <c r="AI93" s="193">
        <v>0</v>
      </c>
      <c r="AJ93" s="193">
        <v>0</v>
      </c>
      <c r="AK93" s="193">
        <v>0</v>
      </c>
      <c r="AL93" s="193">
        <v>0</v>
      </c>
      <c r="AM93" s="193">
        <v>0</v>
      </c>
      <c r="AN93" s="193">
        <v>0</v>
      </c>
      <c r="AO93" s="193">
        <v>0</v>
      </c>
      <c r="AP93" s="193">
        <v>0</v>
      </c>
      <c r="AQ93" s="193">
        <v>0</v>
      </c>
      <c r="AR93" s="193">
        <v>0</v>
      </c>
      <c r="AS93" s="193">
        <v>0</v>
      </c>
      <c r="AT93" s="193">
        <v>0</v>
      </c>
      <c r="AU93" s="193">
        <v>0</v>
      </c>
      <c r="AV93" s="193">
        <v>0</v>
      </c>
      <c r="AW93" s="193">
        <v>0</v>
      </c>
      <c r="AX93" s="193">
        <v>0</v>
      </c>
      <c r="AY93" s="193">
        <v>0</v>
      </c>
      <c r="AZ93" s="193">
        <v>0</v>
      </c>
      <c r="BA93" s="193">
        <v>0</v>
      </c>
      <c r="BB93" s="193">
        <v>0</v>
      </c>
      <c r="BC93" s="193">
        <v>0</v>
      </c>
      <c r="BD93" s="193">
        <v>0</v>
      </c>
      <c r="BE93" s="193">
        <v>0</v>
      </c>
      <c r="BF93" s="193">
        <v>0</v>
      </c>
      <c r="BG93" s="193">
        <v>0</v>
      </c>
      <c r="BH93" s="193">
        <v>0</v>
      </c>
    </row>
    <row r="94" spans="1:60" s="188" customFormat="1">
      <c r="A94" s="189">
        <v>-2</v>
      </c>
      <c r="B94" s="204" t="s">
        <v>916</v>
      </c>
      <c r="C94" s="191">
        <v>130000</v>
      </c>
      <c r="D94" s="192">
        <v>0</v>
      </c>
      <c r="E94" s="192">
        <v>0</v>
      </c>
      <c r="F94" s="192">
        <v>0</v>
      </c>
      <c r="G94" s="192">
        <v>0</v>
      </c>
      <c r="H94" s="192">
        <v>0</v>
      </c>
      <c r="I94" s="192">
        <v>0</v>
      </c>
      <c r="J94" s="192">
        <v>0</v>
      </c>
      <c r="K94" s="192">
        <v>0</v>
      </c>
      <c r="L94" s="192">
        <v>0</v>
      </c>
      <c r="M94" s="192">
        <v>0</v>
      </c>
      <c r="N94" s="192">
        <v>0</v>
      </c>
      <c r="O94" s="192">
        <v>0</v>
      </c>
      <c r="P94" s="192">
        <v>0</v>
      </c>
      <c r="Q94" s="192">
        <v>0</v>
      </c>
      <c r="R94" s="192">
        <v>0</v>
      </c>
      <c r="S94" s="192">
        <v>0</v>
      </c>
      <c r="T94" s="192">
        <v>0</v>
      </c>
      <c r="U94" s="192">
        <v>0</v>
      </c>
      <c r="V94" s="192">
        <v>0</v>
      </c>
      <c r="W94" s="192">
        <v>0</v>
      </c>
      <c r="X94" s="192">
        <v>0</v>
      </c>
      <c r="Y94" s="192">
        <v>0</v>
      </c>
      <c r="Z94" s="192">
        <v>0</v>
      </c>
      <c r="AA94" s="192">
        <v>0</v>
      </c>
      <c r="AB94" s="192">
        <v>0</v>
      </c>
      <c r="AC94" s="192">
        <v>0</v>
      </c>
      <c r="AD94" s="192">
        <v>0</v>
      </c>
      <c r="AE94" s="192">
        <v>0</v>
      </c>
      <c r="AF94" s="193">
        <v>0</v>
      </c>
      <c r="AG94" s="193">
        <v>0</v>
      </c>
      <c r="AH94" s="193">
        <v>0</v>
      </c>
      <c r="AI94" s="193">
        <v>0</v>
      </c>
      <c r="AJ94" s="193">
        <v>0</v>
      </c>
      <c r="AK94" s="193">
        <v>0</v>
      </c>
      <c r="AL94" s="193">
        <v>0</v>
      </c>
      <c r="AM94" s="193">
        <v>0</v>
      </c>
      <c r="AN94" s="193">
        <v>0</v>
      </c>
      <c r="AO94" s="193">
        <v>0</v>
      </c>
      <c r="AP94" s="193">
        <v>0</v>
      </c>
      <c r="AQ94" s="193">
        <v>0</v>
      </c>
      <c r="AR94" s="193">
        <v>0</v>
      </c>
      <c r="AS94" s="193">
        <v>0</v>
      </c>
      <c r="AT94" s="193">
        <v>0</v>
      </c>
      <c r="AU94" s="193">
        <v>0</v>
      </c>
      <c r="AV94" s="193">
        <v>0</v>
      </c>
      <c r="AW94" s="193">
        <v>0</v>
      </c>
      <c r="AX94" s="193">
        <v>0</v>
      </c>
      <c r="AY94" s="193">
        <v>0</v>
      </c>
      <c r="AZ94" s="193">
        <v>0</v>
      </c>
      <c r="BA94" s="193">
        <v>0</v>
      </c>
      <c r="BB94" s="193">
        <v>0</v>
      </c>
      <c r="BC94" s="193">
        <v>0</v>
      </c>
      <c r="BD94" s="193">
        <v>0</v>
      </c>
      <c r="BE94" s="193">
        <v>0</v>
      </c>
      <c r="BF94" s="193">
        <v>0</v>
      </c>
      <c r="BG94" s="193">
        <v>0</v>
      </c>
      <c r="BH94" s="193">
        <v>0</v>
      </c>
    </row>
    <row r="95" spans="1:60" s="188" customFormat="1">
      <c r="A95" s="189">
        <v>-3</v>
      </c>
      <c r="B95" s="204" t="s">
        <v>917</v>
      </c>
      <c r="C95" s="191">
        <v>200000</v>
      </c>
      <c r="D95" s="192">
        <v>0</v>
      </c>
      <c r="E95" s="192">
        <v>0</v>
      </c>
      <c r="F95" s="192">
        <v>0</v>
      </c>
      <c r="G95" s="192">
        <v>0</v>
      </c>
      <c r="H95" s="192">
        <v>0</v>
      </c>
      <c r="I95" s="192">
        <v>0</v>
      </c>
      <c r="J95" s="192">
        <v>2</v>
      </c>
      <c r="K95" s="192">
        <v>0</v>
      </c>
      <c r="L95" s="192">
        <v>0</v>
      </c>
      <c r="M95" s="192">
        <v>0</v>
      </c>
      <c r="N95" s="192">
        <v>0</v>
      </c>
      <c r="O95" s="192">
        <v>0</v>
      </c>
      <c r="P95" s="192">
        <v>0</v>
      </c>
      <c r="Q95" s="192">
        <v>0</v>
      </c>
      <c r="R95" s="192">
        <v>0</v>
      </c>
      <c r="S95" s="192">
        <v>0</v>
      </c>
      <c r="T95" s="192">
        <v>0</v>
      </c>
      <c r="U95" s="192">
        <v>0</v>
      </c>
      <c r="V95" s="192">
        <v>0</v>
      </c>
      <c r="W95" s="192">
        <v>0</v>
      </c>
      <c r="X95" s="192">
        <v>0</v>
      </c>
      <c r="Y95" s="192">
        <v>0</v>
      </c>
      <c r="Z95" s="192">
        <v>0</v>
      </c>
      <c r="AA95" s="192">
        <v>0</v>
      </c>
      <c r="AB95" s="192">
        <v>0</v>
      </c>
      <c r="AC95" s="192">
        <v>0</v>
      </c>
      <c r="AD95" s="192">
        <v>2</v>
      </c>
      <c r="AE95" s="192">
        <v>0</v>
      </c>
      <c r="AF95" s="193">
        <v>0</v>
      </c>
      <c r="AG95" s="193">
        <v>0</v>
      </c>
      <c r="AH95" s="193">
        <v>0</v>
      </c>
      <c r="AI95" s="193">
        <v>0</v>
      </c>
      <c r="AJ95" s="193">
        <v>0</v>
      </c>
      <c r="AK95" s="193">
        <v>0</v>
      </c>
      <c r="AL95" s="193">
        <v>400000</v>
      </c>
      <c r="AM95" s="193">
        <v>0</v>
      </c>
      <c r="AN95" s="193">
        <v>0</v>
      </c>
      <c r="AO95" s="193">
        <v>0</v>
      </c>
      <c r="AP95" s="193">
        <v>0</v>
      </c>
      <c r="AQ95" s="193">
        <v>0</v>
      </c>
      <c r="AR95" s="193">
        <v>0</v>
      </c>
      <c r="AS95" s="193">
        <v>0</v>
      </c>
      <c r="AT95" s="193">
        <v>0</v>
      </c>
      <c r="AU95" s="193">
        <v>0</v>
      </c>
      <c r="AV95" s="193">
        <v>0</v>
      </c>
      <c r="AW95" s="193">
        <v>0</v>
      </c>
      <c r="AX95" s="193">
        <v>0</v>
      </c>
      <c r="AY95" s="193">
        <v>0</v>
      </c>
      <c r="AZ95" s="193">
        <v>0</v>
      </c>
      <c r="BA95" s="193">
        <v>0</v>
      </c>
      <c r="BB95" s="193">
        <v>0</v>
      </c>
      <c r="BC95" s="193">
        <v>0</v>
      </c>
      <c r="BD95" s="193">
        <v>0</v>
      </c>
      <c r="BE95" s="193">
        <v>0</v>
      </c>
      <c r="BF95" s="193">
        <v>400000</v>
      </c>
      <c r="BG95" s="193">
        <v>0</v>
      </c>
      <c r="BH95" s="193">
        <v>400000</v>
      </c>
    </row>
    <row r="96" spans="1:60" s="188" customFormat="1">
      <c r="A96" s="189">
        <v>-4</v>
      </c>
      <c r="B96" s="198" t="s">
        <v>918</v>
      </c>
      <c r="C96" s="191">
        <v>250000</v>
      </c>
      <c r="D96" s="192">
        <v>0</v>
      </c>
      <c r="E96" s="192">
        <v>0</v>
      </c>
      <c r="F96" s="192">
        <v>0</v>
      </c>
      <c r="G96" s="192">
        <v>0</v>
      </c>
      <c r="H96" s="192">
        <v>0</v>
      </c>
      <c r="I96" s="192">
        <v>0</v>
      </c>
      <c r="J96" s="192">
        <v>0</v>
      </c>
      <c r="K96" s="192">
        <v>0</v>
      </c>
      <c r="L96" s="192">
        <v>0</v>
      </c>
      <c r="M96" s="192">
        <v>0</v>
      </c>
      <c r="N96" s="192">
        <v>0</v>
      </c>
      <c r="O96" s="192">
        <v>0</v>
      </c>
      <c r="P96" s="192">
        <v>0</v>
      </c>
      <c r="Q96" s="192">
        <v>0</v>
      </c>
      <c r="R96" s="192">
        <v>0</v>
      </c>
      <c r="S96" s="192">
        <v>0</v>
      </c>
      <c r="T96" s="192">
        <v>0</v>
      </c>
      <c r="U96" s="192">
        <v>0</v>
      </c>
      <c r="V96" s="192">
        <v>0</v>
      </c>
      <c r="W96" s="192">
        <v>0</v>
      </c>
      <c r="X96" s="192">
        <v>0</v>
      </c>
      <c r="Y96" s="192">
        <v>0</v>
      </c>
      <c r="Z96" s="192">
        <v>0</v>
      </c>
      <c r="AA96" s="192">
        <v>0</v>
      </c>
      <c r="AB96" s="192">
        <v>0</v>
      </c>
      <c r="AC96" s="192">
        <v>0</v>
      </c>
      <c r="AD96" s="192">
        <v>0</v>
      </c>
      <c r="AE96" s="192">
        <v>0</v>
      </c>
      <c r="AF96" s="193">
        <v>0</v>
      </c>
      <c r="AG96" s="193">
        <v>0</v>
      </c>
      <c r="AH96" s="193">
        <v>0</v>
      </c>
      <c r="AI96" s="193">
        <v>0</v>
      </c>
      <c r="AJ96" s="193">
        <v>0</v>
      </c>
      <c r="AK96" s="193">
        <v>0</v>
      </c>
      <c r="AL96" s="193">
        <v>0</v>
      </c>
      <c r="AM96" s="193">
        <v>0</v>
      </c>
      <c r="AN96" s="193">
        <v>0</v>
      </c>
      <c r="AO96" s="193">
        <v>0</v>
      </c>
      <c r="AP96" s="193">
        <v>0</v>
      </c>
      <c r="AQ96" s="193">
        <v>0</v>
      </c>
      <c r="AR96" s="193">
        <v>0</v>
      </c>
      <c r="AS96" s="193">
        <v>0</v>
      </c>
      <c r="AT96" s="193">
        <v>0</v>
      </c>
      <c r="AU96" s="193">
        <v>0</v>
      </c>
      <c r="AV96" s="193">
        <v>0</v>
      </c>
      <c r="AW96" s="193">
        <v>0</v>
      </c>
      <c r="AX96" s="193">
        <v>0</v>
      </c>
      <c r="AY96" s="193">
        <v>0</v>
      </c>
      <c r="AZ96" s="193">
        <v>0</v>
      </c>
      <c r="BA96" s="193">
        <v>0</v>
      </c>
      <c r="BB96" s="193">
        <v>0</v>
      </c>
      <c r="BC96" s="193">
        <v>0</v>
      </c>
      <c r="BD96" s="193">
        <v>0</v>
      </c>
      <c r="BE96" s="193">
        <v>0</v>
      </c>
      <c r="BF96" s="193">
        <v>0</v>
      </c>
      <c r="BG96" s="193">
        <v>0</v>
      </c>
      <c r="BH96" s="193">
        <v>0</v>
      </c>
    </row>
    <row r="97" spans="1:60" s="188" customFormat="1">
      <c r="A97" s="189">
        <v>-5</v>
      </c>
      <c r="B97" s="198" t="s">
        <v>919</v>
      </c>
      <c r="C97" s="191">
        <v>250000</v>
      </c>
      <c r="D97" s="192">
        <v>12</v>
      </c>
      <c r="E97" s="192">
        <v>0</v>
      </c>
      <c r="F97" s="192">
        <v>0</v>
      </c>
      <c r="G97" s="192">
        <v>0</v>
      </c>
      <c r="H97" s="192">
        <v>0</v>
      </c>
      <c r="I97" s="192">
        <v>0</v>
      </c>
      <c r="J97" s="192">
        <v>0</v>
      </c>
      <c r="K97" s="192">
        <v>0</v>
      </c>
      <c r="L97" s="192">
        <v>0</v>
      </c>
      <c r="M97" s="192">
        <v>0</v>
      </c>
      <c r="N97" s="192">
        <v>0</v>
      </c>
      <c r="O97" s="192">
        <v>0</v>
      </c>
      <c r="P97" s="192">
        <v>0</v>
      </c>
      <c r="Q97" s="192">
        <v>0</v>
      </c>
      <c r="R97" s="192">
        <v>0</v>
      </c>
      <c r="S97" s="192">
        <v>0</v>
      </c>
      <c r="T97" s="192">
        <v>0</v>
      </c>
      <c r="U97" s="192">
        <v>0</v>
      </c>
      <c r="V97" s="192">
        <v>0</v>
      </c>
      <c r="W97" s="192">
        <v>0</v>
      </c>
      <c r="X97" s="192">
        <v>0</v>
      </c>
      <c r="Y97" s="192">
        <v>0</v>
      </c>
      <c r="Z97" s="192">
        <v>0</v>
      </c>
      <c r="AA97" s="192">
        <v>0</v>
      </c>
      <c r="AB97" s="192">
        <v>0</v>
      </c>
      <c r="AC97" s="192">
        <v>0</v>
      </c>
      <c r="AD97" s="192">
        <v>12</v>
      </c>
      <c r="AE97" s="192">
        <v>0</v>
      </c>
      <c r="AF97" s="193">
        <v>3000000</v>
      </c>
      <c r="AG97" s="193">
        <v>0</v>
      </c>
      <c r="AH97" s="193">
        <v>0</v>
      </c>
      <c r="AI97" s="193">
        <v>0</v>
      </c>
      <c r="AJ97" s="193">
        <v>0</v>
      </c>
      <c r="AK97" s="193">
        <v>0</v>
      </c>
      <c r="AL97" s="193">
        <v>0</v>
      </c>
      <c r="AM97" s="193">
        <v>0</v>
      </c>
      <c r="AN97" s="193">
        <v>0</v>
      </c>
      <c r="AO97" s="193">
        <v>0</v>
      </c>
      <c r="AP97" s="193">
        <v>0</v>
      </c>
      <c r="AQ97" s="193">
        <v>0</v>
      </c>
      <c r="AR97" s="193">
        <v>0</v>
      </c>
      <c r="AS97" s="193">
        <v>0</v>
      </c>
      <c r="AT97" s="193">
        <v>0</v>
      </c>
      <c r="AU97" s="193">
        <v>0</v>
      </c>
      <c r="AV97" s="193">
        <v>0</v>
      </c>
      <c r="AW97" s="193">
        <v>0</v>
      </c>
      <c r="AX97" s="193">
        <v>0</v>
      </c>
      <c r="AY97" s="193">
        <v>0</v>
      </c>
      <c r="AZ97" s="193">
        <v>0</v>
      </c>
      <c r="BA97" s="193">
        <v>0</v>
      </c>
      <c r="BB97" s="193">
        <v>0</v>
      </c>
      <c r="BC97" s="193">
        <v>0</v>
      </c>
      <c r="BD97" s="193">
        <v>0</v>
      </c>
      <c r="BE97" s="193">
        <v>0</v>
      </c>
      <c r="BF97" s="193">
        <v>3000000</v>
      </c>
      <c r="BG97" s="193">
        <v>0</v>
      </c>
      <c r="BH97" s="193">
        <v>3000000</v>
      </c>
    </row>
    <row r="98" spans="1:60" s="188" customFormat="1">
      <c r="A98" s="189">
        <v>-6</v>
      </c>
      <c r="B98" s="204" t="s">
        <v>920</v>
      </c>
      <c r="C98" s="191">
        <v>1000000</v>
      </c>
      <c r="D98" s="192">
        <v>0</v>
      </c>
      <c r="E98" s="192">
        <v>0</v>
      </c>
      <c r="F98" s="192">
        <v>0</v>
      </c>
      <c r="G98" s="192">
        <v>0</v>
      </c>
      <c r="H98" s="192">
        <v>0</v>
      </c>
      <c r="I98" s="192">
        <v>0</v>
      </c>
      <c r="J98" s="192">
        <v>0</v>
      </c>
      <c r="K98" s="192">
        <v>0</v>
      </c>
      <c r="L98" s="192">
        <v>0</v>
      </c>
      <c r="M98" s="192">
        <v>0</v>
      </c>
      <c r="N98" s="192">
        <v>0</v>
      </c>
      <c r="O98" s="192">
        <v>0</v>
      </c>
      <c r="P98" s="192">
        <v>0</v>
      </c>
      <c r="Q98" s="192">
        <v>0</v>
      </c>
      <c r="R98" s="192">
        <v>0</v>
      </c>
      <c r="S98" s="192">
        <v>0</v>
      </c>
      <c r="T98" s="192">
        <v>0</v>
      </c>
      <c r="U98" s="192">
        <v>0</v>
      </c>
      <c r="V98" s="192">
        <v>0</v>
      </c>
      <c r="W98" s="192">
        <v>0</v>
      </c>
      <c r="X98" s="192">
        <v>0</v>
      </c>
      <c r="Y98" s="192">
        <v>0</v>
      </c>
      <c r="Z98" s="192">
        <v>0</v>
      </c>
      <c r="AA98" s="192">
        <v>0</v>
      </c>
      <c r="AB98" s="192">
        <v>0</v>
      </c>
      <c r="AC98" s="192">
        <v>0</v>
      </c>
      <c r="AD98" s="192">
        <v>0</v>
      </c>
      <c r="AE98" s="192">
        <v>0</v>
      </c>
      <c r="AF98" s="193">
        <v>0</v>
      </c>
      <c r="AG98" s="193">
        <v>0</v>
      </c>
      <c r="AH98" s="193">
        <v>0</v>
      </c>
      <c r="AI98" s="193">
        <v>0</v>
      </c>
      <c r="AJ98" s="193">
        <v>0</v>
      </c>
      <c r="AK98" s="193">
        <v>0</v>
      </c>
      <c r="AL98" s="193">
        <v>0</v>
      </c>
      <c r="AM98" s="193">
        <v>0</v>
      </c>
      <c r="AN98" s="193">
        <v>0</v>
      </c>
      <c r="AO98" s="193">
        <v>0</v>
      </c>
      <c r="AP98" s="193">
        <v>0</v>
      </c>
      <c r="AQ98" s="193">
        <v>0</v>
      </c>
      <c r="AR98" s="193">
        <v>0</v>
      </c>
      <c r="AS98" s="193">
        <v>0</v>
      </c>
      <c r="AT98" s="193">
        <v>0</v>
      </c>
      <c r="AU98" s="193">
        <v>0</v>
      </c>
      <c r="AV98" s="193">
        <v>0</v>
      </c>
      <c r="AW98" s="193">
        <v>0</v>
      </c>
      <c r="AX98" s="193">
        <v>0</v>
      </c>
      <c r="AY98" s="193">
        <v>0</v>
      </c>
      <c r="AZ98" s="193">
        <v>0</v>
      </c>
      <c r="BA98" s="193">
        <v>0</v>
      </c>
      <c r="BB98" s="193">
        <v>0</v>
      </c>
      <c r="BC98" s="193">
        <v>0</v>
      </c>
      <c r="BD98" s="193">
        <v>0</v>
      </c>
      <c r="BE98" s="193">
        <v>0</v>
      </c>
      <c r="BF98" s="193">
        <v>0</v>
      </c>
      <c r="BG98" s="193">
        <v>0</v>
      </c>
      <c r="BH98" s="193">
        <v>0</v>
      </c>
    </row>
    <row r="99" spans="1:60" s="188" customFormat="1">
      <c r="A99" s="189">
        <v>-7</v>
      </c>
      <c r="B99" s="204" t="s">
        <v>921</v>
      </c>
      <c r="C99" s="191">
        <v>1200000</v>
      </c>
      <c r="D99" s="192">
        <v>0</v>
      </c>
      <c r="E99" s="192">
        <v>3</v>
      </c>
      <c r="F99" s="192">
        <v>0</v>
      </c>
      <c r="G99" s="192">
        <v>2</v>
      </c>
      <c r="H99" s="192">
        <v>0</v>
      </c>
      <c r="I99" s="192">
        <v>0</v>
      </c>
      <c r="J99" s="192">
        <v>0</v>
      </c>
      <c r="K99" s="192">
        <v>0</v>
      </c>
      <c r="L99" s="192">
        <v>0</v>
      </c>
      <c r="M99" s="192">
        <v>0</v>
      </c>
      <c r="N99" s="192">
        <v>0</v>
      </c>
      <c r="O99" s="192">
        <v>0</v>
      </c>
      <c r="P99" s="192">
        <v>0</v>
      </c>
      <c r="Q99" s="192">
        <v>0</v>
      </c>
      <c r="R99" s="192">
        <v>0</v>
      </c>
      <c r="S99" s="192">
        <v>0</v>
      </c>
      <c r="T99" s="192">
        <v>0</v>
      </c>
      <c r="U99" s="192">
        <v>0</v>
      </c>
      <c r="V99" s="192">
        <v>0</v>
      </c>
      <c r="W99" s="192">
        <v>0</v>
      </c>
      <c r="X99" s="192">
        <v>0</v>
      </c>
      <c r="Y99" s="192">
        <v>0</v>
      </c>
      <c r="Z99" s="192">
        <v>0</v>
      </c>
      <c r="AA99" s="192">
        <v>0</v>
      </c>
      <c r="AB99" s="192">
        <v>0</v>
      </c>
      <c r="AC99" s="192">
        <v>0</v>
      </c>
      <c r="AD99" s="192">
        <v>0</v>
      </c>
      <c r="AE99" s="192">
        <v>5</v>
      </c>
      <c r="AF99" s="193">
        <v>0</v>
      </c>
      <c r="AG99" s="193">
        <v>3600000</v>
      </c>
      <c r="AH99" s="193">
        <v>0</v>
      </c>
      <c r="AI99" s="193">
        <v>2400000</v>
      </c>
      <c r="AJ99" s="193">
        <v>0</v>
      </c>
      <c r="AK99" s="193">
        <v>0</v>
      </c>
      <c r="AL99" s="193">
        <v>0</v>
      </c>
      <c r="AM99" s="193">
        <v>0</v>
      </c>
      <c r="AN99" s="193">
        <v>0</v>
      </c>
      <c r="AO99" s="193">
        <v>0</v>
      </c>
      <c r="AP99" s="193">
        <v>0</v>
      </c>
      <c r="AQ99" s="193">
        <v>0</v>
      </c>
      <c r="AR99" s="193">
        <v>0</v>
      </c>
      <c r="AS99" s="193">
        <v>0</v>
      </c>
      <c r="AT99" s="193">
        <v>0</v>
      </c>
      <c r="AU99" s="193">
        <v>0</v>
      </c>
      <c r="AV99" s="193">
        <v>0</v>
      </c>
      <c r="AW99" s="193">
        <v>0</v>
      </c>
      <c r="AX99" s="193">
        <v>0</v>
      </c>
      <c r="AY99" s="193">
        <v>0</v>
      </c>
      <c r="AZ99" s="193">
        <v>0</v>
      </c>
      <c r="BA99" s="193">
        <v>0</v>
      </c>
      <c r="BB99" s="193">
        <v>0</v>
      </c>
      <c r="BC99" s="193">
        <v>0</v>
      </c>
      <c r="BD99" s="193">
        <v>0</v>
      </c>
      <c r="BE99" s="193">
        <v>0</v>
      </c>
      <c r="BF99" s="193">
        <v>0</v>
      </c>
      <c r="BG99" s="193">
        <v>6000000</v>
      </c>
      <c r="BH99" s="193">
        <v>6000000</v>
      </c>
    </row>
    <row r="100" spans="1:60" s="188" customFormat="1">
      <c r="A100" s="189">
        <v>-8</v>
      </c>
      <c r="B100" s="190" t="s">
        <v>922</v>
      </c>
      <c r="C100" s="191">
        <v>1200000</v>
      </c>
      <c r="D100" s="192">
        <v>0</v>
      </c>
      <c r="E100" s="192">
        <v>6</v>
      </c>
      <c r="F100" s="192">
        <v>0</v>
      </c>
      <c r="G100" s="192">
        <v>0</v>
      </c>
      <c r="H100" s="192">
        <v>0</v>
      </c>
      <c r="I100" s="192">
        <v>0</v>
      </c>
      <c r="J100" s="192">
        <v>0</v>
      </c>
      <c r="K100" s="192">
        <v>0</v>
      </c>
      <c r="L100" s="192">
        <v>0</v>
      </c>
      <c r="M100" s="192">
        <v>0</v>
      </c>
      <c r="N100" s="192">
        <v>0</v>
      </c>
      <c r="O100" s="192">
        <v>0</v>
      </c>
      <c r="P100" s="192">
        <v>0</v>
      </c>
      <c r="Q100" s="192">
        <v>0</v>
      </c>
      <c r="R100" s="192">
        <v>0</v>
      </c>
      <c r="S100" s="192">
        <v>0</v>
      </c>
      <c r="T100" s="192">
        <v>0</v>
      </c>
      <c r="U100" s="192">
        <v>0</v>
      </c>
      <c r="V100" s="192">
        <v>0</v>
      </c>
      <c r="W100" s="192">
        <v>0</v>
      </c>
      <c r="X100" s="192">
        <v>0</v>
      </c>
      <c r="Y100" s="192">
        <v>0</v>
      </c>
      <c r="Z100" s="192">
        <v>0</v>
      </c>
      <c r="AA100" s="192">
        <v>0</v>
      </c>
      <c r="AB100" s="192">
        <v>0</v>
      </c>
      <c r="AC100" s="192">
        <v>0</v>
      </c>
      <c r="AD100" s="192">
        <v>0</v>
      </c>
      <c r="AE100" s="192">
        <v>6</v>
      </c>
      <c r="AF100" s="193">
        <v>0</v>
      </c>
      <c r="AG100" s="193">
        <v>7200000</v>
      </c>
      <c r="AH100" s="193">
        <v>0</v>
      </c>
      <c r="AI100" s="193">
        <v>0</v>
      </c>
      <c r="AJ100" s="193">
        <v>0</v>
      </c>
      <c r="AK100" s="193">
        <v>0</v>
      </c>
      <c r="AL100" s="193">
        <v>0</v>
      </c>
      <c r="AM100" s="193">
        <v>0</v>
      </c>
      <c r="AN100" s="193">
        <v>0</v>
      </c>
      <c r="AO100" s="193">
        <v>0</v>
      </c>
      <c r="AP100" s="193">
        <v>0</v>
      </c>
      <c r="AQ100" s="193">
        <v>0</v>
      </c>
      <c r="AR100" s="193">
        <v>0</v>
      </c>
      <c r="AS100" s="193">
        <v>0</v>
      </c>
      <c r="AT100" s="193">
        <v>0</v>
      </c>
      <c r="AU100" s="193">
        <v>0</v>
      </c>
      <c r="AV100" s="193">
        <v>0</v>
      </c>
      <c r="AW100" s="193">
        <v>0</v>
      </c>
      <c r="AX100" s="193">
        <v>0</v>
      </c>
      <c r="AY100" s="193">
        <v>0</v>
      </c>
      <c r="AZ100" s="193">
        <v>0</v>
      </c>
      <c r="BA100" s="193">
        <v>0</v>
      </c>
      <c r="BB100" s="193">
        <v>0</v>
      </c>
      <c r="BC100" s="193">
        <v>0</v>
      </c>
      <c r="BD100" s="193">
        <v>0</v>
      </c>
      <c r="BE100" s="193">
        <v>0</v>
      </c>
      <c r="BF100" s="193">
        <v>0</v>
      </c>
      <c r="BG100" s="193">
        <v>7200000</v>
      </c>
      <c r="BH100" s="193">
        <v>7200000</v>
      </c>
    </row>
    <row r="101" spans="1:60" s="188" customFormat="1">
      <c r="A101" s="189">
        <v>-9</v>
      </c>
      <c r="B101" s="204" t="s">
        <v>923</v>
      </c>
      <c r="C101" s="191">
        <v>2900000</v>
      </c>
      <c r="D101" s="192">
        <v>2</v>
      </c>
      <c r="E101" s="192">
        <v>6</v>
      </c>
      <c r="F101" s="192">
        <v>0</v>
      </c>
      <c r="G101" s="192">
        <v>1</v>
      </c>
      <c r="H101" s="192">
        <v>0</v>
      </c>
      <c r="I101" s="192">
        <v>0</v>
      </c>
      <c r="J101" s="192">
        <v>0</v>
      </c>
      <c r="K101" s="192">
        <v>0</v>
      </c>
      <c r="L101" s="192">
        <v>0</v>
      </c>
      <c r="M101" s="192">
        <v>0</v>
      </c>
      <c r="N101" s="192">
        <v>0</v>
      </c>
      <c r="O101" s="192">
        <v>0</v>
      </c>
      <c r="P101" s="192">
        <v>0</v>
      </c>
      <c r="Q101" s="192">
        <v>0</v>
      </c>
      <c r="R101" s="192">
        <v>0</v>
      </c>
      <c r="S101" s="192">
        <v>0</v>
      </c>
      <c r="T101" s="192">
        <v>0</v>
      </c>
      <c r="U101" s="192">
        <v>0</v>
      </c>
      <c r="V101" s="192">
        <v>0</v>
      </c>
      <c r="W101" s="192">
        <v>0</v>
      </c>
      <c r="X101" s="192">
        <v>0</v>
      </c>
      <c r="Y101" s="192">
        <v>0</v>
      </c>
      <c r="Z101" s="192">
        <v>0</v>
      </c>
      <c r="AA101" s="192">
        <v>0</v>
      </c>
      <c r="AB101" s="192">
        <v>0</v>
      </c>
      <c r="AC101" s="192">
        <v>0</v>
      </c>
      <c r="AD101" s="192">
        <v>2</v>
      </c>
      <c r="AE101" s="192">
        <v>7</v>
      </c>
      <c r="AF101" s="193">
        <v>5800000</v>
      </c>
      <c r="AG101" s="193">
        <v>17400000</v>
      </c>
      <c r="AH101" s="193">
        <v>0</v>
      </c>
      <c r="AI101" s="193">
        <v>2900000</v>
      </c>
      <c r="AJ101" s="193">
        <v>0</v>
      </c>
      <c r="AK101" s="193">
        <v>0</v>
      </c>
      <c r="AL101" s="193">
        <v>0</v>
      </c>
      <c r="AM101" s="193">
        <v>0</v>
      </c>
      <c r="AN101" s="193">
        <v>0</v>
      </c>
      <c r="AO101" s="193">
        <v>0</v>
      </c>
      <c r="AP101" s="193">
        <v>0</v>
      </c>
      <c r="AQ101" s="193">
        <v>0</v>
      </c>
      <c r="AR101" s="193">
        <v>0</v>
      </c>
      <c r="AS101" s="193">
        <v>0</v>
      </c>
      <c r="AT101" s="193">
        <v>0</v>
      </c>
      <c r="AU101" s="193">
        <v>0</v>
      </c>
      <c r="AV101" s="193">
        <v>0</v>
      </c>
      <c r="AW101" s="193">
        <v>0</v>
      </c>
      <c r="AX101" s="193">
        <v>0</v>
      </c>
      <c r="AY101" s="193">
        <v>0</v>
      </c>
      <c r="AZ101" s="193">
        <v>0</v>
      </c>
      <c r="BA101" s="193">
        <v>0</v>
      </c>
      <c r="BB101" s="193">
        <v>0</v>
      </c>
      <c r="BC101" s="193">
        <v>0</v>
      </c>
      <c r="BD101" s="193">
        <v>0</v>
      </c>
      <c r="BE101" s="193">
        <v>0</v>
      </c>
      <c r="BF101" s="193">
        <v>5800000</v>
      </c>
      <c r="BG101" s="193">
        <v>20300000</v>
      </c>
      <c r="BH101" s="193">
        <v>26100000</v>
      </c>
    </row>
    <row r="102" spans="1:60" s="188" customFormat="1">
      <c r="A102" s="189">
        <v>-10</v>
      </c>
      <c r="B102" s="204" t="s">
        <v>884</v>
      </c>
      <c r="C102" s="191">
        <v>3600000</v>
      </c>
      <c r="D102" s="192">
        <v>0</v>
      </c>
      <c r="E102" s="192">
        <v>0</v>
      </c>
      <c r="F102" s="192">
        <v>0</v>
      </c>
      <c r="G102" s="192">
        <v>0</v>
      </c>
      <c r="H102" s="192">
        <v>0</v>
      </c>
      <c r="I102" s="192">
        <v>0</v>
      </c>
      <c r="J102" s="192">
        <v>0</v>
      </c>
      <c r="K102" s="192">
        <v>0</v>
      </c>
      <c r="L102" s="192">
        <v>0</v>
      </c>
      <c r="M102" s="192">
        <v>0</v>
      </c>
      <c r="N102" s="192">
        <v>0</v>
      </c>
      <c r="O102" s="192">
        <v>0</v>
      </c>
      <c r="P102" s="192">
        <v>0</v>
      </c>
      <c r="Q102" s="192">
        <v>0</v>
      </c>
      <c r="R102" s="192">
        <v>0</v>
      </c>
      <c r="S102" s="192">
        <v>0</v>
      </c>
      <c r="T102" s="192">
        <v>0</v>
      </c>
      <c r="U102" s="192">
        <v>0</v>
      </c>
      <c r="V102" s="192">
        <v>0</v>
      </c>
      <c r="W102" s="192">
        <v>0</v>
      </c>
      <c r="X102" s="192">
        <v>0</v>
      </c>
      <c r="Y102" s="192">
        <v>0</v>
      </c>
      <c r="Z102" s="192">
        <v>0</v>
      </c>
      <c r="AA102" s="192">
        <v>0</v>
      </c>
      <c r="AB102" s="192">
        <v>0</v>
      </c>
      <c r="AC102" s="192">
        <v>0</v>
      </c>
      <c r="AD102" s="192">
        <v>0</v>
      </c>
      <c r="AE102" s="192">
        <v>0</v>
      </c>
      <c r="AF102" s="193">
        <v>0</v>
      </c>
      <c r="AG102" s="193">
        <v>0</v>
      </c>
      <c r="AH102" s="193">
        <v>0</v>
      </c>
      <c r="AI102" s="193">
        <v>0</v>
      </c>
      <c r="AJ102" s="193">
        <v>0</v>
      </c>
      <c r="AK102" s="193">
        <v>0</v>
      </c>
      <c r="AL102" s="193">
        <v>0</v>
      </c>
      <c r="AM102" s="193">
        <v>0</v>
      </c>
      <c r="AN102" s="193">
        <v>0</v>
      </c>
      <c r="AO102" s="193">
        <v>0</v>
      </c>
      <c r="AP102" s="193">
        <v>0</v>
      </c>
      <c r="AQ102" s="193">
        <v>0</v>
      </c>
      <c r="AR102" s="193">
        <v>0</v>
      </c>
      <c r="AS102" s="193">
        <v>0</v>
      </c>
      <c r="AT102" s="193">
        <v>0</v>
      </c>
      <c r="AU102" s="193">
        <v>0</v>
      </c>
      <c r="AV102" s="193">
        <v>0</v>
      </c>
      <c r="AW102" s="193">
        <v>0</v>
      </c>
      <c r="AX102" s="193">
        <v>0</v>
      </c>
      <c r="AY102" s="193">
        <v>0</v>
      </c>
      <c r="AZ102" s="193">
        <v>0</v>
      </c>
      <c r="BA102" s="193">
        <v>0</v>
      </c>
      <c r="BB102" s="193">
        <v>0</v>
      </c>
      <c r="BC102" s="193">
        <v>0</v>
      </c>
      <c r="BD102" s="193">
        <v>0</v>
      </c>
      <c r="BE102" s="193">
        <v>0</v>
      </c>
      <c r="BF102" s="193">
        <v>0</v>
      </c>
      <c r="BG102" s="193">
        <v>0</v>
      </c>
      <c r="BH102" s="193">
        <v>0</v>
      </c>
    </row>
    <row r="103" spans="1:60" s="188" customFormat="1">
      <c r="A103" s="189">
        <v>-11</v>
      </c>
      <c r="B103" s="204" t="s">
        <v>924</v>
      </c>
      <c r="C103" s="191">
        <v>100000</v>
      </c>
      <c r="D103" s="192">
        <v>0</v>
      </c>
      <c r="E103" s="192">
        <v>0</v>
      </c>
      <c r="F103" s="192">
        <v>0</v>
      </c>
      <c r="G103" s="192">
        <v>0</v>
      </c>
      <c r="H103" s="192">
        <v>0</v>
      </c>
      <c r="I103" s="192">
        <v>0</v>
      </c>
      <c r="J103" s="192">
        <v>0</v>
      </c>
      <c r="K103" s="192">
        <v>0</v>
      </c>
      <c r="L103" s="192">
        <v>0</v>
      </c>
      <c r="M103" s="192">
        <v>0</v>
      </c>
      <c r="N103" s="192">
        <v>0</v>
      </c>
      <c r="O103" s="192">
        <v>0</v>
      </c>
      <c r="P103" s="192">
        <v>0</v>
      </c>
      <c r="Q103" s="192">
        <v>0</v>
      </c>
      <c r="R103" s="192">
        <v>0</v>
      </c>
      <c r="S103" s="192">
        <v>0</v>
      </c>
      <c r="T103" s="192">
        <v>0</v>
      </c>
      <c r="U103" s="192">
        <v>0</v>
      </c>
      <c r="V103" s="192">
        <v>0</v>
      </c>
      <c r="W103" s="192">
        <v>0</v>
      </c>
      <c r="X103" s="192">
        <v>0</v>
      </c>
      <c r="Y103" s="192">
        <v>0</v>
      </c>
      <c r="Z103" s="192">
        <v>0</v>
      </c>
      <c r="AA103" s="192">
        <v>0</v>
      </c>
      <c r="AB103" s="192">
        <v>0</v>
      </c>
      <c r="AC103" s="192">
        <v>0</v>
      </c>
      <c r="AD103" s="192">
        <v>0</v>
      </c>
      <c r="AE103" s="192">
        <v>0</v>
      </c>
      <c r="AF103" s="193">
        <v>0</v>
      </c>
      <c r="AG103" s="193">
        <v>0</v>
      </c>
      <c r="AH103" s="193">
        <v>0</v>
      </c>
      <c r="AI103" s="193">
        <v>0</v>
      </c>
      <c r="AJ103" s="193">
        <v>0</v>
      </c>
      <c r="AK103" s="193">
        <v>0</v>
      </c>
      <c r="AL103" s="193">
        <v>0</v>
      </c>
      <c r="AM103" s="193">
        <v>0</v>
      </c>
      <c r="AN103" s="193">
        <v>0</v>
      </c>
      <c r="AO103" s="193">
        <v>0</v>
      </c>
      <c r="AP103" s="193">
        <v>0</v>
      </c>
      <c r="AQ103" s="193">
        <v>0</v>
      </c>
      <c r="AR103" s="193">
        <v>0</v>
      </c>
      <c r="AS103" s="193">
        <v>0</v>
      </c>
      <c r="AT103" s="193">
        <v>0</v>
      </c>
      <c r="AU103" s="193">
        <v>0</v>
      </c>
      <c r="AV103" s="193">
        <v>0</v>
      </c>
      <c r="AW103" s="193">
        <v>0</v>
      </c>
      <c r="AX103" s="193">
        <v>0</v>
      </c>
      <c r="AY103" s="193">
        <v>0</v>
      </c>
      <c r="AZ103" s="193">
        <v>0</v>
      </c>
      <c r="BA103" s="193">
        <v>0</v>
      </c>
      <c r="BB103" s="193">
        <v>0</v>
      </c>
      <c r="BC103" s="193">
        <v>0</v>
      </c>
      <c r="BD103" s="193">
        <v>0</v>
      </c>
      <c r="BE103" s="193">
        <v>0</v>
      </c>
      <c r="BF103" s="193">
        <v>0</v>
      </c>
      <c r="BG103" s="193">
        <v>0</v>
      </c>
      <c r="BH103" s="193">
        <v>0</v>
      </c>
    </row>
    <row r="104" spans="1:60" s="188" customFormat="1">
      <c r="A104" s="189">
        <v>-12</v>
      </c>
      <c r="B104" s="204" t="s">
        <v>925</v>
      </c>
      <c r="C104" s="191">
        <v>100000</v>
      </c>
      <c r="D104" s="192">
        <v>0</v>
      </c>
      <c r="E104" s="192">
        <v>0</v>
      </c>
      <c r="F104" s="192">
        <v>0</v>
      </c>
      <c r="G104" s="192">
        <v>0</v>
      </c>
      <c r="H104" s="192">
        <v>0</v>
      </c>
      <c r="I104" s="192">
        <v>0</v>
      </c>
      <c r="J104" s="192">
        <v>0</v>
      </c>
      <c r="K104" s="192">
        <v>0</v>
      </c>
      <c r="L104" s="192">
        <v>0</v>
      </c>
      <c r="M104" s="192">
        <v>0</v>
      </c>
      <c r="N104" s="192">
        <v>0</v>
      </c>
      <c r="O104" s="192">
        <v>0</v>
      </c>
      <c r="P104" s="192">
        <v>0</v>
      </c>
      <c r="Q104" s="192">
        <v>0</v>
      </c>
      <c r="R104" s="192">
        <v>0</v>
      </c>
      <c r="S104" s="192">
        <v>0</v>
      </c>
      <c r="T104" s="192">
        <v>0</v>
      </c>
      <c r="U104" s="192">
        <v>0</v>
      </c>
      <c r="V104" s="192">
        <v>0</v>
      </c>
      <c r="W104" s="192">
        <v>0</v>
      </c>
      <c r="X104" s="192">
        <v>0</v>
      </c>
      <c r="Y104" s="192">
        <v>0</v>
      </c>
      <c r="Z104" s="192">
        <v>0</v>
      </c>
      <c r="AA104" s="192">
        <v>0</v>
      </c>
      <c r="AB104" s="192">
        <v>0</v>
      </c>
      <c r="AC104" s="192">
        <v>0</v>
      </c>
      <c r="AD104" s="192">
        <v>0</v>
      </c>
      <c r="AE104" s="192">
        <v>0</v>
      </c>
      <c r="AF104" s="193">
        <v>0</v>
      </c>
      <c r="AG104" s="193">
        <v>0</v>
      </c>
      <c r="AH104" s="193">
        <v>0</v>
      </c>
      <c r="AI104" s="193">
        <v>0</v>
      </c>
      <c r="AJ104" s="193">
        <v>0</v>
      </c>
      <c r="AK104" s="193">
        <v>0</v>
      </c>
      <c r="AL104" s="193">
        <v>0</v>
      </c>
      <c r="AM104" s="193">
        <v>0</v>
      </c>
      <c r="AN104" s="193">
        <v>0</v>
      </c>
      <c r="AO104" s="193">
        <v>0</v>
      </c>
      <c r="AP104" s="193">
        <v>0</v>
      </c>
      <c r="AQ104" s="193">
        <v>0</v>
      </c>
      <c r="AR104" s="193">
        <v>0</v>
      </c>
      <c r="AS104" s="193">
        <v>0</v>
      </c>
      <c r="AT104" s="193">
        <v>0</v>
      </c>
      <c r="AU104" s="193">
        <v>0</v>
      </c>
      <c r="AV104" s="193">
        <v>0</v>
      </c>
      <c r="AW104" s="193">
        <v>0</v>
      </c>
      <c r="AX104" s="193">
        <v>0</v>
      </c>
      <c r="AY104" s="193">
        <v>0</v>
      </c>
      <c r="AZ104" s="193">
        <v>0</v>
      </c>
      <c r="BA104" s="193">
        <v>0</v>
      </c>
      <c r="BB104" s="193">
        <v>0</v>
      </c>
      <c r="BC104" s="193">
        <v>0</v>
      </c>
      <c r="BD104" s="193">
        <v>0</v>
      </c>
      <c r="BE104" s="193">
        <v>0</v>
      </c>
      <c r="BF104" s="193">
        <v>0</v>
      </c>
      <c r="BG104" s="193">
        <v>0</v>
      </c>
      <c r="BH104" s="193">
        <v>0</v>
      </c>
    </row>
    <row r="105" spans="1:60" s="188" customFormat="1">
      <c r="A105" s="189">
        <v>-13</v>
      </c>
      <c r="B105" s="204" t="s">
        <v>926</v>
      </c>
      <c r="C105" s="191">
        <v>100000</v>
      </c>
      <c r="D105" s="192">
        <v>0</v>
      </c>
      <c r="E105" s="192">
        <v>0</v>
      </c>
      <c r="F105" s="192">
        <v>2</v>
      </c>
      <c r="G105" s="192">
        <v>0</v>
      </c>
      <c r="H105" s="192">
        <v>0</v>
      </c>
      <c r="I105" s="192">
        <v>0</v>
      </c>
      <c r="J105" s="192">
        <v>0</v>
      </c>
      <c r="K105" s="192">
        <v>0</v>
      </c>
      <c r="L105" s="192">
        <v>0</v>
      </c>
      <c r="M105" s="192">
        <v>0</v>
      </c>
      <c r="N105" s="192">
        <v>0</v>
      </c>
      <c r="O105" s="192">
        <v>0</v>
      </c>
      <c r="P105" s="192">
        <v>0</v>
      </c>
      <c r="Q105" s="192">
        <v>0</v>
      </c>
      <c r="R105" s="192">
        <v>0</v>
      </c>
      <c r="S105" s="192">
        <v>0</v>
      </c>
      <c r="T105" s="192">
        <v>0</v>
      </c>
      <c r="U105" s="192">
        <v>0</v>
      </c>
      <c r="V105" s="192">
        <v>0</v>
      </c>
      <c r="W105" s="192">
        <v>0</v>
      </c>
      <c r="X105" s="192">
        <v>0</v>
      </c>
      <c r="Y105" s="192">
        <v>0</v>
      </c>
      <c r="Z105" s="192">
        <v>0</v>
      </c>
      <c r="AA105" s="192">
        <v>0</v>
      </c>
      <c r="AB105" s="192">
        <v>0</v>
      </c>
      <c r="AC105" s="192">
        <v>0</v>
      </c>
      <c r="AD105" s="192">
        <v>2</v>
      </c>
      <c r="AE105" s="192">
        <v>0</v>
      </c>
      <c r="AF105" s="193">
        <v>0</v>
      </c>
      <c r="AG105" s="193">
        <v>0</v>
      </c>
      <c r="AH105" s="193">
        <v>200000</v>
      </c>
      <c r="AI105" s="193">
        <v>0</v>
      </c>
      <c r="AJ105" s="193">
        <v>0</v>
      </c>
      <c r="AK105" s="193">
        <v>0</v>
      </c>
      <c r="AL105" s="193">
        <v>0</v>
      </c>
      <c r="AM105" s="193">
        <v>0</v>
      </c>
      <c r="AN105" s="193">
        <v>0</v>
      </c>
      <c r="AO105" s="193">
        <v>0</v>
      </c>
      <c r="AP105" s="193">
        <v>0</v>
      </c>
      <c r="AQ105" s="193">
        <v>0</v>
      </c>
      <c r="AR105" s="193">
        <v>0</v>
      </c>
      <c r="AS105" s="193">
        <v>0</v>
      </c>
      <c r="AT105" s="193">
        <v>0</v>
      </c>
      <c r="AU105" s="193">
        <v>0</v>
      </c>
      <c r="AV105" s="193">
        <v>0</v>
      </c>
      <c r="AW105" s="193">
        <v>0</v>
      </c>
      <c r="AX105" s="193">
        <v>0</v>
      </c>
      <c r="AY105" s="193">
        <v>0</v>
      </c>
      <c r="AZ105" s="193">
        <v>0</v>
      </c>
      <c r="BA105" s="193">
        <v>0</v>
      </c>
      <c r="BB105" s="193">
        <v>0</v>
      </c>
      <c r="BC105" s="193">
        <v>0</v>
      </c>
      <c r="BD105" s="193">
        <v>0</v>
      </c>
      <c r="BE105" s="193">
        <v>0</v>
      </c>
      <c r="BF105" s="193">
        <v>200000</v>
      </c>
      <c r="BG105" s="193">
        <v>0</v>
      </c>
      <c r="BH105" s="193">
        <v>200000</v>
      </c>
    </row>
    <row r="106" spans="1:60" s="188" customFormat="1">
      <c r="A106" s="189">
        <v>-14</v>
      </c>
      <c r="B106" s="204" t="s">
        <v>927</v>
      </c>
      <c r="C106" s="191">
        <v>150000</v>
      </c>
      <c r="D106" s="192">
        <v>12</v>
      </c>
      <c r="E106" s="192">
        <v>0</v>
      </c>
      <c r="F106" s="192">
        <v>0</v>
      </c>
      <c r="G106" s="192">
        <v>0</v>
      </c>
      <c r="H106" s="192">
        <v>0</v>
      </c>
      <c r="I106" s="192">
        <v>0</v>
      </c>
      <c r="J106" s="192">
        <v>0</v>
      </c>
      <c r="K106" s="192">
        <v>0</v>
      </c>
      <c r="L106" s="192">
        <v>0</v>
      </c>
      <c r="M106" s="192">
        <v>0</v>
      </c>
      <c r="N106" s="192">
        <v>0</v>
      </c>
      <c r="O106" s="192">
        <v>0</v>
      </c>
      <c r="P106" s="192">
        <v>0</v>
      </c>
      <c r="Q106" s="192">
        <v>0</v>
      </c>
      <c r="R106" s="192">
        <v>0</v>
      </c>
      <c r="S106" s="192">
        <v>0</v>
      </c>
      <c r="T106" s="192">
        <v>0</v>
      </c>
      <c r="U106" s="192">
        <v>0</v>
      </c>
      <c r="V106" s="192">
        <v>0</v>
      </c>
      <c r="W106" s="192">
        <v>0</v>
      </c>
      <c r="X106" s="192">
        <v>0</v>
      </c>
      <c r="Y106" s="192">
        <v>0</v>
      </c>
      <c r="Z106" s="192">
        <v>0</v>
      </c>
      <c r="AA106" s="192">
        <v>0</v>
      </c>
      <c r="AB106" s="192">
        <v>0</v>
      </c>
      <c r="AC106" s="192">
        <v>0</v>
      </c>
      <c r="AD106" s="192">
        <v>12</v>
      </c>
      <c r="AE106" s="192">
        <v>0</v>
      </c>
      <c r="AF106" s="193">
        <v>1800000</v>
      </c>
      <c r="AG106" s="193">
        <v>0</v>
      </c>
      <c r="AH106" s="193">
        <v>0</v>
      </c>
      <c r="AI106" s="193">
        <v>0</v>
      </c>
      <c r="AJ106" s="193">
        <v>0</v>
      </c>
      <c r="AK106" s="193">
        <v>0</v>
      </c>
      <c r="AL106" s="193">
        <v>0</v>
      </c>
      <c r="AM106" s="193">
        <v>0</v>
      </c>
      <c r="AN106" s="193">
        <v>0</v>
      </c>
      <c r="AO106" s="193">
        <v>0</v>
      </c>
      <c r="AP106" s="193">
        <v>0</v>
      </c>
      <c r="AQ106" s="193">
        <v>0</v>
      </c>
      <c r="AR106" s="193">
        <v>0</v>
      </c>
      <c r="AS106" s="193">
        <v>0</v>
      </c>
      <c r="AT106" s="193">
        <v>0</v>
      </c>
      <c r="AU106" s="193">
        <v>0</v>
      </c>
      <c r="AV106" s="193">
        <v>0</v>
      </c>
      <c r="AW106" s="193">
        <v>0</v>
      </c>
      <c r="AX106" s="193">
        <v>0</v>
      </c>
      <c r="AY106" s="193">
        <v>0</v>
      </c>
      <c r="AZ106" s="193">
        <v>0</v>
      </c>
      <c r="BA106" s="193">
        <v>0</v>
      </c>
      <c r="BB106" s="193">
        <v>0</v>
      </c>
      <c r="BC106" s="193">
        <v>0</v>
      </c>
      <c r="BD106" s="193">
        <v>0</v>
      </c>
      <c r="BE106" s="193">
        <v>0</v>
      </c>
      <c r="BF106" s="193">
        <v>1800000</v>
      </c>
      <c r="BG106" s="193">
        <v>0</v>
      </c>
      <c r="BH106" s="193">
        <v>1800000</v>
      </c>
    </row>
    <row r="107" spans="1:60" s="188" customFormat="1">
      <c r="A107" s="189">
        <v>-15</v>
      </c>
      <c r="B107" s="200" t="s">
        <v>886</v>
      </c>
      <c r="C107" s="191">
        <v>150000</v>
      </c>
      <c r="D107" s="192">
        <v>0</v>
      </c>
      <c r="E107" s="192">
        <v>0</v>
      </c>
      <c r="F107" s="192">
        <v>0</v>
      </c>
      <c r="G107" s="192">
        <v>0</v>
      </c>
      <c r="H107" s="192">
        <v>0</v>
      </c>
      <c r="I107" s="192">
        <v>0</v>
      </c>
      <c r="J107" s="192">
        <v>1</v>
      </c>
      <c r="K107" s="192">
        <v>0</v>
      </c>
      <c r="L107" s="192">
        <v>0</v>
      </c>
      <c r="M107" s="192">
        <v>0</v>
      </c>
      <c r="N107" s="192">
        <v>0</v>
      </c>
      <c r="O107" s="192">
        <v>0</v>
      </c>
      <c r="P107" s="192">
        <v>0</v>
      </c>
      <c r="Q107" s="192">
        <v>0</v>
      </c>
      <c r="R107" s="192">
        <v>0</v>
      </c>
      <c r="S107" s="192">
        <v>0</v>
      </c>
      <c r="T107" s="192">
        <v>0</v>
      </c>
      <c r="U107" s="192">
        <v>0</v>
      </c>
      <c r="V107" s="192">
        <v>0</v>
      </c>
      <c r="W107" s="192">
        <v>0</v>
      </c>
      <c r="X107" s="192">
        <v>0</v>
      </c>
      <c r="Y107" s="192">
        <v>0</v>
      </c>
      <c r="Z107" s="192">
        <v>0</v>
      </c>
      <c r="AA107" s="192">
        <v>0</v>
      </c>
      <c r="AB107" s="192">
        <v>0</v>
      </c>
      <c r="AC107" s="192">
        <v>0</v>
      </c>
      <c r="AD107" s="192">
        <v>1</v>
      </c>
      <c r="AE107" s="192">
        <v>0</v>
      </c>
      <c r="AF107" s="193">
        <v>0</v>
      </c>
      <c r="AG107" s="193">
        <v>0</v>
      </c>
      <c r="AH107" s="193">
        <v>0</v>
      </c>
      <c r="AI107" s="193">
        <v>0</v>
      </c>
      <c r="AJ107" s="193">
        <v>0</v>
      </c>
      <c r="AK107" s="193">
        <v>0</v>
      </c>
      <c r="AL107" s="193">
        <v>150000</v>
      </c>
      <c r="AM107" s="193">
        <v>0</v>
      </c>
      <c r="AN107" s="193">
        <v>0</v>
      </c>
      <c r="AO107" s="193">
        <v>0</v>
      </c>
      <c r="AP107" s="193">
        <v>0</v>
      </c>
      <c r="AQ107" s="193">
        <v>0</v>
      </c>
      <c r="AR107" s="193">
        <v>0</v>
      </c>
      <c r="AS107" s="193">
        <v>0</v>
      </c>
      <c r="AT107" s="193">
        <v>0</v>
      </c>
      <c r="AU107" s="193">
        <v>0</v>
      </c>
      <c r="AV107" s="193">
        <v>0</v>
      </c>
      <c r="AW107" s="193">
        <v>0</v>
      </c>
      <c r="AX107" s="193">
        <v>0</v>
      </c>
      <c r="AY107" s="193">
        <v>0</v>
      </c>
      <c r="AZ107" s="193">
        <v>0</v>
      </c>
      <c r="BA107" s="193">
        <v>0</v>
      </c>
      <c r="BB107" s="193">
        <v>0</v>
      </c>
      <c r="BC107" s="193">
        <v>0</v>
      </c>
      <c r="BD107" s="193">
        <v>0</v>
      </c>
      <c r="BE107" s="193">
        <v>0</v>
      </c>
      <c r="BF107" s="193">
        <v>150000</v>
      </c>
      <c r="BG107" s="193">
        <v>0</v>
      </c>
      <c r="BH107" s="193">
        <v>150000</v>
      </c>
    </row>
    <row r="108" spans="1:60" s="188" customFormat="1">
      <c r="A108" s="189">
        <v>-16</v>
      </c>
      <c r="B108" s="190" t="s">
        <v>928</v>
      </c>
      <c r="C108" s="191">
        <v>180000</v>
      </c>
      <c r="D108" s="192">
        <v>0</v>
      </c>
      <c r="E108" s="192">
        <v>0</v>
      </c>
      <c r="F108" s="192">
        <v>0</v>
      </c>
      <c r="G108" s="192">
        <v>0</v>
      </c>
      <c r="H108" s="192">
        <v>0</v>
      </c>
      <c r="I108" s="192">
        <v>0</v>
      </c>
      <c r="J108" s="192">
        <v>0</v>
      </c>
      <c r="K108" s="192">
        <v>0</v>
      </c>
      <c r="L108" s="192">
        <v>0</v>
      </c>
      <c r="M108" s="192">
        <v>0</v>
      </c>
      <c r="N108" s="192">
        <v>0</v>
      </c>
      <c r="O108" s="192">
        <v>0</v>
      </c>
      <c r="P108" s="192">
        <v>0</v>
      </c>
      <c r="Q108" s="192">
        <v>0</v>
      </c>
      <c r="R108" s="192">
        <v>0</v>
      </c>
      <c r="S108" s="192">
        <v>0</v>
      </c>
      <c r="T108" s="192">
        <v>0</v>
      </c>
      <c r="U108" s="192">
        <v>0</v>
      </c>
      <c r="V108" s="192">
        <v>0</v>
      </c>
      <c r="W108" s="192">
        <v>0</v>
      </c>
      <c r="X108" s="192">
        <v>0</v>
      </c>
      <c r="Y108" s="192">
        <v>0</v>
      </c>
      <c r="Z108" s="192">
        <v>0</v>
      </c>
      <c r="AA108" s="192">
        <v>0</v>
      </c>
      <c r="AB108" s="192">
        <v>0</v>
      </c>
      <c r="AC108" s="192">
        <v>0</v>
      </c>
      <c r="AD108" s="192">
        <v>0</v>
      </c>
      <c r="AE108" s="192">
        <v>0</v>
      </c>
      <c r="AF108" s="193">
        <v>0</v>
      </c>
      <c r="AG108" s="193">
        <v>0</v>
      </c>
      <c r="AH108" s="193">
        <v>0</v>
      </c>
      <c r="AI108" s="193">
        <v>0</v>
      </c>
      <c r="AJ108" s="193">
        <v>0</v>
      </c>
      <c r="AK108" s="193">
        <v>0</v>
      </c>
      <c r="AL108" s="193">
        <v>0</v>
      </c>
      <c r="AM108" s="193">
        <v>0</v>
      </c>
      <c r="AN108" s="193">
        <v>0</v>
      </c>
      <c r="AO108" s="193">
        <v>0</v>
      </c>
      <c r="AP108" s="193">
        <v>0</v>
      </c>
      <c r="AQ108" s="193">
        <v>0</v>
      </c>
      <c r="AR108" s="193">
        <v>0</v>
      </c>
      <c r="AS108" s="193">
        <v>0</v>
      </c>
      <c r="AT108" s="193">
        <v>0</v>
      </c>
      <c r="AU108" s="193">
        <v>0</v>
      </c>
      <c r="AV108" s="193">
        <v>0</v>
      </c>
      <c r="AW108" s="193">
        <v>0</v>
      </c>
      <c r="AX108" s="193">
        <v>0</v>
      </c>
      <c r="AY108" s="193">
        <v>0</v>
      </c>
      <c r="AZ108" s="193">
        <v>0</v>
      </c>
      <c r="BA108" s="193">
        <v>0</v>
      </c>
      <c r="BB108" s="193">
        <v>0</v>
      </c>
      <c r="BC108" s="193">
        <v>0</v>
      </c>
      <c r="BD108" s="193">
        <v>0</v>
      </c>
      <c r="BE108" s="193">
        <v>0</v>
      </c>
      <c r="BF108" s="193">
        <v>0</v>
      </c>
      <c r="BG108" s="193">
        <v>0</v>
      </c>
      <c r="BH108" s="193">
        <v>0</v>
      </c>
    </row>
    <row r="109" spans="1:60" s="188" customFormat="1">
      <c r="A109" s="189">
        <v>-17</v>
      </c>
      <c r="B109" s="190" t="s">
        <v>844</v>
      </c>
      <c r="C109" s="191">
        <v>190000</v>
      </c>
      <c r="D109" s="192">
        <v>0</v>
      </c>
      <c r="E109" s="192">
        <v>0</v>
      </c>
      <c r="F109" s="192">
        <v>0</v>
      </c>
      <c r="G109" s="192">
        <v>0</v>
      </c>
      <c r="H109" s="192">
        <v>0</v>
      </c>
      <c r="I109" s="192">
        <v>0</v>
      </c>
      <c r="J109" s="192">
        <v>0</v>
      </c>
      <c r="K109" s="192">
        <v>0</v>
      </c>
      <c r="L109" s="192">
        <v>0</v>
      </c>
      <c r="M109" s="192">
        <v>0</v>
      </c>
      <c r="N109" s="192">
        <v>0</v>
      </c>
      <c r="O109" s="192">
        <v>0</v>
      </c>
      <c r="P109" s="192">
        <v>0</v>
      </c>
      <c r="Q109" s="192">
        <v>0</v>
      </c>
      <c r="R109" s="192">
        <v>0</v>
      </c>
      <c r="S109" s="192">
        <v>0</v>
      </c>
      <c r="T109" s="192">
        <v>0</v>
      </c>
      <c r="U109" s="192">
        <v>0</v>
      </c>
      <c r="V109" s="192">
        <v>0</v>
      </c>
      <c r="W109" s="192">
        <v>0</v>
      </c>
      <c r="X109" s="192">
        <v>0</v>
      </c>
      <c r="Y109" s="192">
        <v>0</v>
      </c>
      <c r="Z109" s="192">
        <v>0</v>
      </c>
      <c r="AA109" s="192">
        <v>0</v>
      </c>
      <c r="AB109" s="192">
        <v>0</v>
      </c>
      <c r="AC109" s="192">
        <v>0</v>
      </c>
      <c r="AD109" s="192">
        <v>0</v>
      </c>
      <c r="AE109" s="192">
        <v>0</v>
      </c>
      <c r="AF109" s="193">
        <v>0</v>
      </c>
      <c r="AG109" s="193">
        <v>0</v>
      </c>
      <c r="AH109" s="193">
        <v>0</v>
      </c>
      <c r="AI109" s="193">
        <v>0</v>
      </c>
      <c r="AJ109" s="193">
        <v>0</v>
      </c>
      <c r="AK109" s="193">
        <v>0</v>
      </c>
      <c r="AL109" s="193">
        <v>0</v>
      </c>
      <c r="AM109" s="193">
        <v>0</v>
      </c>
      <c r="AN109" s="193">
        <v>0</v>
      </c>
      <c r="AO109" s="193">
        <v>0</v>
      </c>
      <c r="AP109" s="193">
        <v>0</v>
      </c>
      <c r="AQ109" s="193">
        <v>0</v>
      </c>
      <c r="AR109" s="193">
        <v>0</v>
      </c>
      <c r="AS109" s="193">
        <v>0</v>
      </c>
      <c r="AT109" s="193">
        <v>0</v>
      </c>
      <c r="AU109" s="193">
        <v>0</v>
      </c>
      <c r="AV109" s="193">
        <v>0</v>
      </c>
      <c r="AW109" s="193">
        <v>0</v>
      </c>
      <c r="AX109" s="193">
        <v>0</v>
      </c>
      <c r="AY109" s="193">
        <v>0</v>
      </c>
      <c r="AZ109" s="193">
        <v>0</v>
      </c>
      <c r="BA109" s="193">
        <v>0</v>
      </c>
      <c r="BB109" s="193">
        <v>0</v>
      </c>
      <c r="BC109" s="193">
        <v>0</v>
      </c>
      <c r="BD109" s="193">
        <v>0</v>
      </c>
      <c r="BE109" s="193">
        <v>0</v>
      </c>
      <c r="BF109" s="193">
        <v>0</v>
      </c>
      <c r="BG109" s="193">
        <v>0</v>
      </c>
      <c r="BH109" s="193">
        <v>0</v>
      </c>
    </row>
    <row r="110" spans="1:60" s="188" customFormat="1">
      <c r="A110" s="189">
        <v>-18</v>
      </c>
      <c r="B110" s="190" t="s">
        <v>850</v>
      </c>
      <c r="C110" s="191">
        <v>225000</v>
      </c>
      <c r="D110" s="192">
        <v>0</v>
      </c>
      <c r="E110" s="192">
        <v>0</v>
      </c>
      <c r="F110" s="192">
        <v>0</v>
      </c>
      <c r="G110" s="192">
        <v>0</v>
      </c>
      <c r="H110" s="192">
        <v>0</v>
      </c>
      <c r="I110" s="192">
        <v>0</v>
      </c>
      <c r="J110" s="192">
        <v>1</v>
      </c>
      <c r="K110" s="192">
        <v>0</v>
      </c>
      <c r="L110" s="192">
        <v>0</v>
      </c>
      <c r="M110" s="192">
        <v>0</v>
      </c>
      <c r="N110" s="192">
        <v>0</v>
      </c>
      <c r="O110" s="192">
        <v>0</v>
      </c>
      <c r="P110" s="192">
        <v>0</v>
      </c>
      <c r="Q110" s="192">
        <v>0</v>
      </c>
      <c r="R110" s="192">
        <v>0</v>
      </c>
      <c r="S110" s="192">
        <v>0</v>
      </c>
      <c r="T110" s="192">
        <v>0</v>
      </c>
      <c r="U110" s="192">
        <v>0</v>
      </c>
      <c r="V110" s="192">
        <v>0</v>
      </c>
      <c r="W110" s="192">
        <v>0</v>
      </c>
      <c r="X110" s="192">
        <v>0</v>
      </c>
      <c r="Y110" s="192">
        <v>0</v>
      </c>
      <c r="Z110" s="192">
        <v>0</v>
      </c>
      <c r="AA110" s="192">
        <v>0</v>
      </c>
      <c r="AB110" s="192">
        <v>0</v>
      </c>
      <c r="AC110" s="192">
        <v>0</v>
      </c>
      <c r="AD110" s="192">
        <v>1</v>
      </c>
      <c r="AE110" s="192">
        <v>0</v>
      </c>
      <c r="AF110" s="193">
        <v>0</v>
      </c>
      <c r="AG110" s="193">
        <v>0</v>
      </c>
      <c r="AH110" s="193">
        <v>0</v>
      </c>
      <c r="AI110" s="193">
        <v>0</v>
      </c>
      <c r="AJ110" s="193">
        <v>0</v>
      </c>
      <c r="AK110" s="193">
        <v>0</v>
      </c>
      <c r="AL110" s="193">
        <v>225000</v>
      </c>
      <c r="AM110" s="193">
        <v>0</v>
      </c>
      <c r="AN110" s="193">
        <v>0</v>
      </c>
      <c r="AO110" s="193">
        <v>0</v>
      </c>
      <c r="AP110" s="193">
        <v>0</v>
      </c>
      <c r="AQ110" s="193">
        <v>0</v>
      </c>
      <c r="AR110" s="193">
        <v>0</v>
      </c>
      <c r="AS110" s="193">
        <v>0</v>
      </c>
      <c r="AT110" s="193">
        <v>0</v>
      </c>
      <c r="AU110" s="193">
        <v>0</v>
      </c>
      <c r="AV110" s="193">
        <v>0</v>
      </c>
      <c r="AW110" s="193">
        <v>0</v>
      </c>
      <c r="AX110" s="193">
        <v>0</v>
      </c>
      <c r="AY110" s="193">
        <v>0</v>
      </c>
      <c r="AZ110" s="193">
        <v>0</v>
      </c>
      <c r="BA110" s="193">
        <v>0</v>
      </c>
      <c r="BB110" s="193">
        <v>0</v>
      </c>
      <c r="BC110" s="193">
        <v>0</v>
      </c>
      <c r="BD110" s="193">
        <v>0</v>
      </c>
      <c r="BE110" s="193">
        <v>0</v>
      </c>
      <c r="BF110" s="193">
        <v>225000</v>
      </c>
      <c r="BG110" s="193">
        <v>0</v>
      </c>
      <c r="BH110" s="193">
        <v>225000</v>
      </c>
    </row>
    <row r="111" spans="1:60" s="188" customFormat="1">
      <c r="A111" s="189">
        <v>-19</v>
      </c>
      <c r="B111" s="190" t="s">
        <v>929</v>
      </c>
      <c r="C111" s="191">
        <v>230000</v>
      </c>
      <c r="D111" s="192">
        <v>0</v>
      </c>
      <c r="E111" s="192">
        <v>0</v>
      </c>
      <c r="F111" s="192">
        <v>0</v>
      </c>
      <c r="G111" s="192">
        <v>0</v>
      </c>
      <c r="H111" s="192">
        <v>0</v>
      </c>
      <c r="I111" s="192">
        <v>0</v>
      </c>
      <c r="J111" s="192">
        <v>0</v>
      </c>
      <c r="K111" s="192">
        <v>0</v>
      </c>
      <c r="L111" s="192">
        <v>0</v>
      </c>
      <c r="M111" s="192">
        <v>0</v>
      </c>
      <c r="N111" s="192">
        <v>0</v>
      </c>
      <c r="O111" s="192">
        <v>0</v>
      </c>
      <c r="P111" s="192">
        <v>0</v>
      </c>
      <c r="Q111" s="192">
        <v>0</v>
      </c>
      <c r="R111" s="192">
        <v>0</v>
      </c>
      <c r="S111" s="192">
        <v>0</v>
      </c>
      <c r="T111" s="192">
        <v>0</v>
      </c>
      <c r="U111" s="192">
        <v>0</v>
      </c>
      <c r="V111" s="192">
        <v>0</v>
      </c>
      <c r="W111" s="192">
        <v>0</v>
      </c>
      <c r="X111" s="192">
        <v>0</v>
      </c>
      <c r="Y111" s="192">
        <v>0</v>
      </c>
      <c r="Z111" s="192">
        <v>0</v>
      </c>
      <c r="AA111" s="192">
        <v>0</v>
      </c>
      <c r="AB111" s="192">
        <v>0</v>
      </c>
      <c r="AC111" s="192">
        <v>0</v>
      </c>
      <c r="AD111" s="192">
        <v>0</v>
      </c>
      <c r="AE111" s="192">
        <v>0</v>
      </c>
      <c r="AF111" s="193">
        <v>0</v>
      </c>
      <c r="AG111" s="193">
        <v>0</v>
      </c>
      <c r="AH111" s="193">
        <v>0</v>
      </c>
      <c r="AI111" s="193">
        <v>0</v>
      </c>
      <c r="AJ111" s="193">
        <v>0</v>
      </c>
      <c r="AK111" s="193">
        <v>0</v>
      </c>
      <c r="AL111" s="193">
        <v>0</v>
      </c>
      <c r="AM111" s="193">
        <v>0</v>
      </c>
      <c r="AN111" s="193">
        <v>0</v>
      </c>
      <c r="AO111" s="193">
        <v>0</v>
      </c>
      <c r="AP111" s="193">
        <v>0</v>
      </c>
      <c r="AQ111" s="193">
        <v>0</v>
      </c>
      <c r="AR111" s="193">
        <v>0</v>
      </c>
      <c r="AS111" s="193">
        <v>0</v>
      </c>
      <c r="AT111" s="193">
        <v>0</v>
      </c>
      <c r="AU111" s="193">
        <v>0</v>
      </c>
      <c r="AV111" s="193">
        <v>0</v>
      </c>
      <c r="AW111" s="193">
        <v>0</v>
      </c>
      <c r="AX111" s="193">
        <v>0</v>
      </c>
      <c r="AY111" s="193">
        <v>0</v>
      </c>
      <c r="AZ111" s="193">
        <v>0</v>
      </c>
      <c r="BA111" s="193">
        <v>0</v>
      </c>
      <c r="BB111" s="193">
        <v>0</v>
      </c>
      <c r="BC111" s="193">
        <v>0</v>
      </c>
      <c r="BD111" s="193">
        <v>0</v>
      </c>
      <c r="BE111" s="193">
        <v>0</v>
      </c>
      <c r="BF111" s="193">
        <v>0</v>
      </c>
      <c r="BG111" s="193">
        <v>0</v>
      </c>
      <c r="BH111" s="193">
        <v>0</v>
      </c>
    </row>
    <row r="112" spans="1:60" s="188" customFormat="1">
      <c r="A112" s="189">
        <v>-20</v>
      </c>
      <c r="B112" s="190" t="s">
        <v>930</v>
      </c>
      <c r="C112" s="191">
        <v>280000</v>
      </c>
      <c r="D112" s="192">
        <v>0</v>
      </c>
      <c r="E112" s="192">
        <v>0</v>
      </c>
      <c r="F112" s="192">
        <v>3</v>
      </c>
      <c r="G112" s="192">
        <v>0</v>
      </c>
      <c r="H112" s="192">
        <v>0</v>
      </c>
      <c r="I112" s="192">
        <v>0</v>
      </c>
      <c r="J112" s="192">
        <v>0</v>
      </c>
      <c r="K112" s="192">
        <v>0</v>
      </c>
      <c r="L112" s="192">
        <v>0</v>
      </c>
      <c r="M112" s="192">
        <v>0</v>
      </c>
      <c r="N112" s="192">
        <v>0</v>
      </c>
      <c r="O112" s="192">
        <v>0</v>
      </c>
      <c r="P112" s="192">
        <v>0</v>
      </c>
      <c r="Q112" s="192">
        <v>0</v>
      </c>
      <c r="R112" s="192">
        <v>0</v>
      </c>
      <c r="S112" s="192">
        <v>0</v>
      </c>
      <c r="T112" s="192">
        <v>0</v>
      </c>
      <c r="U112" s="192">
        <v>0</v>
      </c>
      <c r="V112" s="192">
        <v>0</v>
      </c>
      <c r="W112" s="192">
        <v>0</v>
      </c>
      <c r="X112" s="192">
        <v>0</v>
      </c>
      <c r="Y112" s="192">
        <v>0</v>
      </c>
      <c r="Z112" s="192">
        <v>0</v>
      </c>
      <c r="AA112" s="192">
        <v>0</v>
      </c>
      <c r="AB112" s="192">
        <v>0</v>
      </c>
      <c r="AC112" s="192">
        <v>0</v>
      </c>
      <c r="AD112" s="192">
        <v>3</v>
      </c>
      <c r="AE112" s="192">
        <v>0</v>
      </c>
      <c r="AF112" s="193">
        <v>0</v>
      </c>
      <c r="AG112" s="193">
        <v>0</v>
      </c>
      <c r="AH112" s="193">
        <v>840000</v>
      </c>
      <c r="AI112" s="193">
        <v>0</v>
      </c>
      <c r="AJ112" s="193">
        <v>0</v>
      </c>
      <c r="AK112" s="193">
        <v>0</v>
      </c>
      <c r="AL112" s="193">
        <v>0</v>
      </c>
      <c r="AM112" s="193">
        <v>0</v>
      </c>
      <c r="AN112" s="193">
        <v>0</v>
      </c>
      <c r="AO112" s="193">
        <v>0</v>
      </c>
      <c r="AP112" s="193">
        <v>0</v>
      </c>
      <c r="AQ112" s="193">
        <v>0</v>
      </c>
      <c r="AR112" s="193">
        <v>0</v>
      </c>
      <c r="AS112" s="193">
        <v>0</v>
      </c>
      <c r="AT112" s="193">
        <v>0</v>
      </c>
      <c r="AU112" s="193">
        <v>0</v>
      </c>
      <c r="AV112" s="193">
        <v>0</v>
      </c>
      <c r="AW112" s="193">
        <v>0</v>
      </c>
      <c r="AX112" s="193">
        <v>0</v>
      </c>
      <c r="AY112" s="193">
        <v>0</v>
      </c>
      <c r="AZ112" s="193">
        <v>0</v>
      </c>
      <c r="BA112" s="193">
        <v>0</v>
      </c>
      <c r="BB112" s="193">
        <v>0</v>
      </c>
      <c r="BC112" s="193">
        <v>0</v>
      </c>
      <c r="BD112" s="193">
        <v>0</v>
      </c>
      <c r="BE112" s="193">
        <v>0</v>
      </c>
      <c r="BF112" s="193">
        <v>840000</v>
      </c>
      <c r="BG112" s="193">
        <v>0</v>
      </c>
      <c r="BH112" s="193">
        <v>840000</v>
      </c>
    </row>
    <row r="113" spans="1:60" s="188" customFormat="1">
      <c r="A113" s="189">
        <v>-21</v>
      </c>
      <c r="B113" s="190" t="s">
        <v>931</v>
      </c>
      <c r="C113" s="191">
        <v>300000</v>
      </c>
      <c r="D113" s="192">
        <v>0</v>
      </c>
      <c r="E113" s="192">
        <v>0</v>
      </c>
      <c r="F113" s="192">
        <v>0</v>
      </c>
      <c r="G113" s="192">
        <v>0</v>
      </c>
      <c r="H113" s="192">
        <v>0</v>
      </c>
      <c r="I113" s="192">
        <v>0</v>
      </c>
      <c r="J113" s="192">
        <v>1</v>
      </c>
      <c r="K113" s="192">
        <v>0</v>
      </c>
      <c r="L113" s="192">
        <v>0</v>
      </c>
      <c r="M113" s="192">
        <v>0</v>
      </c>
      <c r="N113" s="192">
        <v>0</v>
      </c>
      <c r="O113" s="192">
        <v>0</v>
      </c>
      <c r="P113" s="192">
        <v>0</v>
      </c>
      <c r="Q113" s="192">
        <v>0</v>
      </c>
      <c r="R113" s="192">
        <v>0</v>
      </c>
      <c r="S113" s="192">
        <v>0</v>
      </c>
      <c r="T113" s="192">
        <v>0</v>
      </c>
      <c r="U113" s="192">
        <v>0</v>
      </c>
      <c r="V113" s="192">
        <v>0</v>
      </c>
      <c r="W113" s="192">
        <v>0</v>
      </c>
      <c r="X113" s="192">
        <v>0</v>
      </c>
      <c r="Y113" s="192">
        <v>0</v>
      </c>
      <c r="Z113" s="192">
        <v>0</v>
      </c>
      <c r="AA113" s="192">
        <v>0</v>
      </c>
      <c r="AB113" s="192">
        <v>0</v>
      </c>
      <c r="AC113" s="192">
        <v>0</v>
      </c>
      <c r="AD113" s="192">
        <v>1</v>
      </c>
      <c r="AE113" s="192">
        <v>0</v>
      </c>
      <c r="AF113" s="193">
        <v>0</v>
      </c>
      <c r="AG113" s="193">
        <v>0</v>
      </c>
      <c r="AH113" s="193">
        <v>0</v>
      </c>
      <c r="AI113" s="193">
        <v>0</v>
      </c>
      <c r="AJ113" s="193">
        <v>0</v>
      </c>
      <c r="AK113" s="193">
        <v>0</v>
      </c>
      <c r="AL113" s="193">
        <v>300000</v>
      </c>
      <c r="AM113" s="193">
        <v>0</v>
      </c>
      <c r="AN113" s="193">
        <v>0</v>
      </c>
      <c r="AO113" s="193">
        <v>0</v>
      </c>
      <c r="AP113" s="193">
        <v>0</v>
      </c>
      <c r="AQ113" s="193">
        <v>0</v>
      </c>
      <c r="AR113" s="193">
        <v>0</v>
      </c>
      <c r="AS113" s="193">
        <v>0</v>
      </c>
      <c r="AT113" s="193">
        <v>0</v>
      </c>
      <c r="AU113" s="193">
        <v>0</v>
      </c>
      <c r="AV113" s="193">
        <v>0</v>
      </c>
      <c r="AW113" s="193">
        <v>0</v>
      </c>
      <c r="AX113" s="193">
        <v>0</v>
      </c>
      <c r="AY113" s="193">
        <v>0</v>
      </c>
      <c r="AZ113" s="193">
        <v>0</v>
      </c>
      <c r="BA113" s="193">
        <v>0</v>
      </c>
      <c r="BB113" s="193">
        <v>0</v>
      </c>
      <c r="BC113" s="193">
        <v>0</v>
      </c>
      <c r="BD113" s="193">
        <v>0</v>
      </c>
      <c r="BE113" s="193">
        <v>0</v>
      </c>
      <c r="BF113" s="193">
        <v>300000</v>
      </c>
      <c r="BG113" s="193">
        <v>0</v>
      </c>
      <c r="BH113" s="193">
        <v>300000</v>
      </c>
    </row>
    <row r="114" spans="1:60" s="188" customFormat="1">
      <c r="A114" s="189">
        <v>-22</v>
      </c>
      <c r="B114" s="190" t="s">
        <v>890</v>
      </c>
      <c r="C114" s="191">
        <v>300000</v>
      </c>
      <c r="D114" s="192">
        <v>6</v>
      </c>
      <c r="E114" s="192">
        <v>0</v>
      </c>
      <c r="F114" s="192">
        <v>6</v>
      </c>
      <c r="G114" s="192">
        <v>0</v>
      </c>
      <c r="H114" s="192">
        <v>0</v>
      </c>
      <c r="I114" s="192">
        <v>0</v>
      </c>
      <c r="J114" s="192">
        <v>0</v>
      </c>
      <c r="K114" s="192">
        <v>0</v>
      </c>
      <c r="L114" s="192">
        <v>0</v>
      </c>
      <c r="M114" s="192">
        <v>0</v>
      </c>
      <c r="N114" s="192">
        <v>0</v>
      </c>
      <c r="O114" s="192">
        <v>0</v>
      </c>
      <c r="P114" s="192">
        <v>0</v>
      </c>
      <c r="Q114" s="192">
        <v>0</v>
      </c>
      <c r="R114" s="192">
        <v>0</v>
      </c>
      <c r="S114" s="192">
        <v>0</v>
      </c>
      <c r="T114" s="192">
        <v>0</v>
      </c>
      <c r="U114" s="192">
        <v>0</v>
      </c>
      <c r="V114" s="192">
        <v>0</v>
      </c>
      <c r="W114" s="192">
        <v>0</v>
      </c>
      <c r="X114" s="192">
        <v>0</v>
      </c>
      <c r="Y114" s="192">
        <v>0</v>
      </c>
      <c r="Z114" s="192">
        <v>0</v>
      </c>
      <c r="AA114" s="192">
        <v>0</v>
      </c>
      <c r="AB114" s="192">
        <v>0</v>
      </c>
      <c r="AC114" s="192">
        <v>0</v>
      </c>
      <c r="AD114" s="192">
        <v>12</v>
      </c>
      <c r="AE114" s="192">
        <v>0</v>
      </c>
      <c r="AF114" s="193">
        <v>1800000</v>
      </c>
      <c r="AG114" s="193">
        <v>0</v>
      </c>
      <c r="AH114" s="193">
        <v>1800000</v>
      </c>
      <c r="AI114" s="193">
        <v>0</v>
      </c>
      <c r="AJ114" s="193">
        <v>0</v>
      </c>
      <c r="AK114" s="193">
        <v>0</v>
      </c>
      <c r="AL114" s="193">
        <v>0</v>
      </c>
      <c r="AM114" s="193">
        <v>0</v>
      </c>
      <c r="AN114" s="193">
        <v>0</v>
      </c>
      <c r="AO114" s="193">
        <v>0</v>
      </c>
      <c r="AP114" s="193">
        <v>0</v>
      </c>
      <c r="AQ114" s="193">
        <v>0</v>
      </c>
      <c r="AR114" s="193">
        <v>0</v>
      </c>
      <c r="AS114" s="193">
        <v>0</v>
      </c>
      <c r="AT114" s="193">
        <v>0</v>
      </c>
      <c r="AU114" s="193">
        <v>0</v>
      </c>
      <c r="AV114" s="193">
        <v>0</v>
      </c>
      <c r="AW114" s="193">
        <v>0</v>
      </c>
      <c r="AX114" s="193">
        <v>0</v>
      </c>
      <c r="AY114" s="193">
        <v>0</v>
      </c>
      <c r="AZ114" s="193">
        <v>0</v>
      </c>
      <c r="BA114" s="193">
        <v>0</v>
      </c>
      <c r="BB114" s="193">
        <v>0</v>
      </c>
      <c r="BC114" s="193">
        <v>0</v>
      </c>
      <c r="BD114" s="193">
        <v>0</v>
      </c>
      <c r="BE114" s="193">
        <v>0</v>
      </c>
      <c r="BF114" s="193">
        <v>3600000</v>
      </c>
      <c r="BG114" s="193">
        <v>0</v>
      </c>
      <c r="BH114" s="193">
        <v>3600000</v>
      </c>
    </row>
    <row r="115" spans="1:60" s="188" customFormat="1">
      <c r="A115" s="189">
        <v>-23</v>
      </c>
      <c r="B115" s="190" t="s">
        <v>854</v>
      </c>
      <c r="C115" s="191">
        <v>300000</v>
      </c>
      <c r="D115" s="192">
        <v>0</v>
      </c>
      <c r="E115" s="192">
        <v>0</v>
      </c>
      <c r="F115" s="192">
        <v>0</v>
      </c>
      <c r="G115" s="192">
        <v>0</v>
      </c>
      <c r="H115" s="192">
        <v>0</v>
      </c>
      <c r="I115" s="192">
        <v>0</v>
      </c>
      <c r="J115" s="192">
        <v>0</v>
      </c>
      <c r="K115" s="192">
        <v>0</v>
      </c>
      <c r="L115" s="192">
        <v>0</v>
      </c>
      <c r="M115" s="192">
        <v>0</v>
      </c>
      <c r="N115" s="192">
        <v>0</v>
      </c>
      <c r="O115" s="192">
        <v>0</v>
      </c>
      <c r="P115" s="192">
        <v>0</v>
      </c>
      <c r="Q115" s="192">
        <v>0</v>
      </c>
      <c r="R115" s="192">
        <v>0</v>
      </c>
      <c r="S115" s="192">
        <v>0</v>
      </c>
      <c r="T115" s="192">
        <v>0</v>
      </c>
      <c r="U115" s="192">
        <v>0</v>
      </c>
      <c r="V115" s="192">
        <v>0</v>
      </c>
      <c r="W115" s="192">
        <v>0</v>
      </c>
      <c r="X115" s="192">
        <v>0</v>
      </c>
      <c r="Y115" s="192">
        <v>0</v>
      </c>
      <c r="Z115" s="192">
        <v>0</v>
      </c>
      <c r="AA115" s="192">
        <v>0</v>
      </c>
      <c r="AB115" s="192">
        <v>0</v>
      </c>
      <c r="AC115" s="192">
        <v>0</v>
      </c>
      <c r="AD115" s="192">
        <v>0</v>
      </c>
      <c r="AE115" s="192">
        <v>0</v>
      </c>
      <c r="AF115" s="193">
        <v>0</v>
      </c>
      <c r="AG115" s="193">
        <v>0</v>
      </c>
      <c r="AH115" s="193">
        <v>0</v>
      </c>
      <c r="AI115" s="193">
        <v>0</v>
      </c>
      <c r="AJ115" s="193">
        <v>0</v>
      </c>
      <c r="AK115" s="193">
        <v>0</v>
      </c>
      <c r="AL115" s="193">
        <v>0</v>
      </c>
      <c r="AM115" s="193">
        <v>0</v>
      </c>
      <c r="AN115" s="193">
        <v>0</v>
      </c>
      <c r="AO115" s="193">
        <v>0</v>
      </c>
      <c r="AP115" s="193">
        <v>0</v>
      </c>
      <c r="AQ115" s="193">
        <v>0</v>
      </c>
      <c r="AR115" s="193">
        <v>0</v>
      </c>
      <c r="AS115" s="193">
        <v>0</v>
      </c>
      <c r="AT115" s="193">
        <v>0</v>
      </c>
      <c r="AU115" s="193">
        <v>0</v>
      </c>
      <c r="AV115" s="193">
        <v>0</v>
      </c>
      <c r="AW115" s="193">
        <v>0</v>
      </c>
      <c r="AX115" s="193">
        <v>0</v>
      </c>
      <c r="AY115" s="193">
        <v>0</v>
      </c>
      <c r="AZ115" s="193">
        <v>0</v>
      </c>
      <c r="BA115" s="193">
        <v>0</v>
      </c>
      <c r="BB115" s="193">
        <v>0</v>
      </c>
      <c r="BC115" s="193">
        <v>0</v>
      </c>
      <c r="BD115" s="193">
        <v>0</v>
      </c>
      <c r="BE115" s="193">
        <v>0</v>
      </c>
      <c r="BF115" s="193">
        <v>0</v>
      </c>
      <c r="BG115" s="193">
        <v>0</v>
      </c>
      <c r="BH115" s="193">
        <v>0</v>
      </c>
    </row>
    <row r="116" spans="1:60" s="188" customFormat="1">
      <c r="A116" s="189">
        <v>-24</v>
      </c>
      <c r="B116" s="194" t="s">
        <v>855</v>
      </c>
      <c r="C116" s="191">
        <v>340000</v>
      </c>
      <c r="D116" s="192">
        <v>0</v>
      </c>
      <c r="E116" s="192">
        <v>0</v>
      </c>
      <c r="F116" s="192">
        <v>0</v>
      </c>
      <c r="G116" s="192">
        <v>0</v>
      </c>
      <c r="H116" s="192">
        <v>0</v>
      </c>
      <c r="I116" s="192">
        <v>0</v>
      </c>
      <c r="J116" s="192">
        <v>1</v>
      </c>
      <c r="K116" s="192">
        <v>0</v>
      </c>
      <c r="L116" s="192">
        <v>0</v>
      </c>
      <c r="M116" s="192">
        <v>0</v>
      </c>
      <c r="N116" s="192">
        <v>0</v>
      </c>
      <c r="O116" s="192">
        <v>0</v>
      </c>
      <c r="P116" s="192">
        <v>0</v>
      </c>
      <c r="Q116" s="192">
        <v>0</v>
      </c>
      <c r="R116" s="192">
        <v>0</v>
      </c>
      <c r="S116" s="192">
        <v>0</v>
      </c>
      <c r="T116" s="192">
        <v>0</v>
      </c>
      <c r="U116" s="192">
        <v>0</v>
      </c>
      <c r="V116" s="192">
        <v>0</v>
      </c>
      <c r="W116" s="192">
        <v>0</v>
      </c>
      <c r="X116" s="192">
        <v>0</v>
      </c>
      <c r="Y116" s="192">
        <v>0</v>
      </c>
      <c r="Z116" s="192">
        <v>0</v>
      </c>
      <c r="AA116" s="192">
        <v>0</v>
      </c>
      <c r="AB116" s="192">
        <v>0</v>
      </c>
      <c r="AC116" s="192">
        <v>0</v>
      </c>
      <c r="AD116" s="192">
        <v>1</v>
      </c>
      <c r="AE116" s="192">
        <v>0</v>
      </c>
      <c r="AF116" s="193">
        <v>0</v>
      </c>
      <c r="AG116" s="193">
        <v>0</v>
      </c>
      <c r="AH116" s="193">
        <v>0</v>
      </c>
      <c r="AI116" s="193">
        <v>0</v>
      </c>
      <c r="AJ116" s="193">
        <v>0</v>
      </c>
      <c r="AK116" s="193">
        <v>0</v>
      </c>
      <c r="AL116" s="193">
        <v>340000</v>
      </c>
      <c r="AM116" s="193">
        <v>0</v>
      </c>
      <c r="AN116" s="193">
        <v>0</v>
      </c>
      <c r="AO116" s="193">
        <v>0</v>
      </c>
      <c r="AP116" s="193">
        <v>0</v>
      </c>
      <c r="AQ116" s="193">
        <v>0</v>
      </c>
      <c r="AR116" s="193">
        <v>0</v>
      </c>
      <c r="AS116" s="193">
        <v>0</v>
      </c>
      <c r="AT116" s="193">
        <v>0</v>
      </c>
      <c r="AU116" s="193">
        <v>0</v>
      </c>
      <c r="AV116" s="193">
        <v>0</v>
      </c>
      <c r="AW116" s="193">
        <v>0</v>
      </c>
      <c r="AX116" s="193">
        <v>0</v>
      </c>
      <c r="AY116" s="193">
        <v>0</v>
      </c>
      <c r="AZ116" s="193">
        <v>0</v>
      </c>
      <c r="BA116" s="193">
        <v>0</v>
      </c>
      <c r="BB116" s="193">
        <v>0</v>
      </c>
      <c r="BC116" s="193">
        <v>0</v>
      </c>
      <c r="BD116" s="193">
        <v>0</v>
      </c>
      <c r="BE116" s="193">
        <v>0</v>
      </c>
      <c r="BF116" s="193">
        <v>340000</v>
      </c>
      <c r="BG116" s="193">
        <v>0</v>
      </c>
      <c r="BH116" s="193">
        <v>340000</v>
      </c>
    </row>
    <row r="117" spans="1:60" s="188" customFormat="1">
      <c r="A117" s="189">
        <v>-25</v>
      </c>
      <c r="B117" s="194" t="s">
        <v>932</v>
      </c>
      <c r="C117" s="191">
        <v>340000</v>
      </c>
      <c r="D117" s="192">
        <v>0</v>
      </c>
      <c r="E117" s="192">
        <v>0</v>
      </c>
      <c r="F117" s="192">
        <v>0</v>
      </c>
      <c r="G117" s="192">
        <v>0</v>
      </c>
      <c r="H117" s="192">
        <v>0</v>
      </c>
      <c r="I117" s="192">
        <v>0</v>
      </c>
      <c r="J117" s="192">
        <v>0</v>
      </c>
      <c r="K117" s="192">
        <v>0</v>
      </c>
      <c r="L117" s="192">
        <v>0</v>
      </c>
      <c r="M117" s="192">
        <v>0</v>
      </c>
      <c r="N117" s="192">
        <v>0</v>
      </c>
      <c r="O117" s="192">
        <v>0</v>
      </c>
      <c r="P117" s="192">
        <v>0</v>
      </c>
      <c r="Q117" s="192">
        <v>0</v>
      </c>
      <c r="R117" s="192">
        <v>0</v>
      </c>
      <c r="S117" s="192">
        <v>0</v>
      </c>
      <c r="T117" s="192">
        <v>0</v>
      </c>
      <c r="U117" s="192">
        <v>0</v>
      </c>
      <c r="V117" s="192">
        <v>0</v>
      </c>
      <c r="W117" s="192">
        <v>0</v>
      </c>
      <c r="X117" s="192">
        <v>0</v>
      </c>
      <c r="Y117" s="192">
        <v>0</v>
      </c>
      <c r="Z117" s="192">
        <v>0</v>
      </c>
      <c r="AA117" s="192">
        <v>0</v>
      </c>
      <c r="AB117" s="192">
        <v>0</v>
      </c>
      <c r="AC117" s="192">
        <v>0</v>
      </c>
      <c r="AD117" s="192">
        <v>0</v>
      </c>
      <c r="AE117" s="192">
        <v>0</v>
      </c>
      <c r="AF117" s="193">
        <v>0</v>
      </c>
      <c r="AG117" s="193">
        <v>0</v>
      </c>
      <c r="AH117" s="193">
        <v>0</v>
      </c>
      <c r="AI117" s="193">
        <v>0</v>
      </c>
      <c r="AJ117" s="193">
        <v>0</v>
      </c>
      <c r="AK117" s="193">
        <v>0</v>
      </c>
      <c r="AL117" s="193">
        <v>0</v>
      </c>
      <c r="AM117" s="193">
        <v>0</v>
      </c>
      <c r="AN117" s="193">
        <v>0</v>
      </c>
      <c r="AO117" s="193">
        <v>0</v>
      </c>
      <c r="AP117" s="193">
        <v>0</v>
      </c>
      <c r="AQ117" s="193">
        <v>0</v>
      </c>
      <c r="AR117" s="193">
        <v>0</v>
      </c>
      <c r="AS117" s="193">
        <v>0</v>
      </c>
      <c r="AT117" s="193">
        <v>0</v>
      </c>
      <c r="AU117" s="193">
        <v>0</v>
      </c>
      <c r="AV117" s="193">
        <v>0</v>
      </c>
      <c r="AW117" s="193">
        <v>0</v>
      </c>
      <c r="AX117" s="193">
        <v>0</v>
      </c>
      <c r="AY117" s="193">
        <v>0</v>
      </c>
      <c r="AZ117" s="193">
        <v>0</v>
      </c>
      <c r="BA117" s="193">
        <v>0</v>
      </c>
      <c r="BB117" s="193">
        <v>0</v>
      </c>
      <c r="BC117" s="193">
        <v>0</v>
      </c>
      <c r="BD117" s="193">
        <v>0</v>
      </c>
      <c r="BE117" s="193">
        <v>0</v>
      </c>
      <c r="BF117" s="193">
        <v>0</v>
      </c>
      <c r="BG117" s="193">
        <v>0</v>
      </c>
      <c r="BH117" s="193">
        <v>0</v>
      </c>
    </row>
    <row r="118" spans="1:60" s="188" customFormat="1">
      <c r="A118" s="189">
        <v>-26</v>
      </c>
      <c r="B118" s="190" t="s">
        <v>892</v>
      </c>
      <c r="C118" s="191">
        <v>340000</v>
      </c>
      <c r="D118" s="192">
        <v>0</v>
      </c>
      <c r="E118" s="192">
        <v>0</v>
      </c>
      <c r="F118" s="192">
        <v>3</v>
      </c>
      <c r="G118" s="192">
        <v>0</v>
      </c>
      <c r="H118" s="192">
        <v>0</v>
      </c>
      <c r="I118" s="192">
        <v>0</v>
      </c>
      <c r="J118" s="192">
        <v>0</v>
      </c>
      <c r="K118" s="192">
        <v>0</v>
      </c>
      <c r="L118" s="192">
        <v>0</v>
      </c>
      <c r="M118" s="192">
        <v>0</v>
      </c>
      <c r="N118" s="192">
        <v>0</v>
      </c>
      <c r="O118" s="192">
        <v>0</v>
      </c>
      <c r="P118" s="192">
        <v>0</v>
      </c>
      <c r="Q118" s="192">
        <v>0</v>
      </c>
      <c r="R118" s="192">
        <v>0</v>
      </c>
      <c r="S118" s="192">
        <v>0</v>
      </c>
      <c r="T118" s="192">
        <v>0</v>
      </c>
      <c r="U118" s="192">
        <v>0</v>
      </c>
      <c r="V118" s="192">
        <v>0</v>
      </c>
      <c r="W118" s="192">
        <v>0</v>
      </c>
      <c r="X118" s="192">
        <v>0</v>
      </c>
      <c r="Y118" s="192">
        <v>0</v>
      </c>
      <c r="Z118" s="192">
        <v>0</v>
      </c>
      <c r="AA118" s="192">
        <v>0</v>
      </c>
      <c r="AB118" s="192">
        <v>0</v>
      </c>
      <c r="AC118" s="192">
        <v>0</v>
      </c>
      <c r="AD118" s="192">
        <v>3</v>
      </c>
      <c r="AE118" s="192">
        <v>0</v>
      </c>
      <c r="AF118" s="193">
        <v>0</v>
      </c>
      <c r="AG118" s="193">
        <v>0</v>
      </c>
      <c r="AH118" s="193">
        <v>1020000</v>
      </c>
      <c r="AI118" s="193">
        <v>0</v>
      </c>
      <c r="AJ118" s="193">
        <v>0</v>
      </c>
      <c r="AK118" s="193">
        <v>0</v>
      </c>
      <c r="AL118" s="193">
        <v>0</v>
      </c>
      <c r="AM118" s="193">
        <v>0</v>
      </c>
      <c r="AN118" s="193">
        <v>0</v>
      </c>
      <c r="AO118" s="193">
        <v>0</v>
      </c>
      <c r="AP118" s="193">
        <v>0</v>
      </c>
      <c r="AQ118" s="193">
        <v>0</v>
      </c>
      <c r="AR118" s="193">
        <v>0</v>
      </c>
      <c r="AS118" s="193">
        <v>0</v>
      </c>
      <c r="AT118" s="193">
        <v>0</v>
      </c>
      <c r="AU118" s="193">
        <v>0</v>
      </c>
      <c r="AV118" s="193">
        <v>0</v>
      </c>
      <c r="AW118" s="193">
        <v>0</v>
      </c>
      <c r="AX118" s="193">
        <v>0</v>
      </c>
      <c r="AY118" s="193">
        <v>0</v>
      </c>
      <c r="AZ118" s="193">
        <v>0</v>
      </c>
      <c r="BA118" s="193">
        <v>0</v>
      </c>
      <c r="BB118" s="193">
        <v>0</v>
      </c>
      <c r="BC118" s="193">
        <v>0</v>
      </c>
      <c r="BD118" s="193">
        <v>0</v>
      </c>
      <c r="BE118" s="193">
        <v>0</v>
      </c>
      <c r="BF118" s="193">
        <v>1020000</v>
      </c>
      <c r="BG118" s="193">
        <v>0</v>
      </c>
      <c r="BH118" s="193">
        <v>1020000</v>
      </c>
    </row>
    <row r="119" spans="1:60" s="188" customFormat="1">
      <c r="A119" s="189">
        <v>-27</v>
      </c>
      <c r="B119" s="190" t="s">
        <v>933</v>
      </c>
      <c r="C119" s="191">
        <v>450000</v>
      </c>
      <c r="D119" s="192">
        <v>0</v>
      </c>
      <c r="E119" s="192">
        <v>0</v>
      </c>
      <c r="F119" s="192">
        <v>0</v>
      </c>
      <c r="G119" s="192">
        <v>0</v>
      </c>
      <c r="H119" s="192">
        <v>0</v>
      </c>
      <c r="I119" s="192">
        <v>0</v>
      </c>
      <c r="J119" s="192">
        <v>1</v>
      </c>
      <c r="K119" s="192">
        <v>0</v>
      </c>
      <c r="L119" s="192">
        <v>0</v>
      </c>
      <c r="M119" s="192">
        <v>0</v>
      </c>
      <c r="N119" s="192">
        <v>0</v>
      </c>
      <c r="O119" s="192">
        <v>0</v>
      </c>
      <c r="P119" s="192">
        <v>0</v>
      </c>
      <c r="Q119" s="192">
        <v>0</v>
      </c>
      <c r="R119" s="192">
        <v>0</v>
      </c>
      <c r="S119" s="192">
        <v>0</v>
      </c>
      <c r="T119" s="192">
        <v>0</v>
      </c>
      <c r="U119" s="192">
        <v>0</v>
      </c>
      <c r="V119" s="192">
        <v>0</v>
      </c>
      <c r="W119" s="192">
        <v>0</v>
      </c>
      <c r="X119" s="192">
        <v>0</v>
      </c>
      <c r="Y119" s="192">
        <v>0</v>
      </c>
      <c r="Z119" s="192">
        <v>0</v>
      </c>
      <c r="AA119" s="192">
        <v>0</v>
      </c>
      <c r="AB119" s="192">
        <v>0</v>
      </c>
      <c r="AC119" s="192">
        <v>0</v>
      </c>
      <c r="AD119" s="192">
        <v>1</v>
      </c>
      <c r="AE119" s="192">
        <v>0</v>
      </c>
      <c r="AF119" s="193">
        <v>0</v>
      </c>
      <c r="AG119" s="193">
        <v>0</v>
      </c>
      <c r="AH119" s="193">
        <v>0</v>
      </c>
      <c r="AI119" s="193">
        <v>0</v>
      </c>
      <c r="AJ119" s="193">
        <v>0</v>
      </c>
      <c r="AK119" s="193">
        <v>0</v>
      </c>
      <c r="AL119" s="193">
        <v>450000</v>
      </c>
      <c r="AM119" s="193">
        <v>0</v>
      </c>
      <c r="AN119" s="193">
        <v>0</v>
      </c>
      <c r="AO119" s="193">
        <v>0</v>
      </c>
      <c r="AP119" s="193">
        <v>0</v>
      </c>
      <c r="AQ119" s="193">
        <v>0</v>
      </c>
      <c r="AR119" s="193">
        <v>0</v>
      </c>
      <c r="AS119" s="193">
        <v>0</v>
      </c>
      <c r="AT119" s="193">
        <v>0</v>
      </c>
      <c r="AU119" s="193">
        <v>0</v>
      </c>
      <c r="AV119" s="193">
        <v>0</v>
      </c>
      <c r="AW119" s="193">
        <v>0</v>
      </c>
      <c r="AX119" s="193">
        <v>0</v>
      </c>
      <c r="AY119" s="193">
        <v>0</v>
      </c>
      <c r="AZ119" s="193">
        <v>0</v>
      </c>
      <c r="BA119" s="193">
        <v>0</v>
      </c>
      <c r="BB119" s="193">
        <v>0</v>
      </c>
      <c r="BC119" s="193">
        <v>0</v>
      </c>
      <c r="BD119" s="193">
        <v>0</v>
      </c>
      <c r="BE119" s="193">
        <v>0</v>
      </c>
      <c r="BF119" s="193">
        <v>450000</v>
      </c>
      <c r="BG119" s="193">
        <v>0</v>
      </c>
      <c r="BH119" s="193">
        <v>450000</v>
      </c>
    </row>
    <row r="120" spans="1:60" s="188" customFormat="1">
      <c r="A120" s="189">
        <v>-28</v>
      </c>
      <c r="B120" s="190" t="s">
        <v>934</v>
      </c>
      <c r="C120" s="191">
        <v>460000</v>
      </c>
      <c r="D120" s="192">
        <v>0</v>
      </c>
      <c r="E120" s="192">
        <v>0</v>
      </c>
      <c r="F120" s="192">
        <v>0</v>
      </c>
      <c r="G120" s="192">
        <v>0</v>
      </c>
      <c r="H120" s="192">
        <v>0</v>
      </c>
      <c r="I120" s="192">
        <v>0</v>
      </c>
      <c r="J120" s="192">
        <v>0</v>
      </c>
      <c r="K120" s="192">
        <v>0</v>
      </c>
      <c r="L120" s="192">
        <v>0</v>
      </c>
      <c r="M120" s="192">
        <v>0</v>
      </c>
      <c r="N120" s="192">
        <v>0</v>
      </c>
      <c r="O120" s="192">
        <v>0</v>
      </c>
      <c r="P120" s="192">
        <v>0</v>
      </c>
      <c r="Q120" s="192">
        <v>0</v>
      </c>
      <c r="R120" s="192">
        <v>0</v>
      </c>
      <c r="S120" s="192">
        <v>0</v>
      </c>
      <c r="T120" s="192">
        <v>0</v>
      </c>
      <c r="U120" s="192">
        <v>0</v>
      </c>
      <c r="V120" s="192">
        <v>0</v>
      </c>
      <c r="W120" s="192">
        <v>0</v>
      </c>
      <c r="X120" s="192">
        <v>0</v>
      </c>
      <c r="Y120" s="192">
        <v>0</v>
      </c>
      <c r="Z120" s="192">
        <v>0</v>
      </c>
      <c r="AA120" s="192">
        <v>0</v>
      </c>
      <c r="AB120" s="192">
        <v>0</v>
      </c>
      <c r="AC120" s="192">
        <v>0</v>
      </c>
      <c r="AD120" s="192">
        <v>0</v>
      </c>
      <c r="AE120" s="192">
        <v>0</v>
      </c>
      <c r="AF120" s="193">
        <v>0</v>
      </c>
      <c r="AG120" s="193">
        <v>0</v>
      </c>
      <c r="AH120" s="193">
        <v>0</v>
      </c>
      <c r="AI120" s="193">
        <v>0</v>
      </c>
      <c r="AJ120" s="193">
        <v>0</v>
      </c>
      <c r="AK120" s="193">
        <v>0</v>
      </c>
      <c r="AL120" s="193">
        <v>0</v>
      </c>
      <c r="AM120" s="193">
        <v>0</v>
      </c>
      <c r="AN120" s="193">
        <v>0</v>
      </c>
      <c r="AO120" s="193">
        <v>0</v>
      </c>
      <c r="AP120" s="193">
        <v>0</v>
      </c>
      <c r="AQ120" s="193">
        <v>0</v>
      </c>
      <c r="AR120" s="193">
        <v>0</v>
      </c>
      <c r="AS120" s="193">
        <v>0</v>
      </c>
      <c r="AT120" s="193">
        <v>0</v>
      </c>
      <c r="AU120" s="193">
        <v>0</v>
      </c>
      <c r="AV120" s="193">
        <v>0</v>
      </c>
      <c r="AW120" s="193">
        <v>0</v>
      </c>
      <c r="AX120" s="193">
        <v>0</v>
      </c>
      <c r="AY120" s="193">
        <v>0</v>
      </c>
      <c r="AZ120" s="193">
        <v>0</v>
      </c>
      <c r="BA120" s="193">
        <v>0</v>
      </c>
      <c r="BB120" s="193">
        <v>0</v>
      </c>
      <c r="BC120" s="193">
        <v>0</v>
      </c>
      <c r="BD120" s="193">
        <v>0</v>
      </c>
      <c r="BE120" s="193">
        <v>0</v>
      </c>
      <c r="BF120" s="193">
        <v>0</v>
      </c>
      <c r="BG120" s="193">
        <v>0</v>
      </c>
      <c r="BH120" s="193">
        <v>0</v>
      </c>
    </row>
    <row r="121" spans="1:60" s="188" customFormat="1">
      <c r="A121" s="189">
        <v>-29</v>
      </c>
      <c r="B121" s="190" t="s">
        <v>935</v>
      </c>
      <c r="C121" s="191">
        <v>700000</v>
      </c>
      <c r="D121" s="192">
        <v>4</v>
      </c>
      <c r="E121" s="192">
        <v>0</v>
      </c>
      <c r="F121" s="192">
        <v>4</v>
      </c>
      <c r="G121" s="192">
        <v>0</v>
      </c>
      <c r="H121" s="192">
        <v>0</v>
      </c>
      <c r="I121" s="192">
        <v>0</v>
      </c>
      <c r="J121" s="192">
        <v>0</v>
      </c>
      <c r="K121" s="192">
        <v>0</v>
      </c>
      <c r="L121" s="192">
        <v>0</v>
      </c>
      <c r="M121" s="192">
        <v>0</v>
      </c>
      <c r="N121" s="192">
        <v>0</v>
      </c>
      <c r="O121" s="192">
        <v>0</v>
      </c>
      <c r="P121" s="192">
        <v>0</v>
      </c>
      <c r="Q121" s="192">
        <v>0</v>
      </c>
      <c r="R121" s="192">
        <v>0</v>
      </c>
      <c r="S121" s="192">
        <v>0</v>
      </c>
      <c r="T121" s="192">
        <v>0</v>
      </c>
      <c r="U121" s="192">
        <v>0</v>
      </c>
      <c r="V121" s="192">
        <v>0</v>
      </c>
      <c r="W121" s="192">
        <v>0</v>
      </c>
      <c r="X121" s="192">
        <v>0</v>
      </c>
      <c r="Y121" s="192">
        <v>0</v>
      </c>
      <c r="Z121" s="192">
        <v>0</v>
      </c>
      <c r="AA121" s="192">
        <v>0</v>
      </c>
      <c r="AB121" s="192">
        <v>0</v>
      </c>
      <c r="AC121" s="192">
        <v>0</v>
      </c>
      <c r="AD121" s="192">
        <v>8</v>
      </c>
      <c r="AE121" s="192">
        <v>0</v>
      </c>
      <c r="AF121" s="193">
        <v>2800000</v>
      </c>
      <c r="AG121" s="193">
        <v>0</v>
      </c>
      <c r="AH121" s="193">
        <v>2800000</v>
      </c>
      <c r="AI121" s="193">
        <v>0</v>
      </c>
      <c r="AJ121" s="193">
        <v>0</v>
      </c>
      <c r="AK121" s="193">
        <v>0</v>
      </c>
      <c r="AL121" s="193">
        <v>0</v>
      </c>
      <c r="AM121" s="193">
        <v>0</v>
      </c>
      <c r="AN121" s="193">
        <v>0</v>
      </c>
      <c r="AO121" s="193">
        <v>0</v>
      </c>
      <c r="AP121" s="193">
        <v>0</v>
      </c>
      <c r="AQ121" s="193">
        <v>0</v>
      </c>
      <c r="AR121" s="193">
        <v>0</v>
      </c>
      <c r="AS121" s="193">
        <v>0</v>
      </c>
      <c r="AT121" s="193">
        <v>0</v>
      </c>
      <c r="AU121" s="193">
        <v>0</v>
      </c>
      <c r="AV121" s="193">
        <v>0</v>
      </c>
      <c r="AW121" s="193">
        <v>0</v>
      </c>
      <c r="AX121" s="193">
        <v>0</v>
      </c>
      <c r="AY121" s="193">
        <v>0</v>
      </c>
      <c r="AZ121" s="193">
        <v>0</v>
      </c>
      <c r="BA121" s="193">
        <v>0</v>
      </c>
      <c r="BB121" s="193">
        <v>0</v>
      </c>
      <c r="BC121" s="193">
        <v>0</v>
      </c>
      <c r="BD121" s="193">
        <v>0</v>
      </c>
      <c r="BE121" s="193">
        <v>0</v>
      </c>
      <c r="BF121" s="193">
        <v>5600000</v>
      </c>
      <c r="BG121" s="193">
        <v>0</v>
      </c>
      <c r="BH121" s="193">
        <v>5600000</v>
      </c>
    </row>
    <row r="122" spans="1:60" s="188" customFormat="1">
      <c r="A122" s="189">
        <v>-30</v>
      </c>
      <c r="B122" s="190" t="s">
        <v>936</v>
      </c>
      <c r="C122" s="191">
        <v>800000</v>
      </c>
      <c r="D122" s="192">
        <v>0</v>
      </c>
      <c r="E122" s="192">
        <v>0</v>
      </c>
      <c r="F122" s="192">
        <v>0</v>
      </c>
      <c r="G122" s="192">
        <v>0</v>
      </c>
      <c r="H122" s="192">
        <v>0</v>
      </c>
      <c r="I122" s="192">
        <v>0</v>
      </c>
      <c r="J122" s="192">
        <v>0</v>
      </c>
      <c r="K122" s="192">
        <v>0</v>
      </c>
      <c r="L122" s="192">
        <v>0</v>
      </c>
      <c r="M122" s="192">
        <v>0</v>
      </c>
      <c r="N122" s="192">
        <v>0</v>
      </c>
      <c r="O122" s="192">
        <v>0</v>
      </c>
      <c r="P122" s="192">
        <v>0</v>
      </c>
      <c r="Q122" s="192">
        <v>0</v>
      </c>
      <c r="R122" s="192">
        <v>0</v>
      </c>
      <c r="S122" s="192">
        <v>0</v>
      </c>
      <c r="T122" s="192">
        <v>0</v>
      </c>
      <c r="U122" s="192">
        <v>0</v>
      </c>
      <c r="V122" s="192">
        <v>0</v>
      </c>
      <c r="W122" s="192">
        <v>0</v>
      </c>
      <c r="X122" s="192">
        <v>0</v>
      </c>
      <c r="Y122" s="192">
        <v>0</v>
      </c>
      <c r="Z122" s="192">
        <v>0</v>
      </c>
      <c r="AA122" s="192">
        <v>0</v>
      </c>
      <c r="AB122" s="192">
        <v>0</v>
      </c>
      <c r="AC122" s="192">
        <v>0</v>
      </c>
      <c r="AD122" s="192">
        <v>0</v>
      </c>
      <c r="AE122" s="192">
        <v>0</v>
      </c>
      <c r="AF122" s="193">
        <v>0</v>
      </c>
      <c r="AG122" s="193">
        <v>0</v>
      </c>
      <c r="AH122" s="193">
        <v>0</v>
      </c>
      <c r="AI122" s="193">
        <v>0</v>
      </c>
      <c r="AJ122" s="193">
        <v>0</v>
      </c>
      <c r="AK122" s="193">
        <v>0</v>
      </c>
      <c r="AL122" s="193">
        <v>0</v>
      </c>
      <c r="AM122" s="193">
        <v>0</v>
      </c>
      <c r="AN122" s="193">
        <v>0</v>
      </c>
      <c r="AO122" s="193">
        <v>0</v>
      </c>
      <c r="AP122" s="193">
        <v>0</v>
      </c>
      <c r="AQ122" s="193">
        <v>0</v>
      </c>
      <c r="AR122" s="193">
        <v>0</v>
      </c>
      <c r="AS122" s="193">
        <v>0</v>
      </c>
      <c r="AT122" s="193">
        <v>0</v>
      </c>
      <c r="AU122" s="193">
        <v>0</v>
      </c>
      <c r="AV122" s="193">
        <v>0</v>
      </c>
      <c r="AW122" s="193">
        <v>0</v>
      </c>
      <c r="AX122" s="193">
        <v>0</v>
      </c>
      <c r="AY122" s="193">
        <v>0</v>
      </c>
      <c r="AZ122" s="193">
        <v>0</v>
      </c>
      <c r="BA122" s="193">
        <v>0</v>
      </c>
      <c r="BB122" s="193">
        <v>0</v>
      </c>
      <c r="BC122" s="193">
        <v>0</v>
      </c>
      <c r="BD122" s="193">
        <v>0</v>
      </c>
      <c r="BE122" s="193">
        <v>0</v>
      </c>
      <c r="BF122" s="193">
        <v>0</v>
      </c>
      <c r="BG122" s="193">
        <v>0</v>
      </c>
      <c r="BH122" s="193">
        <v>0</v>
      </c>
    </row>
    <row r="123" spans="1:60" s="188" customFormat="1">
      <c r="A123" s="189">
        <v>-31</v>
      </c>
      <c r="B123" s="204" t="s">
        <v>905</v>
      </c>
      <c r="C123" s="191">
        <v>1350000</v>
      </c>
      <c r="D123" s="192">
        <v>0</v>
      </c>
      <c r="E123" s="192">
        <v>0</v>
      </c>
      <c r="F123" s="192">
        <v>0</v>
      </c>
      <c r="G123" s="192">
        <v>0</v>
      </c>
      <c r="H123" s="192">
        <v>0</v>
      </c>
      <c r="I123" s="192">
        <v>0</v>
      </c>
      <c r="J123" s="192">
        <v>0</v>
      </c>
      <c r="K123" s="192">
        <v>0</v>
      </c>
      <c r="L123" s="192">
        <v>0</v>
      </c>
      <c r="M123" s="192">
        <v>0</v>
      </c>
      <c r="N123" s="192">
        <v>0</v>
      </c>
      <c r="O123" s="192">
        <v>0</v>
      </c>
      <c r="P123" s="192">
        <v>0</v>
      </c>
      <c r="Q123" s="192">
        <v>0</v>
      </c>
      <c r="R123" s="192">
        <v>0</v>
      </c>
      <c r="S123" s="192">
        <v>0</v>
      </c>
      <c r="T123" s="192">
        <v>0</v>
      </c>
      <c r="U123" s="192">
        <v>0</v>
      </c>
      <c r="V123" s="192">
        <v>0</v>
      </c>
      <c r="W123" s="192">
        <v>0</v>
      </c>
      <c r="X123" s="192">
        <v>0</v>
      </c>
      <c r="Y123" s="192">
        <v>0</v>
      </c>
      <c r="Z123" s="192">
        <v>0</v>
      </c>
      <c r="AA123" s="192">
        <v>0</v>
      </c>
      <c r="AB123" s="192">
        <v>0</v>
      </c>
      <c r="AC123" s="192">
        <v>0</v>
      </c>
      <c r="AD123" s="192">
        <v>0</v>
      </c>
      <c r="AE123" s="192">
        <v>0</v>
      </c>
      <c r="AF123" s="193">
        <v>0</v>
      </c>
      <c r="AG123" s="193">
        <v>0</v>
      </c>
      <c r="AH123" s="193">
        <v>0</v>
      </c>
      <c r="AI123" s="193">
        <v>0</v>
      </c>
      <c r="AJ123" s="193">
        <v>0</v>
      </c>
      <c r="AK123" s="193">
        <v>0</v>
      </c>
      <c r="AL123" s="193">
        <v>0</v>
      </c>
      <c r="AM123" s="193">
        <v>0</v>
      </c>
      <c r="AN123" s="193">
        <v>0</v>
      </c>
      <c r="AO123" s="193">
        <v>0</v>
      </c>
      <c r="AP123" s="193">
        <v>0</v>
      </c>
      <c r="AQ123" s="193">
        <v>0</v>
      </c>
      <c r="AR123" s="193">
        <v>0</v>
      </c>
      <c r="AS123" s="193">
        <v>0</v>
      </c>
      <c r="AT123" s="193">
        <v>0</v>
      </c>
      <c r="AU123" s="193">
        <v>0</v>
      </c>
      <c r="AV123" s="193">
        <v>0</v>
      </c>
      <c r="AW123" s="193">
        <v>0</v>
      </c>
      <c r="AX123" s="193">
        <v>0</v>
      </c>
      <c r="AY123" s="193">
        <v>0</v>
      </c>
      <c r="AZ123" s="193">
        <v>0</v>
      </c>
      <c r="BA123" s="193">
        <v>0</v>
      </c>
      <c r="BB123" s="193">
        <v>0</v>
      </c>
      <c r="BC123" s="193">
        <v>0</v>
      </c>
      <c r="BD123" s="193">
        <v>0</v>
      </c>
      <c r="BE123" s="193">
        <v>0</v>
      </c>
      <c r="BF123" s="193">
        <v>0</v>
      </c>
      <c r="BG123" s="193">
        <v>0</v>
      </c>
      <c r="BH123" s="193">
        <v>0</v>
      </c>
    </row>
    <row r="124" spans="1:60" s="188" customFormat="1">
      <c r="A124" s="189">
        <v>-32</v>
      </c>
      <c r="B124" s="204" t="s">
        <v>937</v>
      </c>
      <c r="C124" s="191">
        <v>1400000</v>
      </c>
      <c r="D124" s="192">
        <v>0</v>
      </c>
      <c r="E124" s="192">
        <v>0</v>
      </c>
      <c r="F124" s="192">
        <v>0</v>
      </c>
      <c r="G124" s="192">
        <v>0</v>
      </c>
      <c r="H124" s="192">
        <v>0</v>
      </c>
      <c r="I124" s="192">
        <v>0</v>
      </c>
      <c r="J124" s="192">
        <v>0</v>
      </c>
      <c r="K124" s="192">
        <v>0</v>
      </c>
      <c r="L124" s="192">
        <v>0</v>
      </c>
      <c r="M124" s="192">
        <v>0</v>
      </c>
      <c r="N124" s="192">
        <v>0</v>
      </c>
      <c r="O124" s="192">
        <v>0</v>
      </c>
      <c r="P124" s="192">
        <v>0</v>
      </c>
      <c r="Q124" s="192">
        <v>0</v>
      </c>
      <c r="R124" s="192">
        <v>0</v>
      </c>
      <c r="S124" s="192">
        <v>0</v>
      </c>
      <c r="T124" s="192">
        <v>0</v>
      </c>
      <c r="U124" s="192">
        <v>0</v>
      </c>
      <c r="V124" s="192">
        <v>0</v>
      </c>
      <c r="W124" s="192">
        <v>0</v>
      </c>
      <c r="X124" s="192">
        <v>0</v>
      </c>
      <c r="Y124" s="192">
        <v>0</v>
      </c>
      <c r="Z124" s="192">
        <v>0</v>
      </c>
      <c r="AA124" s="192">
        <v>0</v>
      </c>
      <c r="AB124" s="192">
        <v>0</v>
      </c>
      <c r="AC124" s="192">
        <v>0</v>
      </c>
      <c r="AD124" s="192">
        <v>0</v>
      </c>
      <c r="AE124" s="192">
        <v>0</v>
      </c>
      <c r="AF124" s="193">
        <v>0</v>
      </c>
      <c r="AG124" s="193">
        <v>0</v>
      </c>
      <c r="AH124" s="193">
        <v>0</v>
      </c>
      <c r="AI124" s="193">
        <v>0</v>
      </c>
      <c r="AJ124" s="193">
        <v>0</v>
      </c>
      <c r="AK124" s="193">
        <v>0</v>
      </c>
      <c r="AL124" s="193">
        <v>0</v>
      </c>
      <c r="AM124" s="193">
        <v>0</v>
      </c>
      <c r="AN124" s="193">
        <v>0</v>
      </c>
      <c r="AO124" s="193">
        <v>0</v>
      </c>
      <c r="AP124" s="193">
        <v>0</v>
      </c>
      <c r="AQ124" s="193">
        <v>0</v>
      </c>
      <c r="AR124" s="193">
        <v>0</v>
      </c>
      <c r="AS124" s="193">
        <v>0</v>
      </c>
      <c r="AT124" s="193">
        <v>0</v>
      </c>
      <c r="AU124" s="193">
        <v>0</v>
      </c>
      <c r="AV124" s="193">
        <v>0</v>
      </c>
      <c r="AW124" s="193">
        <v>0</v>
      </c>
      <c r="AX124" s="193">
        <v>0</v>
      </c>
      <c r="AY124" s="193">
        <v>0</v>
      </c>
      <c r="AZ124" s="193">
        <v>0</v>
      </c>
      <c r="BA124" s="193">
        <v>0</v>
      </c>
      <c r="BB124" s="193">
        <v>0</v>
      </c>
      <c r="BC124" s="193">
        <v>0</v>
      </c>
      <c r="BD124" s="193">
        <v>0</v>
      </c>
      <c r="BE124" s="193">
        <v>0</v>
      </c>
      <c r="BF124" s="193">
        <v>0</v>
      </c>
      <c r="BG124" s="193">
        <v>0</v>
      </c>
      <c r="BH124" s="193">
        <v>0</v>
      </c>
    </row>
    <row r="125" spans="1:60" s="188" customFormat="1" ht="18.75">
      <c r="A125" s="189">
        <v>-33</v>
      </c>
      <c r="B125" s="204" t="s">
        <v>938</v>
      </c>
      <c r="C125" s="191">
        <v>2000000</v>
      </c>
      <c r="D125" s="192">
        <v>0</v>
      </c>
      <c r="E125" s="192">
        <v>0</v>
      </c>
      <c r="F125" s="192">
        <v>0</v>
      </c>
      <c r="G125" s="192">
        <v>0</v>
      </c>
      <c r="H125" s="192">
        <v>0</v>
      </c>
      <c r="I125" s="192">
        <v>0</v>
      </c>
      <c r="J125" s="192">
        <v>0</v>
      </c>
      <c r="K125" s="192">
        <v>1</v>
      </c>
      <c r="L125" s="192">
        <v>0</v>
      </c>
      <c r="M125" s="192">
        <v>0</v>
      </c>
      <c r="N125" s="192">
        <v>0</v>
      </c>
      <c r="O125" s="192">
        <v>0</v>
      </c>
      <c r="P125" s="192">
        <v>0</v>
      </c>
      <c r="Q125" s="192">
        <v>0</v>
      </c>
      <c r="R125" s="192">
        <v>0</v>
      </c>
      <c r="S125" s="192">
        <v>0</v>
      </c>
      <c r="T125" s="192">
        <v>0</v>
      </c>
      <c r="U125" s="192">
        <v>0</v>
      </c>
      <c r="V125" s="192">
        <v>0</v>
      </c>
      <c r="W125" s="192">
        <v>0</v>
      </c>
      <c r="X125" s="192">
        <v>0</v>
      </c>
      <c r="Y125" s="192">
        <v>0</v>
      </c>
      <c r="Z125" s="192">
        <v>0</v>
      </c>
      <c r="AA125" s="192">
        <v>0</v>
      </c>
      <c r="AB125" s="192">
        <v>0</v>
      </c>
      <c r="AC125" s="192">
        <v>0</v>
      </c>
      <c r="AD125" s="192">
        <v>0</v>
      </c>
      <c r="AE125" s="192">
        <v>1</v>
      </c>
      <c r="AF125" s="193">
        <v>0</v>
      </c>
      <c r="AG125" s="193">
        <v>0</v>
      </c>
      <c r="AH125" s="193">
        <v>0</v>
      </c>
      <c r="AI125" s="193">
        <v>0</v>
      </c>
      <c r="AJ125" s="193">
        <v>0</v>
      </c>
      <c r="AK125" s="193">
        <v>0</v>
      </c>
      <c r="AL125" s="193">
        <v>0</v>
      </c>
      <c r="AM125" s="193">
        <v>2000000</v>
      </c>
      <c r="AN125" s="193">
        <v>0</v>
      </c>
      <c r="AO125" s="193">
        <v>0</v>
      </c>
      <c r="AP125" s="193">
        <v>0</v>
      </c>
      <c r="AQ125" s="193">
        <v>0</v>
      </c>
      <c r="AR125" s="193">
        <v>0</v>
      </c>
      <c r="AS125" s="193">
        <v>0</v>
      </c>
      <c r="AT125" s="193">
        <v>0</v>
      </c>
      <c r="AU125" s="193">
        <v>0</v>
      </c>
      <c r="AV125" s="193">
        <v>0</v>
      </c>
      <c r="AW125" s="193">
        <v>0</v>
      </c>
      <c r="AX125" s="193">
        <v>0</v>
      </c>
      <c r="AY125" s="193">
        <v>0</v>
      </c>
      <c r="AZ125" s="193">
        <v>0</v>
      </c>
      <c r="BA125" s="193">
        <v>0</v>
      </c>
      <c r="BB125" s="193">
        <v>0</v>
      </c>
      <c r="BC125" s="193">
        <v>0</v>
      </c>
      <c r="BD125" s="193">
        <v>0</v>
      </c>
      <c r="BE125" s="193">
        <v>0</v>
      </c>
      <c r="BF125" s="193">
        <v>0</v>
      </c>
      <c r="BG125" s="193">
        <v>2000000</v>
      </c>
      <c r="BH125" s="193">
        <v>2000000</v>
      </c>
    </row>
    <row r="126" spans="1:60" s="188" customFormat="1">
      <c r="A126" s="189">
        <v>-34</v>
      </c>
      <c r="B126" s="204" t="s">
        <v>939</v>
      </c>
      <c r="C126" s="191">
        <v>2250000</v>
      </c>
      <c r="D126" s="192">
        <v>0</v>
      </c>
      <c r="E126" s="192">
        <v>0</v>
      </c>
      <c r="F126" s="192">
        <v>0</v>
      </c>
      <c r="G126" s="192">
        <v>0</v>
      </c>
      <c r="H126" s="192">
        <v>0</v>
      </c>
      <c r="I126" s="192">
        <v>0</v>
      </c>
      <c r="J126" s="192">
        <v>0</v>
      </c>
      <c r="K126" s="192">
        <v>0</v>
      </c>
      <c r="L126" s="192">
        <v>0</v>
      </c>
      <c r="M126" s="192">
        <v>0</v>
      </c>
      <c r="N126" s="192">
        <v>0</v>
      </c>
      <c r="O126" s="192">
        <v>0</v>
      </c>
      <c r="P126" s="192">
        <v>0</v>
      </c>
      <c r="Q126" s="192">
        <v>0</v>
      </c>
      <c r="R126" s="192">
        <v>0</v>
      </c>
      <c r="S126" s="192">
        <v>0</v>
      </c>
      <c r="T126" s="192">
        <v>0</v>
      </c>
      <c r="U126" s="192">
        <v>0</v>
      </c>
      <c r="V126" s="192">
        <v>0</v>
      </c>
      <c r="W126" s="192">
        <v>0</v>
      </c>
      <c r="X126" s="192">
        <v>0</v>
      </c>
      <c r="Y126" s="192">
        <v>0</v>
      </c>
      <c r="Z126" s="192">
        <v>0</v>
      </c>
      <c r="AA126" s="192">
        <v>0</v>
      </c>
      <c r="AB126" s="192">
        <v>0</v>
      </c>
      <c r="AC126" s="192">
        <v>0</v>
      </c>
      <c r="AD126" s="192">
        <v>0</v>
      </c>
      <c r="AE126" s="192">
        <v>0</v>
      </c>
      <c r="AF126" s="193">
        <v>0</v>
      </c>
      <c r="AG126" s="193">
        <v>0</v>
      </c>
      <c r="AH126" s="193">
        <v>0</v>
      </c>
      <c r="AI126" s="193">
        <v>0</v>
      </c>
      <c r="AJ126" s="193">
        <v>0</v>
      </c>
      <c r="AK126" s="193">
        <v>0</v>
      </c>
      <c r="AL126" s="193">
        <v>0</v>
      </c>
      <c r="AM126" s="193">
        <v>0</v>
      </c>
      <c r="AN126" s="193">
        <v>0</v>
      </c>
      <c r="AO126" s="193">
        <v>0</v>
      </c>
      <c r="AP126" s="193">
        <v>0</v>
      </c>
      <c r="AQ126" s="193">
        <v>0</v>
      </c>
      <c r="AR126" s="193">
        <v>0</v>
      </c>
      <c r="AS126" s="193">
        <v>0</v>
      </c>
      <c r="AT126" s="193">
        <v>0</v>
      </c>
      <c r="AU126" s="193">
        <v>0</v>
      </c>
      <c r="AV126" s="193">
        <v>0</v>
      </c>
      <c r="AW126" s="193">
        <v>0</v>
      </c>
      <c r="AX126" s="193">
        <v>0</v>
      </c>
      <c r="AY126" s="193">
        <v>0</v>
      </c>
      <c r="AZ126" s="193">
        <v>0</v>
      </c>
      <c r="BA126" s="193">
        <v>0</v>
      </c>
      <c r="BB126" s="193">
        <v>0</v>
      </c>
      <c r="BC126" s="193">
        <v>0</v>
      </c>
      <c r="BD126" s="193">
        <v>0</v>
      </c>
      <c r="BE126" s="193">
        <v>0</v>
      </c>
      <c r="BF126" s="193">
        <v>0</v>
      </c>
      <c r="BG126" s="193">
        <v>0</v>
      </c>
      <c r="BH126" s="193">
        <v>0</v>
      </c>
    </row>
    <row r="127" spans="1:60" s="188" customFormat="1">
      <c r="A127" s="189">
        <v>-35</v>
      </c>
      <c r="B127" s="204" t="s">
        <v>873</v>
      </c>
      <c r="C127" s="191">
        <v>2250000</v>
      </c>
      <c r="D127" s="192">
        <v>0</v>
      </c>
      <c r="E127" s="192">
        <v>0</v>
      </c>
      <c r="F127" s="192">
        <v>0</v>
      </c>
      <c r="G127" s="192">
        <v>0</v>
      </c>
      <c r="H127" s="192">
        <v>0</v>
      </c>
      <c r="I127" s="192">
        <v>0</v>
      </c>
      <c r="J127" s="192">
        <v>0</v>
      </c>
      <c r="K127" s="192">
        <v>0</v>
      </c>
      <c r="L127" s="192">
        <v>0</v>
      </c>
      <c r="M127" s="192">
        <v>1</v>
      </c>
      <c r="N127" s="192">
        <v>0</v>
      </c>
      <c r="O127" s="192">
        <v>0</v>
      </c>
      <c r="P127" s="192">
        <v>0</v>
      </c>
      <c r="Q127" s="192">
        <v>0</v>
      </c>
      <c r="R127" s="192">
        <v>0</v>
      </c>
      <c r="S127" s="192">
        <v>0</v>
      </c>
      <c r="T127" s="192">
        <v>0</v>
      </c>
      <c r="U127" s="192">
        <v>0</v>
      </c>
      <c r="V127" s="192">
        <v>0</v>
      </c>
      <c r="W127" s="192">
        <v>0</v>
      </c>
      <c r="X127" s="192">
        <v>0</v>
      </c>
      <c r="Y127" s="192">
        <v>0</v>
      </c>
      <c r="Z127" s="192">
        <v>0</v>
      </c>
      <c r="AA127" s="192">
        <v>0</v>
      </c>
      <c r="AB127" s="192">
        <v>0</v>
      </c>
      <c r="AC127" s="192">
        <v>0</v>
      </c>
      <c r="AD127" s="192">
        <v>0</v>
      </c>
      <c r="AE127" s="192">
        <v>1</v>
      </c>
      <c r="AF127" s="193">
        <v>0</v>
      </c>
      <c r="AG127" s="193">
        <v>0</v>
      </c>
      <c r="AH127" s="193">
        <v>0</v>
      </c>
      <c r="AI127" s="193">
        <v>0</v>
      </c>
      <c r="AJ127" s="193">
        <v>0</v>
      </c>
      <c r="AK127" s="193">
        <v>0</v>
      </c>
      <c r="AL127" s="193">
        <v>0</v>
      </c>
      <c r="AM127" s="193">
        <v>0</v>
      </c>
      <c r="AN127" s="193">
        <v>0</v>
      </c>
      <c r="AO127" s="193">
        <v>2250000</v>
      </c>
      <c r="AP127" s="193">
        <v>0</v>
      </c>
      <c r="AQ127" s="193">
        <v>0</v>
      </c>
      <c r="AR127" s="193">
        <v>0</v>
      </c>
      <c r="AS127" s="193">
        <v>0</v>
      </c>
      <c r="AT127" s="193">
        <v>0</v>
      </c>
      <c r="AU127" s="193">
        <v>0</v>
      </c>
      <c r="AV127" s="193">
        <v>0</v>
      </c>
      <c r="AW127" s="193">
        <v>0</v>
      </c>
      <c r="AX127" s="193">
        <v>0</v>
      </c>
      <c r="AY127" s="193">
        <v>0</v>
      </c>
      <c r="AZ127" s="193">
        <v>0</v>
      </c>
      <c r="BA127" s="193">
        <v>0</v>
      </c>
      <c r="BB127" s="193">
        <v>0</v>
      </c>
      <c r="BC127" s="193">
        <v>0</v>
      </c>
      <c r="BD127" s="193">
        <v>0</v>
      </c>
      <c r="BE127" s="193">
        <v>0</v>
      </c>
      <c r="BF127" s="193">
        <v>0</v>
      </c>
      <c r="BG127" s="193">
        <v>2250000</v>
      </c>
      <c r="BH127" s="193">
        <v>2250000</v>
      </c>
    </row>
    <row r="128" spans="1:60" s="188" customFormat="1">
      <c r="A128" s="189">
        <v>-36</v>
      </c>
      <c r="B128" s="204" t="s">
        <v>909</v>
      </c>
      <c r="C128" s="191">
        <v>2700000</v>
      </c>
      <c r="D128" s="192">
        <v>0</v>
      </c>
      <c r="E128" s="192">
        <v>0</v>
      </c>
      <c r="F128" s="192">
        <v>0</v>
      </c>
      <c r="G128" s="192">
        <v>0</v>
      </c>
      <c r="H128" s="192">
        <v>0</v>
      </c>
      <c r="I128" s="192">
        <v>0</v>
      </c>
      <c r="J128" s="192">
        <v>1</v>
      </c>
      <c r="K128" s="192">
        <v>0</v>
      </c>
      <c r="L128" s="192">
        <v>0</v>
      </c>
      <c r="M128" s="192">
        <v>0</v>
      </c>
      <c r="N128" s="192">
        <v>0</v>
      </c>
      <c r="O128" s="192">
        <v>0</v>
      </c>
      <c r="P128" s="192">
        <v>0</v>
      </c>
      <c r="Q128" s="192">
        <v>0</v>
      </c>
      <c r="R128" s="192">
        <v>0</v>
      </c>
      <c r="S128" s="192">
        <v>0</v>
      </c>
      <c r="T128" s="192">
        <v>0</v>
      </c>
      <c r="U128" s="192">
        <v>0</v>
      </c>
      <c r="V128" s="192">
        <v>0</v>
      </c>
      <c r="W128" s="192">
        <v>0</v>
      </c>
      <c r="X128" s="192">
        <v>0</v>
      </c>
      <c r="Y128" s="192">
        <v>0</v>
      </c>
      <c r="Z128" s="192">
        <v>0</v>
      </c>
      <c r="AA128" s="192">
        <v>0</v>
      </c>
      <c r="AB128" s="192">
        <v>0</v>
      </c>
      <c r="AC128" s="192">
        <v>0</v>
      </c>
      <c r="AD128" s="192">
        <v>1</v>
      </c>
      <c r="AE128" s="192">
        <v>0</v>
      </c>
      <c r="AF128" s="193">
        <v>0</v>
      </c>
      <c r="AG128" s="193">
        <v>0</v>
      </c>
      <c r="AH128" s="193">
        <v>0</v>
      </c>
      <c r="AI128" s="193">
        <v>0</v>
      </c>
      <c r="AJ128" s="193">
        <v>0</v>
      </c>
      <c r="AK128" s="193">
        <v>0</v>
      </c>
      <c r="AL128" s="193">
        <v>2700000</v>
      </c>
      <c r="AM128" s="193">
        <v>0</v>
      </c>
      <c r="AN128" s="193">
        <v>0</v>
      </c>
      <c r="AO128" s="193">
        <v>0</v>
      </c>
      <c r="AP128" s="193">
        <v>0</v>
      </c>
      <c r="AQ128" s="193">
        <v>0</v>
      </c>
      <c r="AR128" s="193">
        <v>0</v>
      </c>
      <c r="AS128" s="193">
        <v>0</v>
      </c>
      <c r="AT128" s="193">
        <v>0</v>
      </c>
      <c r="AU128" s="193">
        <v>0</v>
      </c>
      <c r="AV128" s="193">
        <v>0</v>
      </c>
      <c r="AW128" s="193">
        <v>0</v>
      </c>
      <c r="AX128" s="193">
        <v>0</v>
      </c>
      <c r="AY128" s="193">
        <v>0</v>
      </c>
      <c r="AZ128" s="193">
        <v>0</v>
      </c>
      <c r="BA128" s="193">
        <v>0</v>
      </c>
      <c r="BB128" s="193">
        <v>0</v>
      </c>
      <c r="BC128" s="193">
        <v>0</v>
      </c>
      <c r="BD128" s="193">
        <v>0</v>
      </c>
      <c r="BE128" s="193">
        <v>0</v>
      </c>
      <c r="BF128" s="193">
        <v>2700000</v>
      </c>
      <c r="BG128" s="193">
        <v>0</v>
      </c>
      <c r="BH128" s="193">
        <v>2700000</v>
      </c>
    </row>
    <row r="129" spans="1:60" s="188" customFormat="1">
      <c r="A129" s="189">
        <v>-37</v>
      </c>
      <c r="B129" s="204" t="s">
        <v>876</v>
      </c>
      <c r="C129" s="191">
        <v>4400000</v>
      </c>
      <c r="D129" s="192">
        <v>0</v>
      </c>
      <c r="E129" s="192">
        <v>0</v>
      </c>
      <c r="F129" s="192">
        <v>0</v>
      </c>
      <c r="G129" s="192">
        <v>0</v>
      </c>
      <c r="H129" s="192">
        <v>0</v>
      </c>
      <c r="I129" s="192">
        <v>0</v>
      </c>
      <c r="J129" s="192">
        <v>0</v>
      </c>
      <c r="K129" s="192">
        <v>0</v>
      </c>
      <c r="L129" s="192">
        <v>0</v>
      </c>
      <c r="M129" s="192">
        <v>0</v>
      </c>
      <c r="N129" s="192">
        <v>0</v>
      </c>
      <c r="O129" s="192">
        <v>0</v>
      </c>
      <c r="P129" s="192">
        <v>0</v>
      </c>
      <c r="Q129" s="192">
        <v>0</v>
      </c>
      <c r="R129" s="192">
        <v>0</v>
      </c>
      <c r="S129" s="192">
        <v>0</v>
      </c>
      <c r="T129" s="192">
        <v>0</v>
      </c>
      <c r="U129" s="192">
        <v>0</v>
      </c>
      <c r="V129" s="192">
        <v>0</v>
      </c>
      <c r="W129" s="192">
        <v>0</v>
      </c>
      <c r="X129" s="192">
        <v>0</v>
      </c>
      <c r="Y129" s="192">
        <v>0</v>
      </c>
      <c r="Z129" s="192">
        <v>0</v>
      </c>
      <c r="AA129" s="192">
        <v>0</v>
      </c>
      <c r="AB129" s="192">
        <v>0</v>
      </c>
      <c r="AC129" s="192">
        <v>0</v>
      </c>
      <c r="AD129" s="192">
        <v>0</v>
      </c>
      <c r="AE129" s="192">
        <v>0</v>
      </c>
      <c r="AF129" s="193">
        <v>0</v>
      </c>
      <c r="AG129" s="193">
        <v>0</v>
      </c>
      <c r="AH129" s="193">
        <v>0</v>
      </c>
      <c r="AI129" s="193">
        <v>0</v>
      </c>
      <c r="AJ129" s="193">
        <v>0</v>
      </c>
      <c r="AK129" s="193">
        <v>0</v>
      </c>
      <c r="AL129" s="193">
        <v>0</v>
      </c>
      <c r="AM129" s="193">
        <v>0</v>
      </c>
      <c r="AN129" s="193">
        <v>0</v>
      </c>
      <c r="AO129" s="193">
        <v>0</v>
      </c>
      <c r="AP129" s="193">
        <v>0</v>
      </c>
      <c r="AQ129" s="193">
        <v>0</v>
      </c>
      <c r="AR129" s="193">
        <v>0</v>
      </c>
      <c r="AS129" s="193">
        <v>0</v>
      </c>
      <c r="AT129" s="193">
        <v>0</v>
      </c>
      <c r="AU129" s="193">
        <v>0</v>
      </c>
      <c r="AV129" s="193">
        <v>0</v>
      </c>
      <c r="AW129" s="193">
        <v>0</v>
      </c>
      <c r="AX129" s="193">
        <v>0</v>
      </c>
      <c r="AY129" s="193">
        <v>0</v>
      </c>
      <c r="AZ129" s="193">
        <v>0</v>
      </c>
      <c r="BA129" s="193">
        <v>0</v>
      </c>
      <c r="BB129" s="193">
        <v>0</v>
      </c>
      <c r="BC129" s="193">
        <v>0</v>
      </c>
      <c r="BD129" s="193">
        <v>0</v>
      </c>
      <c r="BE129" s="193">
        <v>0</v>
      </c>
      <c r="BF129" s="193">
        <v>0</v>
      </c>
      <c r="BG129" s="193">
        <v>0</v>
      </c>
      <c r="BH129" s="193">
        <v>0</v>
      </c>
    </row>
    <row r="130" spans="1:60" s="188" customFormat="1">
      <c r="A130" s="189">
        <v>-38</v>
      </c>
      <c r="B130" s="204" t="s">
        <v>940</v>
      </c>
      <c r="C130" s="191">
        <v>18000000</v>
      </c>
      <c r="D130" s="192">
        <v>0</v>
      </c>
      <c r="E130" s="192">
        <v>0</v>
      </c>
      <c r="F130" s="192">
        <v>0</v>
      </c>
      <c r="G130" s="192">
        <v>0</v>
      </c>
      <c r="H130" s="192">
        <v>0</v>
      </c>
      <c r="I130" s="192">
        <v>0</v>
      </c>
      <c r="J130" s="192">
        <v>0</v>
      </c>
      <c r="K130" s="192">
        <v>0</v>
      </c>
      <c r="L130" s="192">
        <v>0</v>
      </c>
      <c r="M130" s="192">
        <v>0</v>
      </c>
      <c r="N130" s="192">
        <v>0</v>
      </c>
      <c r="O130" s="192">
        <v>0</v>
      </c>
      <c r="P130" s="192">
        <v>0</v>
      </c>
      <c r="Q130" s="192">
        <v>0</v>
      </c>
      <c r="R130" s="192">
        <v>0</v>
      </c>
      <c r="S130" s="192">
        <v>0</v>
      </c>
      <c r="T130" s="192">
        <v>0</v>
      </c>
      <c r="U130" s="192">
        <v>0</v>
      </c>
      <c r="V130" s="192">
        <v>0</v>
      </c>
      <c r="W130" s="192">
        <v>0</v>
      </c>
      <c r="X130" s="192">
        <v>0</v>
      </c>
      <c r="Y130" s="192">
        <v>0</v>
      </c>
      <c r="Z130" s="192">
        <v>0</v>
      </c>
      <c r="AA130" s="192">
        <v>0</v>
      </c>
      <c r="AB130" s="192">
        <v>0</v>
      </c>
      <c r="AC130" s="192">
        <v>0</v>
      </c>
      <c r="AD130" s="192">
        <v>0</v>
      </c>
      <c r="AE130" s="192">
        <v>0</v>
      </c>
      <c r="AF130" s="193">
        <v>0</v>
      </c>
      <c r="AG130" s="193">
        <v>0</v>
      </c>
      <c r="AH130" s="193">
        <v>0</v>
      </c>
      <c r="AI130" s="193">
        <v>0</v>
      </c>
      <c r="AJ130" s="193">
        <v>0</v>
      </c>
      <c r="AK130" s="193">
        <v>0</v>
      </c>
      <c r="AL130" s="193">
        <v>0</v>
      </c>
      <c r="AM130" s="193">
        <v>0</v>
      </c>
      <c r="AN130" s="193">
        <v>0</v>
      </c>
      <c r="AO130" s="193">
        <v>0</v>
      </c>
      <c r="AP130" s="193">
        <v>0</v>
      </c>
      <c r="AQ130" s="193">
        <v>0</v>
      </c>
      <c r="AR130" s="193">
        <v>0</v>
      </c>
      <c r="AS130" s="193">
        <v>0</v>
      </c>
      <c r="AT130" s="193">
        <v>0</v>
      </c>
      <c r="AU130" s="193">
        <v>0</v>
      </c>
      <c r="AV130" s="193">
        <v>0</v>
      </c>
      <c r="AW130" s="193">
        <v>0</v>
      </c>
      <c r="AX130" s="193">
        <v>0</v>
      </c>
      <c r="AY130" s="193">
        <v>0</v>
      </c>
      <c r="AZ130" s="193">
        <v>0</v>
      </c>
      <c r="BA130" s="193">
        <v>0</v>
      </c>
      <c r="BB130" s="193">
        <v>0</v>
      </c>
      <c r="BC130" s="193">
        <v>0</v>
      </c>
      <c r="BD130" s="193">
        <v>0</v>
      </c>
      <c r="BE130" s="193">
        <v>0</v>
      </c>
      <c r="BF130" s="193">
        <v>0</v>
      </c>
      <c r="BG130" s="193">
        <v>0</v>
      </c>
      <c r="BH130" s="193">
        <v>0</v>
      </c>
    </row>
    <row r="131" spans="1:60" collapsed="1">
      <c r="A131" s="196"/>
      <c r="B131" s="204" t="s">
        <v>941</v>
      </c>
      <c r="C131" s="196"/>
      <c r="D131" s="192">
        <v>36</v>
      </c>
      <c r="E131" s="192">
        <v>15</v>
      </c>
      <c r="F131" s="192">
        <v>18</v>
      </c>
      <c r="G131" s="192">
        <v>3</v>
      </c>
      <c r="H131" s="192">
        <v>0</v>
      </c>
      <c r="I131" s="192">
        <v>0</v>
      </c>
      <c r="J131" s="192">
        <v>8</v>
      </c>
      <c r="K131" s="192">
        <v>1</v>
      </c>
      <c r="L131" s="192">
        <v>0</v>
      </c>
      <c r="M131" s="192">
        <v>1</v>
      </c>
      <c r="N131" s="192">
        <v>0</v>
      </c>
      <c r="O131" s="192">
        <v>0</v>
      </c>
      <c r="P131" s="192">
        <v>0</v>
      </c>
      <c r="Q131" s="192">
        <v>0</v>
      </c>
      <c r="R131" s="192">
        <v>0</v>
      </c>
      <c r="S131" s="192">
        <v>0</v>
      </c>
      <c r="T131" s="192">
        <v>0</v>
      </c>
      <c r="U131" s="192">
        <v>0</v>
      </c>
      <c r="V131" s="192">
        <v>0</v>
      </c>
      <c r="W131" s="192">
        <v>0</v>
      </c>
      <c r="X131" s="192">
        <v>0</v>
      </c>
      <c r="Y131" s="192">
        <v>0</v>
      </c>
      <c r="Z131" s="192">
        <v>0</v>
      </c>
      <c r="AA131" s="192">
        <v>0</v>
      </c>
      <c r="AB131" s="192">
        <v>0</v>
      </c>
      <c r="AC131" s="192">
        <v>0</v>
      </c>
      <c r="AD131" s="192">
        <v>62</v>
      </c>
      <c r="AE131" s="192">
        <v>20</v>
      </c>
      <c r="AF131" s="193">
        <v>15200000</v>
      </c>
      <c r="AG131" s="193">
        <v>28200000</v>
      </c>
      <c r="AH131" s="193">
        <v>6660000</v>
      </c>
      <c r="AI131" s="193">
        <v>5300000</v>
      </c>
      <c r="AJ131" s="193">
        <v>0</v>
      </c>
      <c r="AK131" s="193">
        <v>0</v>
      </c>
      <c r="AL131" s="193">
        <v>4565000</v>
      </c>
      <c r="AM131" s="193">
        <v>2000000</v>
      </c>
      <c r="AN131" s="193">
        <v>0</v>
      </c>
      <c r="AO131" s="193">
        <v>2250000</v>
      </c>
      <c r="AP131" s="193">
        <v>0</v>
      </c>
      <c r="AQ131" s="193">
        <v>0</v>
      </c>
      <c r="AR131" s="193">
        <v>0</v>
      </c>
      <c r="AS131" s="193">
        <v>0</v>
      </c>
      <c r="AT131" s="193">
        <v>0</v>
      </c>
      <c r="AU131" s="193">
        <v>0</v>
      </c>
      <c r="AV131" s="193">
        <v>0</v>
      </c>
      <c r="AW131" s="193">
        <v>0</v>
      </c>
      <c r="AX131" s="193">
        <v>0</v>
      </c>
      <c r="AY131" s="193">
        <v>0</v>
      </c>
      <c r="AZ131" s="193">
        <v>0</v>
      </c>
      <c r="BA131" s="193">
        <v>0</v>
      </c>
      <c r="BB131" s="193">
        <v>0</v>
      </c>
      <c r="BC131" s="193">
        <v>0</v>
      </c>
      <c r="BD131" s="193">
        <v>0</v>
      </c>
      <c r="BE131" s="193">
        <v>0</v>
      </c>
      <c r="BF131" s="193">
        <v>26425000</v>
      </c>
      <c r="BG131" s="193">
        <v>37750000</v>
      </c>
      <c r="BH131" s="193">
        <v>64175000</v>
      </c>
    </row>
    <row r="132" spans="1:60" s="188" customFormat="1">
      <c r="A132" s="184">
        <v>5</v>
      </c>
      <c r="B132" s="185" t="s">
        <v>942</v>
      </c>
      <c r="C132" s="197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6"/>
      <c r="AG132" s="206"/>
      <c r="AH132" s="206"/>
      <c r="AI132" s="206"/>
      <c r="AJ132" s="206"/>
      <c r="AK132" s="206"/>
      <c r="AL132" s="206"/>
      <c r="AM132" s="206"/>
      <c r="AN132" s="206"/>
      <c r="AO132" s="206"/>
      <c r="AP132" s="206"/>
      <c r="AQ132" s="206"/>
      <c r="AR132" s="206"/>
      <c r="AS132" s="206"/>
      <c r="AT132" s="206"/>
      <c r="AU132" s="206"/>
      <c r="AV132" s="206"/>
      <c r="AW132" s="206"/>
      <c r="AX132" s="206"/>
      <c r="AY132" s="206"/>
      <c r="AZ132" s="206"/>
      <c r="BA132" s="206"/>
      <c r="BB132" s="206"/>
      <c r="BC132" s="206"/>
      <c r="BD132" s="206"/>
      <c r="BE132" s="206"/>
      <c r="BF132" s="206"/>
      <c r="BG132" s="206"/>
      <c r="BH132" s="206"/>
    </row>
    <row r="133" spans="1:60" s="188" customFormat="1">
      <c r="A133" s="189">
        <v>-1</v>
      </c>
      <c r="B133" s="194" t="s">
        <v>943</v>
      </c>
      <c r="C133" s="191">
        <v>100000</v>
      </c>
      <c r="D133" s="192">
        <v>0</v>
      </c>
      <c r="E133" s="192">
        <v>0</v>
      </c>
      <c r="F133" s="192">
        <v>0</v>
      </c>
      <c r="G133" s="192">
        <v>0</v>
      </c>
      <c r="H133" s="192">
        <v>0</v>
      </c>
      <c r="I133" s="192">
        <v>0</v>
      </c>
      <c r="J133" s="192">
        <v>0</v>
      </c>
      <c r="K133" s="192">
        <v>0</v>
      </c>
      <c r="L133" s="192">
        <v>0</v>
      </c>
      <c r="M133" s="192">
        <v>0</v>
      </c>
      <c r="N133" s="192">
        <v>0</v>
      </c>
      <c r="O133" s="192">
        <v>0</v>
      </c>
      <c r="P133" s="192">
        <v>0</v>
      </c>
      <c r="Q133" s="192">
        <v>0</v>
      </c>
      <c r="R133" s="192">
        <v>0</v>
      </c>
      <c r="S133" s="192">
        <v>0</v>
      </c>
      <c r="T133" s="192">
        <v>0</v>
      </c>
      <c r="U133" s="192">
        <v>0</v>
      </c>
      <c r="V133" s="192">
        <v>0</v>
      </c>
      <c r="W133" s="192">
        <v>0</v>
      </c>
      <c r="X133" s="192">
        <v>0</v>
      </c>
      <c r="Y133" s="192">
        <v>0</v>
      </c>
      <c r="Z133" s="192">
        <v>0</v>
      </c>
      <c r="AA133" s="192">
        <v>0</v>
      </c>
      <c r="AB133" s="192">
        <v>2</v>
      </c>
      <c r="AC133" s="192">
        <v>0</v>
      </c>
      <c r="AD133" s="192">
        <v>2</v>
      </c>
      <c r="AE133" s="192">
        <v>0</v>
      </c>
      <c r="AF133" s="193">
        <v>0</v>
      </c>
      <c r="AG133" s="193">
        <v>0</v>
      </c>
      <c r="AH133" s="193">
        <v>0</v>
      </c>
      <c r="AI133" s="193">
        <v>0</v>
      </c>
      <c r="AJ133" s="193">
        <v>0</v>
      </c>
      <c r="AK133" s="193">
        <v>0</v>
      </c>
      <c r="AL133" s="193">
        <v>0</v>
      </c>
      <c r="AM133" s="193">
        <v>0</v>
      </c>
      <c r="AN133" s="193">
        <v>0</v>
      </c>
      <c r="AO133" s="193">
        <v>0</v>
      </c>
      <c r="AP133" s="193">
        <v>0</v>
      </c>
      <c r="AQ133" s="193">
        <v>0</v>
      </c>
      <c r="AR133" s="193">
        <v>0</v>
      </c>
      <c r="AS133" s="193">
        <v>0</v>
      </c>
      <c r="AT133" s="193">
        <v>0</v>
      </c>
      <c r="AU133" s="193">
        <v>0</v>
      </c>
      <c r="AV133" s="193">
        <v>0</v>
      </c>
      <c r="AW133" s="193">
        <v>0</v>
      </c>
      <c r="AX133" s="193">
        <v>0</v>
      </c>
      <c r="AY133" s="193">
        <v>0</v>
      </c>
      <c r="AZ133" s="193">
        <v>0</v>
      </c>
      <c r="BA133" s="193">
        <v>0</v>
      </c>
      <c r="BB133" s="193">
        <v>0</v>
      </c>
      <c r="BC133" s="193">
        <v>0</v>
      </c>
      <c r="BD133" s="193">
        <v>200000</v>
      </c>
      <c r="BE133" s="193">
        <v>0</v>
      </c>
      <c r="BF133" s="193">
        <v>200000</v>
      </c>
      <c r="BG133" s="193">
        <v>0</v>
      </c>
      <c r="BH133" s="193">
        <v>200000</v>
      </c>
    </row>
    <row r="134" spans="1:60" s="188" customFormat="1">
      <c r="A134" s="189">
        <v>-2</v>
      </c>
      <c r="B134" s="194" t="s">
        <v>944</v>
      </c>
      <c r="C134" s="191">
        <v>200000</v>
      </c>
      <c r="D134" s="192">
        <v>0</v>
      </c>
      <c r="E134" s="192">
        <v>0</v>
      </c>
      <c r="F134" s="192">
        <v>0</v>
      </c>
      <c r="G134" s="192">
        <v>0</v>
      </c>
      <c r="H134" s="192">
        <v>0</v>
      </c>
      <c r="I134" s="192">
        <v>0</v>
      </c>
      <c r="J134" s="192">
        <v>0</v>
      </c>
      <c r="K134" s="192">
        <v>0</v>
      </c>
      <c r="L134" s="192">
        <v>0</v>
      </c>
      <c r="M134" s="192">
        <v>0</v>
      </c>
      <c r="N134" s="192">
        <v>0</v>
      </c>
      <c r="O134" s="192">
        <v>0</v>
      </c>
      <c r="P134" s="192">
        <v>0</v>
      </c>
      <c r="Q134" s="192">
        <v>0</v>
      </c>
      <c r="R134" s="192">
        <v>0</v>
      </c>
      <c r="S134" s="192">
        <v>0</v>
      </c>
      <c r="T134" s="192">
        <v>0</v>
      </c>
      <c r="U134" s="192">
        <v>0</v>
      </c>
      <c r="V134" s="192">
        <v>0</v>
      </c>
      <c r="W134" s="192">
        <v>0</v>
      </c>
      <c r="X134" s="192">
        <v>0</v>
      </c>
      <c r="Y134" s="192">
        <v>0</v>
      </c>
      <c r="Z134" s="192">
        <v>0</v>
      </c>
      <c r="AA134" s="192">
        <v>0</v>
      </c>
      <c r="AB134" s="192">
        <v>0</v>
      </c>
      <c r="AC134" s="192">
        <v>0</v>
      </c>
      <c r="AD134" s="192">
        <v>0</v>
      </c>
      <c r="AE134" s="192">
        <v>0</v>
      </c>
      <c r="AF134" s="193">
        <v>0</v>
      </c>
      <c r="AG134" s="193">
        <v>0</v>
      </c>
      <c r="AH134" s="193">
        <v>0</v>
      </c>
      <c r="AI134" s="193">
        <v>0</v>
      </c>
      <c r="AJ134" s="193">
        <v>0</v>
      </c>
      <c r="AK134" s="193">
        <v>0</v>
      </c>
      <c r="AL134" s="193">
        <v>0</v>
      </c>
      <c r="AM134" s="193">
        <v>0</v>
      </c>
      <c r="AN134" s="193">
        <v>0</v>
      </c>
      <c r="AO134" s="193">
        <v>0</v>
      </c>
      <c r="AP134" s="193">
        <v>0</v>
      </c>
      <c r="AQ134" s="193">
        <v>0</v>
      </c>
      <c r="AR134" s="193">
        <v>0</v>
      </c>
      <c r="AS134" s="193">
        <v>0</v>
      </c>
      <c r="AT134" s="193">
        <v>0</v>
      </c>
      <c r="AU134" s="193">
        <v>0</v>
      </c>
      <c r="AV134" s="193">
        <v>0</v>
      </c>
      <c r="AW134" s="193">
        <v>0</v>
      </c>
      <c r="AX134" s="193">
        <v>0</v>
      </c>
      <c r="AY134" s="193">
        <v>0</v>
      </c>
      <c r="AZ134" s="193">
        <v>0</v>
      </c>
      <c r="BA134" s="193">
        <v>0</v>
      </c>
      <c r="BB134" s="193">
        <v>0</v>
      </c>
      <c r="BC134" s="193">
        <v>0</v>
      </c>
      <c r="BD134" s="193">
        <v>0</v>
      </c>
      <c r="BE134" s="193">
        <v>0</v>
      </c>
      <c r="BF134" s="193">
        <v>0</v>
      </c>
      <c r="BG134" s="193">
        <v>0</v>
      </c>
      <c r="BH134" s="193">
        <v>0</v>
      </c>
    </row>
    <row r="135" spans="1:60" s="188" customFormat="1">
      <c r="A135" s="189">
        <v>-3</v>
      </c>
      <c r="B135" s="194" t="s">
        <v>945</v>
      </c>
      <c r="C135" s="191">
        <v>200000</v>
      </c>
      <c r="D135" s="192">
        <v>0</v>
      </c>
      <c r="E135" s="192">
        <v>0</v>
      </c>
      <c r="F135" s="192">
        <v>0</v>
      </c>
      <c r="G135" s="192">
        <v>0</v>
      </c>
      <c r="H135" s="192">
        <v>0</v>
      </c>
      <c r="I135" s="192">
        <v>0</v>
      </c>
      <c r="J135" s="192">
        <v>0</v>
      </c>
      <c r="K135" s="192">
        <v>0</v>
      </c>
      <c r="L135" s="192">
        <v>0</v>
      </c>
      <c r="M135" s="192">
        <v>0</v>
      </c>
      <c r="N135" s="192">
        <v>0</v>
      </c>
      <c r="O135" s="192">
        <v>0</v>
      </c>
      <c r="P135" s="192">
        <v>0</v>
      </c>
      <c r="Q135" s="192">
        <v>0</v>
      </c>
      <c r="R135" s="192">
        <v>0</v>
      </c>
      <c r="S135" s="192">
        <v>0</v>
      </c>
      <c r="T135" s="192">
        <v>0</v>
      </c>
      <c r="U135" s="192">
        <v>0</v>
      </c>
      <c r="V135" s="192">
        <v>0</v>
      </c>
      <c r="W135" s="192">
        <v>0</v>
      </c>
      <c r="X135" s="192">
        <v>0</v>
      </c>
      <c r="Y135" s="192">
        <v>0</v>
      </c>
      <c r="Z135" s="192">
        <v>0</v>
      </c>
      <c r="AA135" s="192">
        <v>0</v>
      </c>
      <c r="AB135" s="192">
        <v>0</v>
      </c>
      <c r="AC135" s="192">
        <v>0</v>
      </c>
      <c r="AD135" s="192">
        <v>0</v>
      </c>
      <c r="AE135" s="192">
        <v>0</v>
      </c>
      <c r="AF135" s="193">
        <v>0</v>
      </c>
      <c r="AG135" s="193">
        <v>0</v>
      </c>
      <c r="AH135" s="193">
        <v>0</v>
      </c>
      <c r="AI135" s="193">
        <v>0</v>
      </c>
      <c r="AJ135" s="193">
        <v>0</v>
      </c>
      <c r="AK135" s="193">
        <v>0</v>
      </c>
      <c r="AL135" s="193">
        <v>0</v>
      </c>
      <c r="AM135" s="193">
        <v>0</v>
      </c>
      <c r="AN135" s="193">
        <v>0</v>
      </c>
      <c r="AO135" s="193">
        <v>0</v>
      </c>
      <c r="AP135" s="193">
        <v>0</v>
      </c>
      <c r="AQ135" s="193">
        <v>0</v>
      </c>
      <c r="AR135" s="193">
        <v>0</v>
      </c>
      <c r="AS135" s="193">
        <v>0</v>
      </c>
      <c r="AT135" s="193">
        <v>0</v>
      </c>
      <c r="AU135" s="193">
        <v>0</v>
      </c>
      <c r="AV135" s="193">
        <v>0</v>
      </c>
      <c r="AW135" s="193">
        <v>0</v>
      </c>
      <c r="AX135" s="193">
        <v>0</v>
      </c>
      <c r="AY135" s="193">
        <v>0</v>
      </c>
      <c r="AZ135" s="193">
        <v>0</v>
      </c>
      <c r="BA135" s="193">
        <v>0</v>
      </c>
      <c r="BB135" s="193">
        <v>0</v>
      </c>
      <c r="BC135" s="193">
        <v>0</v>
      </c>
      <c r="BD135" s="193">
        <v>0</v>
      </c>
      <c r="BE135" s="193">
        <v>0</v>
      </c>
      <c r="BF135" s="193">
        <v>0</v>
      </c>
      <c r="BG135" s="193">
        <v>0</v>
      </c>
      <c r="BH135" s="193">
        <v>0</v>
      </c>
    </row>
    <row r="136" spans="1:60" s="188" customFormat="1">
      <c r="A136" s="189">
        <v>-4</v>
      </c>
      <c r="B136" s="194" t="s">
        <v>946</v>
      </c>
      <c r="C136" s="191">
        <v>300000</v>
      </c>
      <c r="D136" s="192">
        <v>0</v>
      </c>
      <c r="E136" s="192">
        <v>0</v>
      </c>
      <c r="F136" s="192">
        <v>0</v>
      </c>
      <c r="G136" s="192">
        <v>0</v>
      </c>
      <c r="H136" s="192">
        <v>0</v>
      </c>
      <c r="I136" s="192">
        <v>0</v>
      </c>
      <c r="J136" s="192">
        <v>0</v>
      </c>
      <c r="K136" s="192">
        <v>0</v>
      </c>
      <c r="L136" s="192">
        <v>0</v>
      </c>
      <c r="M136" s="192">
        <v>0</v>
      </c>
      <c r="N136" s="192">
        <v>0</v>
      </c>
      <c r="O136" s="192">
        <v>0</v>
      </c>
      <c r="P136" s="192">
        <v>0</v>
      </c>
      <c r="Q136" s="192">
        <v>0</v>
      </c>
      <c r="R136" s="192">
        <v>0</v>
      </c>
      <c r="S136" s="192">
        <v>0</v>
      </c>
      <c r="T136" s="192">
        <v>0</v>
      </c>
      <c r="U136" s="192">
        <v>0</v>
      </c>
      <c r="V136" s="192">
        <v>0</v>
      </c>
      <c r="W136" s="192">
        <v>0</v>
      </c>
      <c r="X136" s="192">
        <v>0</v>
      </c>
      <c r="Y136" s="192">
        <v>0</v>
      </c>
      <c r="Z136" s="192">
        <v>0</v>
      </c>
      <c r="AA136" s="192">
        <v>0</v>
      </c>
      <c r="AB136" s="192">
        <v>1</v>
      </c>
      <c r="AC136" s="192">
        <v>0</v>
      </c>
      <c r="AD136" s="192">
        <v>1</v>
      </c>
      <c r="AE136" s="192">
        <v>0</v>
      </c>
      <c r="AF136" s="193">
        <v>0</v>
      </c>
      <c r="AG136" s="193">
        <v>0</v>
      </c>
      <c r="AH136" s="193">
        <v>0</v>
      </c>
      <c r="AI136" s="193">
        <v>0</v>
      </c>
      <c r="AJ136" s="193">
        <v>0</v>
      </c>
      <c r="AK136" s="193">
        <v>0</v>
      </c>
      <c r="AL136" s="193">
        <v>0</v>
      </c>
      <c r="AM136" s="193">
        <v>0</v>
      </c>
      <c r="AN136" s="193">
        <v>0</v>
      </c>
      <c r="AO136" s="193">
        <v>0</v>
      </c>
      <c r="AP136" s="193">
        <v>0</v>
      </c>
      <c r="AQ136" s="193">
        <v>0</v>
      </c>
      <c r="AR136" s="193">
        <v>0</v>
      </c>
      <c r="AS136" s="193">
        <v>0</v>
      </c>
      <c r="AT136" s="193">
        <v>0</v>
      </c>
      <c r="AU136" s="193">
        <v>0</v>
      </c>
      <c r="AV136" s="193">
        <v>0</v>
      </c>
      <c r="AW136" s="193">
        <v>0</v>
      </c>
      <c r="AX136" s="193">
        <v>0</v>
      </c>
      <c r="AY136" s="193">
        <v>0</v>
      </c>
      <c r="AZ136" s="193">
        <v>0</v>
      </c>
      <c r="BA136" s="193">
        <v>0</v>
      </c>
      <c r="BB136" s="193">
        <v>0</v>
      </c>
      <c r="BC136" s="193">
        <v>0</v>
      </c>
      <c r="BD136" s="193">
        <v>300000</v>
      </c>
      <c r="BE136" s="193">
        <v>0</v>
      </c>
      <c r="BF136" s="193">
        <v>300000</v>
      </c>
      <c r="BG136" s="193">
        <v>0</v>
      </c>
      <c r="BH136" s="193">
        <v>300000</v>
      </c>
    </row>
    <row r="137" spans="1:60" s="188" customFormat="1">
      <c r="A137" s="189">
        <v>-5</v>
      </c>
      <c r="B137" s="194" t="s">
        <v>947</v>
      </c>
      <c r="C137" s="191">
        <v>300000</v>
      </c>
      <c r="D137" s="192">
        <v>0</v>
      </c>
      <c r="E137" s="192">
        <v>0</v>
      </c>
      <c r="F137" s="192">
        <v>0</v>
      </c>
      <c r="G137" s="192">
        <v>0</v>
      </c>
      <c r="H137" s="192">
        <v>0</v>
      </c>
      <c r="I137" s="192">
        <v>0</v>
      </c>
      <c r="J137" s="192">
        <v>0</v>
      </c>
      <c r="K137" s="192">
        <v>0</v>
      </c>
      <c r="L137" s="192">
        <v>0</v>
      </c>
      <c r="M137" s="192">
        <v>0</v>
      </c>
      <c r="N137" s="192">
        <v>0</v>
      </c>
      <c r="O137" s="192">
        <v>0</v>
      </c>
      <c r="P137" s="192">
        <v>0</v>
      </c>
      <c r="Q137" s="192">
        <v>0</v>
      </c>
      <c r="R137" s="192">
        <v>0</v>
      </c>
      <c r="S137" s="192">
        <v>0</v>
      </c>
      <c r="T137" s="192">
        <v>0</v>
      </c>
      <c r="U137" s="192">
        <v>0</v>
      </c>
      <c r="V137" s="192">
        <v>0</v>
      </c>
      <c r="W137" s="192">
        <v>0</v>
      </c>
      <c r="X137" s="192">
        <v>0</v>
      </c>
      <c r="Y137" s="192">
        <v>0</v>
      </c>
      <c r="Z137" s="192">
        <v>0</v>
      </c>
      <c r="AA137" s="192">
        <v>0</v>
      </c>
      <c r="AB137" s="192">
        <v>0</v>
      </c>
      <c r="AC137" s="192">
        <v>0</v>
      </c>
      <c r="AD137" s="192">
        <v>0</v>
      </c>
      <c r="AE137" s="192">
        <v>0</v>
      </c>
      <c r="AF137" s="193">
        <v>0</v>
      </c>
      <c r="AG137" s="193">
        <v>0</v>
      </c>
      <c r="AH137" s="193">
        <v>0</v>
      </c>
      <c r="AI137" s="193">
        <v>0</v>
      </c>
      <c r="AJ137" s="193">
        <v>0</v>
      </c>
      <c r="AK137" s="193">
        <v>0</v>
      </c>
      <c r="AL137" s="193">
        <v>0</v>
      </c>
      <c r="AM137" s="193">
        <v>0</v>
      </c>
      <c r="AN137" s="193">
        <v>0</v>
      </c>
      <c r="AO137" s="193">
        <v>0</v>
      </c>
      <c r="AP137" s="193">
        <v>0</v>
      </c>
      <c r="AQ137" s="193">
        <v>0</v>
      </c>
      <c r="AR137" s="193">
        <v>0</v>
      </c>
      <c r="AS137" s="193">
        <v>0</v>
      </c>
      <c r="AT137" s="193">
        <v>0</v>
      </c>
      <c r="AU137" s="193">
        <v>0</v>
      </c>
      <c r="AV137" s="193">
        <v>0</v>
      </c>
      <c r="AW137" s="193">
        <v>0</v>
      </c>
      <c r="AX137" s="193">
        <v>0</v>
      </c>
      <c r="AY137" s="193">
        <v>0</v>
      </c>
      <c r="AZ137" s="193">
        <v>0</v>
      </c>
      <c r="BA137" s="193">
        <v>0</v>
      </c>
      <c r="BB137" s="193">
        <v>0</v>
      </c>
      <c r="BC137" s="193">
        <v>0</v>
      </c>
      <c r="BD137" s="193">
        <v>0</v>
      </c>
      <c r="BE137" s="193">
        <v>0</v>
      </c>
      <c r="BF137" s="193">
        <v>0</v>
      </c>
      <c r="BG137" s="193">
        <v>0</v>
      </c>
      <c r="BH137" s="193">
        <v>0</v>
      </c>
    </row>
    <row r="138" spans="1:60" s="188" customFormat="1">
      <c r="A138" s="189">
        <v>-6</v>
      </c>
      <c r="B138" s="194" t="s">
        <v>948</v>
      </c>
      <c r="C138" s="191">
        <v>400000</v>
      </c>
      <c r="D138" s="192">
        <v>0</v>
      </c>
      <c r="E138" s="192">
        <v>0</v>
      </c>
      <c r="F138" s="192">
        <v>0</v>
      </c>
      <c r="G138" s="192">
        <v>0</v>
      </c>
      <c r="H138" s="192">
        <v>0</v>
      </c>
      <c r="I138" s="192">
        <v>0</v>
      </c>
      <c r="J138" s="192">
        <v>0</v>
      </c>
      <c r="K138" s="192">
        <v>0</v>
      </c>
      <c r="L138" s="192">
        <v>0</v>
      </c>
      <c r="M138" s="192">
        <v>0</v>
      </c>
      <c r="N138" s="192">
        <v>0</v>
      </c>
      <c r="O138" s="192">
        <v>0</v>
      </c>
      <c r="P138" s="192">
        <v>0</v>
      </c>
      <c r="Q138" s="192">
        <v>0</v>
      </c>
      <c r="R138" s="192">
        <v>0</v>
      </c>
      <c r="S138" s="192">
        <v>0</v>
      </c>
      <c r="T138" s="192">
        <v>0</v>
      </c>
      <c r="U138" s="192">
        <v>0</v>
      </c>
      <c r="V138" s="192">
        <v>0</v>
      </c>
      <c r="W138" s="192">
        <v>0</v>
      </c>
      <c r="X138" s="192">
        <v>0</v>
      </c>
      <c r="Y138" s="192">
        <v>0</v>
      </c>
      <c r="Z138" s="192">
        <v>0</v>
      </c>
      <c r="AA138" s="192">
        <v>0</v>
      </c>
      <c r="AB138" s="192">
        <v>0</v>
      </c>
      <c r="AC138" s="192">
        <v>0</v>
      </c>
      <c r="AD138" s="192">
        <v>0</v>
      </c>
      <c r="AE138" s="192">
        <v>0</v>
      </c>
      <c r="AF138" s="193">
        <v>0</v>
      </c>
      <c r="AG138" s="193">
        <v>0</v>
      </c>
      <c r="AH138" s="193">
        <v>0</v>
      </c>
      <c r="AI138" s="193">
        <v>0</v>
      </c>
      <c r="AJ138" s="193">
        <v>0</v>
      </c>
      <c r="AK138" s="193">
        <v>0</v>
      </c>
      <c r="AL138" s="193">
        <v>0</v>
      </c>
      <c r="AM138" s="193">
        <v>0</v>
      </c>
      <c r="AN138" s="193">
        <v>0</v>
      </c>
      <c r="AO138" s="193">
        <v>0</v>
      </c>
      <c r="AP138" s="193">
        <v>0</v>
      </c>
      <c r="AQ138" s="193">
        <v>0</v>
      </c>
      <c r="AR138" s="193">
        <v>0</v>
      </c>
      <c r="AS138" s="193">
        <v>0</v>
      </c>
      <c r="AT138" s="193">
        <v>0</v>
      </c>
      <c r="AU138" s="193">
        <v>0</v>
      </c>
      <c r="AV138" s="193">
        <v>0</v>
      </c>
      <c r="AW138" s="193">
        <v>0</v>
      </c>
      <c r="AX138" s="193">
        <v>0</v>
      </c>
      <c r="AY138" s="193">
        <v>0</v>
      </c>
      <c r="AZ138" s="193">
        <v>0</v>
      </c>
      <c r="BA138" s="193">
        <v>0</v>
      </c>
      <c r="BB138" s="193">
        <v>0</v>
      </c>
      <c r="BC138" s="193">
        <v>0</v>
      </c>
      <c r="BD138" s="193">
        <v>0</v>
      </c>
      <c r="BE138" s="193">
        <v>0</v>
      </c>
      <c r="BF138" s="193">
        <v>0</v>
      </c>
      <c r="BG138" s="193">
        <v>0</v>
      </c>
      <c r="BH138" s="193">
        <v>0</v>
      </c>
    </row>
    <row r="139" spans="1:60" s="188" customFormat="1">
      <c r="A139" s="189">
        <v>-7</v>
      </c>
      <c r="B139" s="194" t="s">
        <v>949</v>
      </c>
      <c r="C139" s="191">
        <v>460000</v>
      </c>
      <c r="D139" s="192">
        <v>0</v>
      </c>
      <c r="E139" s="192">
        <v>0</v>
      </c>
      <c r="F139" s="192">
        <v>0</v>
      </c>
      <c r="G139" s="192">
        <v>0</v>
      </c>
      <c r="H139" s="192">
        <v>0</v>
      </c>
      <c r="I139" s="192">
        <v>0</v>
      </c>
      <c r="J139" s="192">
        <v>0</v>
      </c>
      <c r="K139" s="192">
        <v>0</v>
      </c>
      <c r="L139" s="192">
        <v>0</v>
      </c>
      <c r="M139" s="192">
        <v>0</v>
      </c>
      <c r="N139" s="192">
        <v>0</v>
      </c>
      <c r="O139" s="192">
        <v>0</v>
      </c>
      <c r="P139" s="192">
        <v>0</v>
      </c>
      <c r="Q139" s="192">
        <v>0</v>
      </c>
      <c r="R139" s="192">
        <v>0</v>
      </c>
      <c r="S139" s="192">
        <v>0</v>
      </c>
      <c r="T139" s="192">
        <v>0</v>
      </c>
      <c r="U139" s="192">
        <v>0</v>
      </c>
      <c r="V139" s="192">
        <v>0</v>
      </c>
      <c r="W139" s="192">
        <v>0</v>
      </c>
      <c r="X139" s="192">
        <v>0</v>
      </c>
      <c r="Y139" s="192">
        <v>0</v>
      </c>
      <c r="Z139" s="192">
        <v>0</v>
      </c>
      <c r="AA139" s="192">
        <v>0</v>
      </c>
      <c r="AB139" s="192">
        <v>1</v>
      </c>
      <c r="AC139" s="192">
        <v>0</v>
      </c>
      <c r="AD139" s="192">
        <v>1</v>
      </c>
      <c r="AE139" s="192">
        <v>0</v>
      </c>
      <c r="AF139" s="193">
        <v>0</v>
      </c>
      <c r="AG139" s="193">
        <v>0</v>
      </c>
      <c r="AH139" s="193">
        <v>0</v>
      </c>
      <c r="AI139" s="193">
        <v>0</v>
      </c>
      <c r="AJ139" s="193">
        <v>0</v>
      </c>
      <c r="AK139" s="193">
        <v>0</v>
      </c>
      <c r="AL139" s="193">
        <v>0</v>
      </c>
      <c r="AM139" s="193">
        <v>0</v>
      </c>
      <c r="AN139" s="193">
        <v>0</v>
      </c>
      <c r="AO139" s="193">
        <v>0</v>
      </c>
      <c r="AP139" s="193">
        <v>0</v>
      </c>
      <c r="AQ139" s="193">
        <v>0</v>
      </c>
      <c r="AR139" s="193">
        <v>0</v>
      </c>
      <c r="AS139" s="193">
        <v>0</v>
      </c>
      <c r="AT139" s="193">
        <v>0</v>
      </c>
      <c r="AU139" s="193">
        <v>0</v>
      </c>
      <c r="AV139" s="193">
        <v>0</v>
      </c>
      <c r="AW139" s="193">
        <v>0</v>
      </c>
      <c r="AX139" s="193">
        <v>0</v>
      </c>
      <c r="AY139" s="193">
        <v>0</v>
      </c>
      <c r="AZ139" s="193">
        <v>0</v>
      </c>
      <c r="BA139" s="193">
        <v>0</v>
      </c>
      <c r="BB139" s="193">
        <v>0</v>
      </c>
      <c r="BC139" s="193">
        <v>0</v>
      </c>
      <c r="BD139" s="193">
        <v>460000</v>
      </c>
      <c r="BE139" s="193">
        <v>0</v>
      </c>
      <c r="BF139" s="193">
        <v>460000</v>
      </c>
      <c r="BG139" s="193">
        <v>0</v>
      </c>
      <c r="BH139" s="193">
        <v>460000</v>
      </c>
    </row>
    <row r="140" spans="1:60" s="188" customFormat="1">
      <c r="A140" s="189">
        <v>-8</v>
      </c>
      <c r="B140" s="194" t="s">
        <v>950</v>
      </c>
      <c r="C140" s="191">
        <v>460000</v>
      </c>
      <c r="D140" s="192">
        <v>0</v>
      </c>
      <c r="E140" s="192">
        <v>0</v>
      </c>
      <c r="F140" s="192">
        <v>0</v>
      </c>
      <c r="G140" s="192">
        <v>0</v>
      </c>
      <c r="H140" s="192">
        <v>0</v>
      </c>
      <c r="I140" s="192">
        <v>0</v>
      </c>
      <c r="J140" s="192">
        <v>0</v>
      </c>
      <c r="K140" s="192">
        <v>0</v>
      </c>
      <c r="L140" s="192">
        <v>0</v>
      </c>
      <c r="M140" s="192">
        <v>0</v>
      </c>
      <c r="N140" s="192">
        <v>0</v>
      </c>
      <c r="O140" s="192">
        <v>0</v>
      </c>
      <c r="P140" s="192">
        <v>0</v>
      </c>
      <c r="Q140" s="192">
        <v>0</v>
      </c>
      <c r="R140" s="192">
        <v>0</v>
      </c>
      <c r="S140" s="192">
        <v>0</v>
      </c>
      <c r="T140" s="192">
        <v>0</v>
      </c>
      <c r="U140" s="192">
        <v>0</v>
      </c>
      <c r="V140" s="192">
        <v>0</v>
      </c>
      <c r="W140" s="192">
        <v>0</v>
      </c>
      <c r="X140" s="192">
        <v>0</v>
      </c>
      <c r="Y140" s="192">
        <v>0</v>
      </c>
      <c r="Z140" s="192">
        <v>0</v>
      </c>
      <c r="AA140" s="192">
        <v>0</v>
      </c>
      <c r="AB140" s="192">
        <v>1</v>
      </c>
      <c r="AC140" s="192">
        <v>0</v>
      </c>
      <c r="AD140" s="192">
        <v>1</v>
      </c>
      <c r="AE140" s="192">
        <v>0</v>
      </c>
      <c r="AF140" s="193">
        <v>0</v>
      </c>
      <c r="AG140" s="193">
        <v>0</v>
      </c>
      <c r="AH140" s="193">
        <v>0</v>
      </c>
      <c r="AI140" s="193">
        <v>0</v>
      </c>
      <c r="AJ140" s="193">
        <v>0</v>
      </c>
      <c r="AK140" s="193">
        <v>0</v>
      </c>
      <c r="AL140" s="193">
        <v>0</v>
      </c>
      <c r="AM140" s="193">
        <v>0</v>
      </c>
      <c r="AN140" s="193">
        <v>0</v>
      </c>
      <c r="AO140" s="193">
        <v>0</v>
      </c>
      <c r="AP140" s="193">
        <v>0</v>
      </c>
      <c r="AQ140" s="193">
        <v>0</v>
      </c>
      <c r="AR140" s="193">
        <v>0</v>
      </c>
      <c r="AS140" s="193">
        <v>0</v>
      </c>
      <c r="AT140" s="193">
        <v>0</v>
      </c>
      <c r="AU140" s="193">
        <v>0</v>
      </c>
      <c r="AV140" s="193">
        <v>0</v>
      </c>
      <c r="AW140" s="193">
        <v>0</v>
      </c>
      <c r="AX140" s="193">
        <v>0</v>
      </c>
      <c r="AY140" s="193">
        <v>0</v>
      </c>
      <c r="AZ140" s="193">
        <v>0</v>
      </c>
      <c r="BA140" s="193">
        <v>0</v>
      </c>
      <c r="BB140" s="193">
        <v>0</v>
      </c>
      <c r="BC140" s="193">
        <v>0</v>
      </c>
      <c r="BD140" s="193">
        <v>460000</v>
      </c>
      <c r="BE140" s="193">
        <v>0</v>
      </c>
      <c r="BF140" s="193">
        <v>460000</v>
      </c>
      <c r="BG140" s="193">
        <v>0</v>
      </c>
      <c r="BH140" s="193">
        <v>460000</v>
      </c>
    </row>
    <row r="141" spans="1:60" s="188" customFormat="1">
      <c r="A141" s="189">
        <v>-9</v>
      </c>
      <c r="B141" s="194" t="s">
        <v>951</v>
      </c>
      <c r="C141" s="191">
        <v>460000</v>
      </c>
      <c r="D141" s="192">
        <v>0</v>
      </c>
      <c r="E141" s="192">
        <v>0</v>
      </c>
      <c r="F141" s="192">
        <v>0</v>
      </c>
      <c r="G141" s="192">
        <v>0</v>
      </c>
      <c r="H141" s="192">
        <v>0</v>
      </c>
      <c r="I141" s="192">
        <v>0</v>
      </c>
      <c r="J141" s="192">
        <v>0</v>
      </c>
      <c r="K141" s="192">
        <v>0</v>
      </c>
      <c r="L141" s="192">
        <v>0</v>
      </c>
      <c r="M141" s="192">
        <v>0</v>
      </c>
      <c r="N141" s="192">
        <v>0</v>
      </c>
      <c r="O141" s="192">
        <v>0</v>
      </c>
      <c r="P141" s="192">
        <v>0</v>
      </c>
      <c r="Q141" s="192">
        <v>0</v>
      </c>
      <c r="R141" s="192">
        <v>0</v>
      </c>
      <c r="S141" s="192">
        <v>0</v>
      </c>
      <c r="T141" s="192">
        <v>0</v>
      </c>
      <c r="U141" s="192">
        <v>0</v>
      </c>
      <c r="V141" s="192">
        <v>0</v>
      </c>
      <c r="W141" s="192">
        <v>0</v>
      </c>
      <c r="X141" s="192">
        <v>0</v>
      </c>
      <c r="Y141" s="192">
        <v>0</v>
      </c>
      <c r="Z141" s="192">
        <v>0</v>
      </c>
      <c r="AA141" s="192">
        <v>0</v>
      </c>
      <c r="AB141" s="192">
        <v>0</v>
      </c>
      <c r="AC141" s="192">
        <v>0</v>
      </c>
      <c r="AD141" s="192">
        <v>0</v>
      </c>
      <c r="AE141" s="192">
        <v>0</v>
      </c>
      <c r="AF141" s="193">
        <v>0</v>
      </c>
      <c r="AG141" s="193">
        <v>0</v>
      </c>
      <c r="AH141" s="193">
        <v>0</v>
      </c>
      <c r="AI141" s="193">
        <v>0</v>
      </c>
      <c r="AJ141" s="193">
        <v>0</v>
      </c>
      <c r="AK141" s="193">
        <v>0</v>
      </c>
      <c r="AL141" s="193">
        <v>0</v>
      </c>
      <c r="AM141" s="193">
        <v>0</v>
      </c>
      <c r="AN141" s="193">
        <v>0</v>
      </c>
      <c r="AO141" s="193">
        <v>0</v>
      </c>
      <c r="AP141" s="193">
        <v>0</v>
      </c>
      <c r="AQ141" s="193">
        <v>0</v>
      </c>
      <c r="AR141" s="193">
        <v>0</v>
      </c>
      <c r="AS141" s="193">
        <v>0</v>
      </c>
      <c r="AT141" s="193">
        <v>0</v>
      </c>
      <c r="AU141" s="193">
        <v>0</v>
      </c>
      <c r="AV141" s="193">
        <v>0</v>
      </c>
      <c r="AW141" s="193">
        <v>0</v>
      </c>
      <c r="AX141" s="193">
        <v>0</v>
      </c>
      <c r="AY141" s="193">
        <v>0</v>
      </c>
      <c r="AZ141" s="193">
        <v>0</v>
      </c>
      <c r="BA141" s="193">
        <v>0</v>
      </c>
      <c r="BB141" s="193">
        <v>0</v>
      </c>
      <c r="BC141" s="193">
        <v>0</v>
      </c>
      <c r="BD141" s="193">
        <v>0</v>
      </c>
      <c r="BE141" s="193">
        <v>0</v>
      </c>
      <c r="BF141" s="193">
        <v>0</v>
      </c>
      <c r="BG141" s="193">
        <v>0</v>
      </c>
      <c r="BH141" s="193">
        <v>0</v>
      </c>
    </row>
    <row r="142" spans="1:60" s="188" customFormat="1">
      <c r="A142" s="189">
        <v>-10</v>
      </c>
      <c r="B142" s="194" t="s">
        <v>952</v>
      </c>
      <c r="C142" s="191">
        <v>460000</v>
      </c>
      <c r="D142" s="192">
        <v>0</v>
      </c>
      <c r="E142" s="192">
        <v>0</v>
      </c>
      <c r="F142" s="192">
        <v>0</v>
      </c>
      <c r="G142" s="192">
        <v>0</v>
      </c>
      <c r="H142" s="192">
        <v>0</v>
      </c>
      <c r="I142" s="192">
        <v>0</v>
      </c>
      <c r="J142" s="192">
        <v>0</v>
      </c>
      <c r="K142" s="192">
        <v>0</v>
      </c>
      <c r="L142" s="192">
        <v>0</v>
      </c>
      <c r="M142" s="192">
        <v>0</v>
      </c>
      <c r="N142" s="192">
        <v>0</v>
      </c>
      <c r="O142" s="192">
        <v>0</v>
      </c>
      <c r="P142" s="192">
        <v>0</v>
      </c>
      <c r="Q142" s="192">
        <v>0</v>
      </c>
      <c r="R142" s="192">
        <v>0</v>
      </c>
      <c r="S142" s="192">
        <v>0</v>
      </c>
      <c r="T142" s="192">
        <v>0</v>
      </c>
      <c r="U142" s="192">
        <v>0</v>
      </c>
      <c r="V142" s="192">
        <v>0</v>
      </c>
      <c r="W142" s="192">
        <v>0</v>
      </c>
      <c r="X142" s="192">
        <v>0</v>
      </c>
      <c r="Y142" s="192">
        <v>0</v>
      </c>
      <c r="Z142" s="192">
        <v>0</v>
      </c>
      <c r="AA142" s="192">
        <v>0</v>
      </c>
      <c r="AB142" s="192">
        <v>1</v>
      </c>
      <c r="AC142" s="192">
        <v>0</v>
      </c>
      <c r="AD142" s="192">
        <v>1</v>
      </c>
      <c r="AE142" s="192">
        <v>0</v>
      </c>
      <c r="AF142" s="193">
        <v>0</v>
      </c>
      <c r="AG142" s="193">
        <v>0</v>
      </c>
      <c r="AH142" s="193">
        <v>0</v>
      </c>
      <c r="AI142" s="193">
        <v>0</v>
      </c>
      <c r="AJ142" s="193">
        <v>0</v>
      </c>
      <c r="AK142" s="193">
        <v>0</v>
      </c>
      <c r="AL142" s="193">
        <v>0</v>
      </c>
      <c r="AM142" s="193">
        <v>0</v>
      </c>
      <c r="AN142" s="193">
        <v>0</v>
      </c>
      <c r="AO142" s="193">
        <v>0</v>
      </c>
      <c r="AP142" s="193">
        <v>0</v>
      </c>
      <c r="AQ142" s="193">
        <v>0</v>
      </c>
      <c r="AR142" s="193">
        <v>0</v>
      </c>
      <c r="AS142" s="193">
        <v>0</v>
      </c>
      <c r="AT142" s="193">
        <v>0</v>
      </c>
      <c r="AU142" s="193">
        <v>0</v>
      </c>
      <c r="AV142" s="193">
        <v>0</v>
      </c>
      <c r="AW142" s="193">
        <v>0</v>
      </c>
      <c r="AX142" s="193">
        <v>0</v>
      </c>
      <c r="AY142" s="193">
        <v>0</v>
      </c>
      <c r="AZ142" s="193">
        <v>0</v>
      </c>
      <c r="BA142" s="193">
        <v>0</v>
      </c>
      <c r="BB142" s="193">
        <v>0</v>
      </c>
      <c r="BC142" s="193">
        <v>0</v>
      </c>
      <c r="BD142" s="193">
        <v>460000</v>
      </c>
      <c r="BE142" s="193">
        <v>0</v>
      </c>
      <c r="BF142" s="193">
        <v>460000</v>
      </c>
      <c r="BG142" s="193">
        <v>0</v>
      </c>
      <c r="BH142" s="193">
        <v>460000</v>
      </c>
    </row>
    <row r="143" spans="1:60" s="188" customFormat="1">
      <c r="A143" s="189">
        <v>-11</v>
      </c>
      <c r="B143" s="194" t="s">
        <v>953</v>
      </c>
      <c r="C143" s="191">
        <v>600000</v>
      </c>
      <c r="D143" s="192">
        <v>0</v>
      </c>
      <c r="E143" s="192">
        <v>0</v>
      </c>
      <c r="F143" s="192">
        <v>0</v>
      </c>
      <c r="G143" s="192">
        <v>0</v>
      </c>
      <c r="H143" s="192">
        <v>0</v>
      </c>
      <c r="I143" s="192">
        <v>0</v>
      </c>
      <c r="J143" s="192">
        <v>0</v>
      </c>
      <c r="K143" s="192">
        <v>0</v>
      </c>
      <c r="L143" s="192">
        <v>0</v>
      </c>
      <c r="M143" s="192">
        <v>0</v>
      </c>
      <c r="N143" s="192">
        <v>0</v>
      </c>
      <c r="O143" s="192">
        <v>0</v>
      </c>
      <c r="P143" s="192">
        <v>0</v>
      </c>
      <c r="Q143" s="192">
        <v>0</v>
      </c>
      <c r="R143" s="192">
        <v>0</v>
      </c>
      <c r="S143" s="192">
        <v>0</v>
      </c>
      <c r="T143" s="192">
        <v>0</v>
      </c>
      <c r="U143" s="192">
        <v>0</v>
      </c>
      <c r="V143" s="192">
        <v>0</v>
      </c>
      <c r="W143" s="192">
        <v>0</v>
      </c>
      <c r="X143" s="192">
        <v>0</v>
      </c>
      <c r="Y143" s="192">
        <v>0</v>
      </c>
      <c r="Z143" s="192">
        <v>0</v>
      </c>
      <c r="AA143" s="192">
        <v>0</v>
      </c>
      <c r="AB143" s="192">
        <v>0</v>
      </c>
      <c r="AC143" s="192">
        <v>0</v>
      </c>
      <c r="AD143" s="192">
        <v>0</v>
      </c>
      <c r="AE143" s="192">
        <v>0</v>
      </c>
      <c r="AF143" s="193">
        <v>0</v>
      </c>
      <c r="AG143" s="193">
        <v>0</v>
      </c>
      <c r="AH143" s="193">
        <v>0</v>
      </c>
      <c r="AI143" s="193">
        <v>0</v>
      </c>
      <c r="AJ143" s="193">
        <v>0</v>
      </c>
      <c r="AK143" s="193">
        <v>0</v>
      </c>
      <c r="AL143" s="193">
        <v>0</v>
      </c>
      <c r="AM143" s="193">
        <v>0</v>
      </c>
      <c r="AN143" s="193">
        <v>0</v>
      </c>
      <c r="AO143" s="193">
        <v>0</v>
      </c>
      <c r="AP143" s="193">
        <v>0</v>
      </c>
      <c r="AQ143" s="193">
        <v>0</v>
      </c>
      <c r="AR143" s="193">
        <v>0</v>
      </c>
      <c r="AS143" s="193">
        <v>0</v>
      </c>
      <c r="AT143" s="193">
        <v>0</v>
      </c>
      <c r="AU143" s="193">
        <v>0</v>
      </c>
      <c r="AV143" s="193">
        <v>0</v>
      </c>
      <c r="AW143" s="193">
        <v>0</v>
      </c>
      <c r="AX143" s="193">
        <v>0</v>
      </c>
      <c r="AY143" s="193">
        <v>0</v>
      </c>
      <c r="AZ143" s="193">
        <v>0</v>
      </c>
      <c r="BA143" s="193">
        <v>0</v>
      </c>
      <c r="BB143" s="193">
        <v>0</v>
      </c>
      <c r="BC143" s="193">
        <v>0</v>
      </c>
      <c r="BD143" s="193">
        <v>0</v>
      </c>
      <c r="BE143" s="193">
        <v>0</v>
      </c>
      <c r="BF143" s="193">
        <v>0</v>
      </c>
      <c r="BG143" s="193">
        <v>0</v>
      </c>
      <c r="BH143" s="193">
        <v>0</v>
      </c>
    </row>
    <row r="144" spans="1:60" s="188" customFormat="1">
      <c r="A144" s="189">
        <v>-12</v>
      </c>
      <c r="B144" s="194" t="s">
        <v>954</v>
      </c>
      <c r="C144" s="191">
        <v>700000</v>
      </c>
      <c r="D144" s="192">
        <v>0</v>
      </c>
      <c r="E144" s="192">
        <v>0</v>
      </c>
      <c r="F144" s="192">
        <v>0</v>
      </c>
      <c r="G144" s="192">
        <v>0</v>
      </c>
      <c r="H144" s="192">
        <v>0</v>
      </c>
      <c r="I144" s="192">
        <v>0</v>
      </c>
      <c r="J144" s="192">
        <v>0</v>
      </c>
      <c r="K144" s="192">
        <v>0</v>
      </c>
      <c r="L144" s="192">
        <v>0</v>
      </c>
      <c r="M144" s="192">
        <v>0</v>
      </c>
      <c r="N144" s="192">
        <v>0</v>
      </c>
      <c r="O144" s="192">
        <v>0</v>
      </c>
      <c r="P144" s="192">
        <v>0</v>
      </c>
      <c r="Q144" s="192">
        <v>0</v>
      </c>
      <c r="R144" s="192">
        <v>0</v>
      </c>
      <c r="S144" s="192">
        <v>0</v>
      </c>
      <c r="T144" s="192">
        <v>0</v>
      </c>
      <c r="U144" s="192">
        <v>0</v>
      </c>
      <c r="V144" s="192">
        <v>0</v>
      </c>
      <c r="W144" s="192">
        <v>0</v>
      </c>
      <c r="X144" s="192">
        <v>0</v>
      </c>
      <c r="Y144" s="192">
        <v>0</v>
      </c>
      <c r="Z144" s="192">
        <v>0</v>
      </c>
      <c r="AA144" s="192">
        <v>0</v>
      </c>
      <c r="AB144" s="192">
        <v>0</v>
      </c>
      <c r="AC144" s="192">
        <v>0</v>
      </c>
      <c r="AD144" s="192">
        <v>0</v>
      </c>
      <c r="AE144" s="192">
        <v>0</v>
      </c>
      <c r="AF144" s="193">
        <v>0</v>
      </c>
      <c r="AG144" s="193">
        <v>0</v>
      </c>
      <c r="AH144" s="193">
        <v>0</v>
      </c>
      <c r="AI144" s="193">
        <v>0</v>
      </c>
      <c r="AJ144" s="193">
        <v>0</v>
      </c>
      <c r="AK144" s="193">
        <v>0</v>
      </c>
      <c r="AL144" s="193">
        <v>0</v>
      </c>
      <c r="AM144" s="193">
        <v>0</v>
      </c>
      <c r="AN144" s="193">
        <v>0</v>
      </c>
      <c r="AO144" s="193">
        <v>0</v>
      </c>
      <c r="AP144" s="193">
        <v>0</v>
      </c>
      <c r="AQ144" s="193">
        <v>0</v>
      </c>
      <c r="AR144" s="193">
        <v>0</v>
      </c>
      <c r="AS144" s="193">
        <v>0</v>
      </c>
      <c r="AT144" s="193">
        <v>0</v>
      </c>
      <c r="AU144" s="193">
        <v>0</v>
      </c>
      <c r="AV144" s="193">
        <v>0</v>
      </c>
      <c r="AW144" s="193">
        <v>0</v>
      </c>
      <c r="AX144" s="193">
        <v>0</v>
      </c>
      <c r="AY144" s="193">
        <v>0</v>
      </c>
      <c r="AZ144" s="193">
        <v>0</v>
      </c>
      <c r="BA144" s="193">
        <v>0</v>
      </c>
      <c r="BB144" s="193">
        <v>0</v>
      </c>
      <c r="BC144" s="193">
        <v>0</v>
      </c>
      <c r="BD144" s="193">
        <v>0</v>
      </c>
      <c r="BE144" s="193">
        <v>0</v>
      </c>
      <c r="BF144" s="193">
        <v>0</v>
      </c>
      <c r="BG144" s="193">
        <v>0</v>
      </c>
      <c r="BH144" s="193">
        <v>0</v>
      </c>
    </row>
    <row r="145" spans="1:60" s="188" customFormat="1">
      <c r="A145" s="189">
        <v>-13</v>
      </c>
      <c r="B145" s="194" t="s">
        <v>955</v>
      </c>
      <c r="C145" s="191">
        <v>800000</v>
      </c>
      <c r="D145" s="192">
        <v>0</v>
      </c>
      <c r="E145" s="192">
        <v>0</v>
      </c>
      <c r="F145" s="192">
        <v>0</v>
      </c>
      <c r="G145" s="192">
        <v>0</v>
      </c>
      <c r="H145" s="192">
        <v>0</v>
      </c>
      <c r="I145" s="192">
        <v>0</v>
      </c>
      <c r="J145" s="192">
        <v>0</v>
      </c>
      <c r="K145" s="192">
        <v>0</v>
      </c>
      <c r="L145" s="192">
        <v>0</v>
      </c>
      <c r="M145" s="192">
        <v>0</v>
      </c>
      <c r="N145" s="192">
        <v>0</v>
      </c>
      <c r="O145" s="192">
        <v>0</v>
      </c>
      <c r="P145" s="192">
        <v>0</v>
      </c>
      <c r="Q145" s="192">
        <v>0</v>
      </c>
      <c r="R145" s="192">
        <v>0</v>
      </c>
      <c r="S145" s="192">
        <v>0</v>
      </c>
      <c r="T145" s="192">
        <v>0</v>
      </c>
      <c r="U145" s="192">
        <v>0</v>
      </c>
      <c r="V145" s="192">
        <v>0</v>
      </c>
      <c r="W145" s="192">
        <v>0</v>
      </c>
      <c r="X145" s="192">
        <v>0</v>
      </c>
      <c r="Y145" s="192">
        <v>0</v>
      </c>
      <c r="Z145" s="192">
        <v>0</v>
      </c>
      <c r="AA145" s="192">
        <v>0</v>
      </c>
      <c r="AB145" s="192">
        <v>0</v>
      </c>
      <c r="AC145" s="192">
        <v>0</v>
      </c>
      <c r="AD145" s="192">
        <v>0</v>
      </c>
      <c r="AE145" s="192">
        <v>0</v>
      </c>
      <c r="AF145" s="193">
        <v>0</v>
      </c>
      <c r="AG145" s="193">
        <v>0</v>
      </c>
      <c r="AH145" s="193">
        <v>0</v>
      </c>
      <c r="AI145" s="193">
        <v>0</v>
      </c>
      <c r="AJ145" s="193">
        <v>0</v>
      </c>
      <c r="AK145" s="193">
        <v>0</v>
      </c>
      <c r="AL145" s="193">
        <v>0</v>
      </c>
      <c r="AM145" s="193">
        <v>0</v>
      </c>
      <c r="AN145" s="193">
        <v>0</v>
      </c>
      <c r="AO145" s="193">
        <v>0</v>
      </c>
      <c r="AP145" s="193">
        <v>0</v>
      </c>
      <c r="AQ145" s="193">
        <v>0</v>
      </c>
      <c r="AR145" s="193">
        <v>0</v>
      </c>
      <c r="AS145" s="193">
        <v>0</v>
      </c>
      <c r="AT145" s="193">
        <v>0</v>
      </c>
      <c r="AU145" s="193">
        <v>0</v>
      </c>
      <c r="AV145" s="193">
        <v>0</v>
      </c>
      <c r="AW145" s="193">
        <v>0</v>
      </c>
      <c r="AX145" s="193">
        <v>0</v>
      </c>
      <c r="AY145" s="193">
        <v>0</v>
      </c>
      <c r="AZ145" s="193">
        <v>0</v>
      </c>
      <c r="BA145" s="193">
        <v>0</v>
      </c>
      <c r="BB145" s="193">
        <v>0</v>
      </c>
      <c r="BC145" s="193">
        <v>0</v>
      </c>
      <c r="BD145" s="193">
        <v>0</v>
      </c>
      <c r="BE145" s="193">
        <v>0</v>
      </c>
      <c r="BF145" s="193">
        <v>0</v>
      </c>
      <c r="BG145" s="193">
        <v>0</v>
      </c>
      <c r="BH145" s="193">
        <v>0</v>
      </c>
    </row>
    <row r="146" spans="1:60" s="188" customFormat="1">
      <c r="A146" s="189">
        <v>-14</v>
      </c>
      <c r="B146" s="194" t="s">
        <v>956</v>
      </c>
      <c r="C146" s="191">
        <v>800000</v>
      </c>
      <c r="D146" s="192">
        <v>0</v>
      </c>
      <c r="E146" s="192">
        <v>0</v>
      </c>
      <c r="F146" s="192">
        <v>0</v>
      </c>
      <c r="G146" s="192">
        <v>0</v>
      </c>
      <c r="H146" s="192">
        <v>0</v>
      </c>
      <c r="I146" s="192">
        <v>0</v>
      </c>
      <c r="J146" s="192">
        <v>0</v>
      </c>
      <c r="K146" s="192">
        <v>0</v>
      </c>
      <c r="L146" s="192">
        <v>0</v>
      </c>
      <c r="M146" s="192">
        <v>0</v>
      </c>
      <c r="N146" s="192">
        <v>0</v>
      </c>
      <c r="O146" s="192">
        <v>0</v>
      </c>
      <c r="P146" s="192">
        <v>0</v>
      </c>
      <c r="Q146" s="192">
        <v>0</v>
      </c>
      <c r="R146" s="192">
        <v>0</v>
      </c>
      <c r="S146" s="192">
        <v>0</v>
      </c>
      <c r="T146" s="192">
        <v>0</v>
      </c>
      <c r="U146" s="192">
        <v>0</v>
      </c>
      <c r="V146" s="192">
        <v>0</v>
      </c>
      <c r="W146" s="192">
        <v>0</v>
      </c>
      <c r="X146" s="192">
        <v>0</v>
      </c>
      <c r="Y146" s="192">
        <v>0</v>
      </c>
      <c r="Z146" s="192">
        <v>0</v>
      </c>
      <c r="AA146" s="192">
        <v>0</v>
      </c>
      <c r="AB146" s="192">
        <v>1</v>
      </c>
      <c r="AC146" s="192">
        <v>0</v>
      </c>
      <c r="AD146" s="192">
        <v>1</v>
      </c>
      <c r="AE146" s="192">
        <v>0</v>
      </c>
      <c r="AF146" s="193">
        <v>0</v>
      </c>
      <c r="AG146" s="193">
        <v>0</v>
      </c>
      <c r="AH146" s="193">
        <v>0</v>
      </c>
      <c r="AI146" s="193">
        <v>0</v>
      </c>
      <c r="AJ146" s="193">
        <v>0</v>
      </c>
      <c r="AK146" s="193">
        <v>0</v>
      </c>
      <c r="AL146" s="193">
        <v>0</v>
      </c>
      <c r="AM146" s="193">
        <v>0</v>
      </c>
      <c r="AN146" s="193">
        <v>0</v>
      </c>
      <c r="AO146" s="193">
        <v>0</v>
      </c>
      <c r="AP146" s="193">
        <v>0</v>
      </c>
      <c r="AQ146" s="193">
        <v>0</v>
      </c>
      <c r="AR146" s="193">
        <v>0</v>
      </c>
      <c r="AS146" s="193">
        <v>0</v>
      </c>
      <c r="AT146" s="193">
        <v>0</v>
      </c>
      <c r="AU146" s="193">
        <v>0</v>
      </c>
      <c r="AV146" s="193">
        <v>0</v>
      </c>
      <c r="AW146" s="193">
        <v>0</v>
      </c>
      <c r="AX146" s="193">
        <v>0</v>
      </c>
      <c r="AY146" s="193">
        <v>0</v>
      </c>
      <c r="AZ146" s="193">
        <v>0</v>
      </c>
      <c r="BA146" s="193">
        <v>0</v>
      </c>
      <c r="BB146" s="193">
        <v>0</v>
      </c>
      <c r="BC146" s="193">
        <v>0</v>
      </c>
      <c r="BD146" s="193">
        <v>800000</v>
      </c>
      <c r="BE146" s="193">
        <v>0</v>
      </c>
      <c r="BF146" s="193">
        <v>800000</v>
      </c>
      <c r="BG146" s="193">
        <v>0</v>
      </c>
      <c r="BH146" s="193">
        <v>800000</v>
      </c>
    </row>
    <row r="147" spans="1:60" s="188" customFormat="1">
      <c r="A147" s="189">
        <v>-15</v>
      </c>
      <c r="B147" s="194" t="s">
        <v>957</v>
      </c>
      <c r="C147" s="191">
        <v>1500000</v>
      </c>
      <c r="D147" s="192">
        <v>0</v>
      </c>
      <c r="E147" s="192">
        <v>0</v>
      </c>
      <c r="F147" s="192">
        <v>0</v>
      </c>
      <c r="G147" s="192">
        <v>0</v>
      </c>
      <c r="H147" s="192">
        <v>0</v>
      </c>
      <c r="I147" s="192">
        <v>0</v>
      </c>
      <c r="J147" s="192">
        <v>0</v>
      </c>
      <c r="K147" s="192">
        <v>0</v>
      </c>
      <c r="L147" s="192">
        <v>0</v>
      </c>
      <c r="M147" s="192">
        <v>0</v>
      </c>
      <c r="N147" s="192">
        <v>0</v>
      </c>
      <c r="O147" s="192">
        <v>0</v>
      </c>
      <c r="P147" s="192">
        <v>0</v>
      </c>
      <c r="Q147" s="192">
        <v>0</v>
      </c>
      <c r="R147" s="192">
        <v>0</v>
      </c>
      <c r="S147" s="192">
        <v>0</v>
      </c>
      <c r="T147" s="192">
        <v>0</v>
      </c>
      <c r="U147" s="192">
        <v>0</v>
      </c>
      <c r="V147" s="192">
        <v>0</v>
      </c>
      <c r="W147" s="192">
        <v>0</v>
      </c>
      <c r="X147" s="192">
        <v>0</v>
      </c>
      <c r="Y147" s="192">
        <v>0</v>
      </c>
      <c r="Z147" s="192">
        <v>0</v>
      </c>
      <c r="AA147" s="192">
        <v>0</v>
      </c>
      <c r="AB147" s="192">
        <v>0</v>
      </c>
      <c r="AC147" s="192">
        <v>0</v>
      </c>
      <c r="AD147" s="192">
        <v>0</v>
      </c>
      <c r="AE147" s="192">
        <v>0</v>
      </c>
      <c r="AF147" s="193">
        <v>0</v>
      </c>
      <c r="AG147" s="193">
        <v>0</v>
      </c>
      <c r="AH147" s="193">
        <v>0</v>
      </c>
      <c r="AI147" s="193">
        <v>0</v>
      </c>
      <c r="AJ147" s="193">
        <v>0</v>
      </c>
      <c r="AK147" s="193">
        <v>0</v>
      </c>
      <c r="AL147" s="193">
        <v>0</v>
      </c>
      <c r="AM147" s="193">
        <v>0</v>
      </c>
      <c r="AN147" s="193">
        <v>0</v>
      </c>
      <c r="AO147" s="193">
        <v>0</v>
      </c>
      <c r="AP147" s="193">
        <v>0</v>
      </c>
      <c r="AQ147" s="193">
        <v>0</v>
      </c>
      <c r="AR147" s="193">
        <v>0</v>
      </c>
      <c r="AS147" s="193">
        <v>0</v>
      </c>
      <c r="AT147" s="193">
        <v>0</v>
      </c>
      <c r="AU147" s="193">
        <v>0</v>
      </c>
      <c r="AV147" s="193">
        <v>0</v>
      </c>
      <c r="AW147" s="193">
        <v>0</v>
      </c>
      <c r="AX147" s="193">
        <v>0</v>
      </c>
      <c r="AY147" s="193">
        <v>0</v>
      </c>
      <c r="AZ147" s="193">
        <v>0</v>
      </c>
      <c r="BA147" s="193">
        <v>0</v>
      </c>
      <c r="BB147" s="193">
        <v>0</v>
      </c>
      <c r="BC147" s="193">
        <v>0</v>
      </c>
      <c r="BD147" s="193">
        <v>0</v>
      </c>
      <c r="BE147" s="193">
        <v>0</v>
      </c>
      <c r="BF147" s="193">
        <v>0</v>
      </c>
      <c r="BG147" s="193">
        <v>0</v>
      </c>
      <c r="BH147" s="193">
        <v>0</v>
      </c>
    </row>
    <row r="148" spans="1:60" s="188" customFormat="1">
      <c r="A148" s="189">
        <v>-16</v>
      </c>
      <c r="B148" s="194" t="s">
        <v>958</v>
      </c>
      <c r="C148" s="191">
        <v>1700000</v>
      </c>
      <c r="D148" s="192">
        <v>0</v>
      </c>
      <c r="E148" s="192">
        <v>0</v>
      </c>
      <c r="F148" s="192">
        <v>0</v>
      </c>
      <c r="G148" s="192">
        <v>0</v>
      </c>
      <c r="H148" s="192">
        <v>0</v>
      </c>
      <c r="I148" s="192">
        <v>0</v>
      </c>
      <c r="J148" s="192">
        <v>0</v>
      </c>
      <c r="K148" s="192">
        <v>0</v>
      </c>
      <c r="L148" s="192">
        <v>0</v>
      </c>
      <c r="M148" s="192">
        <v>0</v>
      </c>
      <c r="N148" s="192">
        <v>0</v>
      </c>
      <c r="O148" s="192">
        <v>0</v>
      </c>
      <c r="P148" s="192">
        <v>0</v>
      </c>
      <c r="Q148" s="192">
        <v>0</v>
      </c>
      <c r="R148" s="192">
        <v>0</v>
      </c>
      <c r="S148" s="192">
        <v>0</v>
      </c>
      <c r="T148" s="192">
        <v>0</v>
      </c>
      <c r="U148" s="192">
        <v>0</v>
      </c>
      <c r="V148" s="192">
        <v>0</v>
      </c>
      <c r="W148" s="192">
        <v>0</v>
      </c>
      <c r="X148" s="192">
        <v>0</v>
      </c>
      <c r="Y148" s="192">
        <v>0</v>
      </c>
      <c r="Z148" s="192">
        <v>0</v>
      </c>
      <c r="AA148" s="192">
        <v>0</v>
      </c>
      <c r="AB148" s="192">
        <v>0</v>
      </c>
      <c r="AC148" s="192">
        <v>0</v>
      </c>
      <c r="AD148" s="192">
        <v>0</v>
      </c>
      <c r="AE148" s="192">
        <v>0</v>
      </c>
      <c r="AF148" s="193">
        <v>0</v>
      </c>
      <c r="AG148" s="193">
        <v>0</v>
      </c>
      <c r="AH148" s="193">
        <v>0</v>
      </c>
      <c r="AI148" s="193">
        <v>0</v>
      </c>
      <c r="AJ148" s="193">
        <v>0</v>
      </c>
      <c r="AK148" s="193">
        <v>0</v>
      </c>
      <c r="AL148" s="193">
        <v>0</v>
      </c>
      <c r="AM148" s="193">
        <v>0</v>
      </c>
      <c r="AN148" s="193">
        <v>0</v>
      </c>
      <c r="AO148" s="193">
        <v>0</v>
      </c>
      <c r="AP148" s="193">
        <v>0</v>
      </c>
      <c r="AQ148" s="193">
        <v>0</v>
      </c>
      <c r="AR148" s="193">
        <v>0</v>
      </c>
      <c r="AS148" s="193">
        <v>0</v>
      </c>
      <c r="AT148" s="193">
        <v>0</v>
      </c>
      <c r="AU148" s="193">
        <v>0</v>
      </c>
      <c r="AV148" s="193">
        <v>0</v>
      </c>
      <c r="AW148" s="193">
        <v>0</v>
      </c>
      <c r="AX148" s="193">
        <v>0</v>
      </c>
      <c r="AY148" s="193">
        <v>0</v>
      </c>
      <c r="AZ148" s="193">
        <v>0</v>
      </c>
      <c r="BA148" s="193">
        <v>0</v>
      </c>
      <c r="BB148" s="193">
        <v>0</v>
      </c>
      <c r="BC148" s="193">
        <v>0</v>
      </c>
      <c r="BD148" s="193">
        <v>0</v>
      </c>
      <c r="BE148" s="193">
        <v>0</v>
      </c>
      <c r="BF148" s="193">
        <v>0</v>
      </c>
      <c r="BG148" s="193">
        <v>0</v>
      </c>
      <c r="BH148" s="193">
        <v>0</v>
      </c>
    </row>
    <row r="149" spans="1:60" s="188" customFormat="1">
      <c r="A149" s="189">
        <v>-17</v>
      </c>
      <c r="B149" s="194" t="s">
        <v>959</v>
      </c>
      <c r="C149" s="191">
        <v>1800000</v>
      </c>
      <c r="D149" s="192">
        <v>0</v>
      </c>
      <c r="E149" s="192">
        <v>0</v>
      </c>
      <c r="F149" s="192">
        <v>0</v>
      </c>
      <c r="G149" s="192">
        <v>0</v>
      </c>
      <c r="H149" s="192">
        <v>0</v>
      </c>
      <c r="I149" s="192">
        <v>0</v>
      </c>
      <c r="J149" s="192">
        <v>0</v>
      </c>
      <c r="K149" s="192">
        <v>0</v>
      </c>
      <c r="L149" s="192">
        <v>0</v>
      </c>
      <c r="M149" s="192">
        <v>0</v>
      </c>
      <c r="N149" s="192">
        <v>0</v>
      </c>
      <c r="O149" s="192">
        <v>0</v>
      </c>
      <c r="P149" s="192">
        <v>0</v>
      </c>
      <c r="Q149" s="192">
        <v>0</v>
      </c>
      <c r="R149" s="192">
        <v>0</v>
      </c>
      <c r="S149" s="192">
        <v>0</v>
      </c>
      <c r="T149" s="192">
        <v>0</v>
      </c>
      <c r="U149" s="192">
        <v>0</v>
      </c>
      <c r="V149" s="192">
        <v>0</v>
      </c>
      <c r="W149" s="192">
        <v>0</v>
      </c>
      <c r="X149" s="192">
        <v>0</v>
      </c>
      <c r="Y149" s="192">
        <v>0</v>
      </c>
      <c r="Z149" s="192">
        <v>0</v>
      </c>
      <c r="AA149" s="192">
        <v>0</v>
      </c>
      <c r="AB149" s="192">
        <v>1</v>
      </c>
      <c r="AC149" s="192">
        <v>0</v>
      </c>
      <c r="AD149" s="192">
        <v>1</v>
      </c>
      <c r="AE149" s="192">
        <v>0</v>
      </c>
      <c r="AF149" s="193">
        <v>0</v>
      </c>
      <c r="AG149" s="193">
        <v>0</v>
      </c>
      <c r="AH149" s="193">
        <v>0</v>
      </c>
      <c r="AI149" s="193">
        <v>0</v>
      </c>
      <c r="AJ149" s="193">
        <v>0</v>
      </c>
      <c r="AK149" s="193">
        <v>0</v>
      </c>
      <c r="AL149" s="193">
        <v>0</v>
      </c>
      <c r="AM149" s="193">
        <v>0</v>
      </c>
      <c r="AN149" s="193">
        <v>0</v>
      </c>
      <c r="AO149" s="193">
        <v>0</v>
      </c>
      <c r="AP149" s="193">
        <v>0</v>
      </c>
      <c r="AQ149" s="193">
        <v>0</v>
      </c>
      <c r="AR149" s="193">
        <v>0</v>
      </c>
      <c r="AS149" s="193">
        <v>0</v>
      </c>
      <c r="AT149" s="193">
        <v>0</v>
      </c>
      <c r="AU149" s="193">
        <v>0</v>
      </c>
      <c r="AV149" s="193">
        <v>0</v>
      </c>
      <c r="AW149" s="193">
        <v>0</v>
      </c>
      <c r="AX149" s="193">
        <v>0</v>
      </c>
      <c r="AY149" s="193">
        <v>0</v>
      </c>
      <c r="AZ149" s="193">
        <v>0</v>
      </c>
      <c r="BA149" s="193">
        <v>0</v>
      </c>
      <c r="BB149" s="193">
        <v>0</v>
      </c>
      <c r="BC149" s="193">
        <v>0</v>
      </c>
      <c r="BD149" s="193">
        <v>1800000</v>
      </c>
      <c r="BE149" s="193">
        <v>0</v>
      </c>
      <c r="BF149" s="193">
        <v>1800000</v>
      </c>
      <c r="BG149" s="193">
        <v>0</v>
      </c>
      <c r="BH149" s="193">
        <v>1800000</v>
      </c>
    </row>
    <row r="150" spans="1:60" s="188" customFormat="1">
      <c r="A150" s="189">
        <v>-18</v>
      </c>
      <c r="B150" s="194" t="s">
        <v>960</v>
      </c>
      <c r="C150" s="191">
        <v>2000000</v>
      </c>
      <c r="D150" s="192">
        <v>0</v>
      </c>
      <c r="E150" s="192">
        <v>0</v>
      </c>
      <c r="F150" s="192">
        <v>0</v>
      </c>
      <c r="G150" s="192">
        <v>0</v>
      </c>
      <c r="H150" s="192">
        <v>0</v>
      </c>
      <c r="I150" s="192">
        <v>0</v>
      </c>
      <c r="J150" s="192">
        <v>0</v>
      </c>
      <c r="K150" s="192">
        <v>0</v>
      </c>
      <c r="L150" s="192">
        <v>0</v>
      </c>
      <c r="M150" s="192">
        <v>0</v>
      </c>
      <c r="N150" s="192">
        <v>0</v>
      </c>
      <c r="O150" s="192">
        <v>0</v>
      </c>
      <c r="P150" s="192">
        <v>0</v>
      </c>
      <c r="Q150" s="192">
        <v>0</v>
      </c>
      <c r="R150" s="192">
        <v>0</v>
      </c>
      <c r="S150" s="192">
        <v>0</v>
      </c>
      <c r="T150" s="192">
        <v>0</v>
      </c>
      <c r="U150" s="192">
        <v>0</v>
      </c>
      <c r="V150" s="192">
        <v>0</v>
      </c>
      <c r="W150" s="192">
        <v>0</v>
      </c>
      <c r="X150" s="192">
        <v>0</v>
      </c>
      <c r="Y150" s="192">
        <v>0</v>
      </c>
      <c r="Z150" s="192">
        <v>0</v>
      </c>
      <c r="AA150" s="192">
        <v>0</v>
      </c>
      <c r="AB150" s="192">
        <v>0</v>
      </c>
      <c r="AC150" s="192">
        <v>0</v>
      </c>
      <c r="AD150" s="192">
        <v>0</v>
      </c>
      <c r="AE150" s="192">
        <v>0</v>
      </c>
      <c r="AF150" s="193">
        <v>0</v>
      </c>
      <c r="AG150" s="193">
        <v>0</v>
      </c>
      <c r="AH150" s="193">
        <v>0</v>
      </c>
      <c r="AI150" s="193">
        <v>0</v>
      </c>
      <c r="AJ150" s="193">
        <v>0</v>
      </c>
      <c r="AK150" s="193">
        <v>0</v>
      </c>
      <c r="AL150" s="193">
        <v>0</v>
      </c>
      <c r="AM150" s="193">
        <v>0</v>
      </c>
      <c r="AN150" s="193">
        <v>0</v>
      </c>
      <c r="AO150" s="193">
        <v>0</v>
      </c>
      <c r="AP150" s="193">
        <v>0</v>
      </c>
      <c r="AQ150" s="193">
        <v>0</v>
      </c>
      <c r="AR150" s="193">
        <v>0</v>
      </c>
      <c r="AS150" s="193">
        <v>0</v>
      </c>
      <c r="AT150" s="193">
        <v>0</v>
      </c>
      <c r="AU150" s="193">
        <v>0</v>
      </c>
      <c r="AV150" s="193">
        <v>0</v>
      </c>
      <c r="AW150" s="193">
        <v>0</v>
      </c>
      <c r="AX150" s="193">
        <v>0</v>
      </c>
      <c r="AY150" s="193">
        <v>0</v>
      </c>
      <c r="AZ150" s="193">
        <v>0</v>
      </c>
      <c r="BA150" s="193">
        <v>0</v>
      </c>
      <c r="BB150" s="193">
        <v>0</v>
      </c>
      <c r="BC150" s="193">
        <v>0</v>
      </c>
      <c r="BD150" s="193">
        <v>0</v>
      </c>
      <c r="BE150" s="193">
        <v>0</v>
      </c>
      <c r="BF150" s="193">
        <v>0</v>
      </c>
      <c r="BG150" s="193">
        <v>0</v>
      </c>
      <c r="BH150" s="193">
        <v>0</v>
      </c>
    </row>
    <row r="151" spans="1:60" s="188" customFormat="1">
      <c r="A151" s="189">
        <v>-19</v>
      </c>
      <c r="B151" s="194" t="s">
        <v>961</v>
      </c>
      <c r="C151" s="191">
        <v>2000000</v>
      </c>
      <c r="D151" s="192">
        <v>0</v>
      </c>
      <c r="E151" s="192">
        <v>0</v>
      </c>
      <c r="F151" s="192">
        <v>0</v>
      </c>
      <c r="G151" s="192">
        <v>0</v>
      </c>
      <c r="H151" s="192">
        <v>0</v>
      </c>
      <c r="I151" s="192">
        <v>0</v>
      </c>
      <c r="J151" s="192">
        <v>0</v>
      </c>
      <c r="K151" s="192">
        <v>0</v>
      </c>
      <c r="L151" s="192">
        <v>0</v>
      </c>
      <c r="M151" s="192">
        <v>0</v>
      </c>
      <c r="N151" s="192">
        <v>0</v>
      </c>
      <c r="O151" s="192">
        <v>0</v>
      </c>
      <c r="P151" s="192">
        <v>0</v>
      </c>
      <c r="Q151" s="192">
        <v>0</v>
      </c>
      <c r="R151" s="192">
        <v>0</v>
      </c>
      <c r="S151" s="192">
        <v>0</v>
      </c>
      <c r="T151" s="192">
        <v>0</v>
      </c>
      <c r="U151" s="192">
        <v>0</v>
      </c>
      <c r="V151" s="192">
        <v>0</v>
      </c>
      <c r="W151" s="192">
        <v>0</v>
      </c>
      <c r="X151" s="192">
        <v>0</v>
      </c>
      <c r="Y151" s="192">
        <v>0</v>
      </c>
      <c r="Z151" s="192">
        <v>0</v>
      </c>
      <c r="AA151" s="192">
        <v>0</v>
      </c>
      <c r="AB151" s="192">
        <v>0</v>
      </c>
      <c r="AC151" s="192">
        <v>0</v>
      </c>
      <c r="AD151" s="192">
        <v>0</v>
      </c>
      <c r="AE151" s="192">
        <v>0</v>
      </c>
      <c r="AF151" s="193">
        <v>0</v>
      </c>
      <c r="AG151" s="193">
        <v>0</v>
      </c>
      <c r="AH151" s="193">
        <v>0</v>
      </c>
      <c r="AI151" s="193">
        <v>0</v>
      </c>
      <c r="AJ151" s="193">
        <v>0</v>
      </c>
      <c r="AK151" s="193">
        <v>0</v>
      </c>
      <c r="AL151" s="193">
        <v>0</v>
      </c>
      <c r="AM151" s="193">
        <v>0</v>
      </c>
      <c r="AN151" s="193">
        <v>0</v>
      </c>
      <c r="AO151" s="193">
        <v>0</v>
      </c>
      <c r="AP151" s="193">
        <v>0</v>
      </c>
      <c r="AQ151" s="193">
        <v>0</v>
      </c>
      <c r="AR151" s="193">
        <v>0</v>
      </c>
      <c r="AS151" s="193">
        <v>0</v>
      </c>
      <c r="AT151" s="193">
        <v>0</v>
      </c>
      <c r="AU151" s="193">
        <v>0</v>
      </c>
      <c r="AV151" s="193">
        <v>0</v>
      </c>
      <c r="AW151" s="193">
        <v>0</v>
      </c>
      <c r="AX151" s="193">
        <v>0</v>
      </c>
      <c r="AY151" s="193">
        <v>0</v>
      </c>
      <c r="AZ151" s="193">
        <v>0</v>
      </c>
      <c r="BA151" s="193">
        <v>0</v>
      </c>
      <c r="BB151" s="193">
        <v>0</v>
      </c>
      <c r="BC151" s="193">
        <v>0</v>
      </c>
      <c r="BD151" s="193">
        <v>0</v>
      </c>
      <c r="BE151" s="193">
        <v>0</v>
      </c>
      <c r="BF151" s="193">
        <v>0</v>
      </c>
      <c r="BG151" s="193">
        <v>0</v>
      </c>
      <c r="BH151" s="193">
        <v>0</v>
      </c>
    </row>
    <row r="152" spans="1:60" s="188" customFormat="1">
      <c r="A152" s="189">
        <v>-20</v>
      </c>
      <c r="B152" s="194" t="s">
        <v>962</v>
      </c>
      <c r="C152" s="191">
        <v>2200000</v>
      </c>
      <c r="D152" s="192">
        <v>0</v>
      </c>
      <c r="E152" s="192">
        <v>0</v>
      </c>
      <c r="F152" s="192">
        <v>0</v>
      </c>
      <c r="G152" s="192">
        <v>0</v>
      </c>
      <c r="H152" s="192">
        <v>0</v>
      </c>
      <c r="I152" s="192">
        <v>0</v>
      </c>
      <c r="J152" s="192">
        <v>0</v>
      </c>
      <c r="K152" s="192">
        <v>0</v>
      </c>
      <c r="L152" s="192">
        <v>0</v>
      </c>
      <c r="M152" s="192">
        <v>0</v>
      </c>
      <c r="N152" s="192">
        <v>0</v>
      </c>
      <c r="O152" s="192">
        <v>0</v>
      </c>
      <c r="P152" s="192">
        <v>0</v>
      </c>
      <c r="Q152" s="192">
        <v>0</v>
      </c>
      <c r="R152" s="192">
        <v>0</v>
      </c>
      <c r="S152" s="192">
        <v>0</v>
      </c>
      <c r="T152" s="192">
        <v>0</v>
      </c>
      <c r="U152" s="192">
        <v>0</v>
      </c>
      <c r="V152" s="192">
        <v>0</v>
      </c>
      <c r="W152" s="192">
        <v>0</v>
      </c>
      <c r="X152" s="192">
        <v>0</v>
      </c>
      <c r="Y152" s="192">
        <v>0</v>
      </c>
      <c r="Z152" s="192">
        <v>0</v>
      </c>
      <c r="AA152" s="192">
        <v>0</v>
      </c>
      <c r="AB152" s="192">
        <v>0</v>
      </c>
      <c r="AC152" s="192">
        <v>0</v>
      </c>
      <c r="AD152" s="192">
        <v>0</v>
      </c>
      <c r="AE152" s="192">
        <v>0</v>
      </c>
      <c r="AF152" s="193">
        <v>0</v>
      </c>
      <c r="AG152" s="193">
        <v>0</v>
      </c>
      <c r="AH152" s="193">
        <v>0</v>
      </c>
      <c r="AI152" s="193">
        <v>0</v>
      </c>
      <c r="AJ152" s="193">
        <v>0</v>
      </c>
      <c r="AK152" s="193">
        <v>0</v>
      </c>
      <c r="AL152" s="193">
        <v>0</v>
      </c>
      <c r="AM152" s="193">
        <v>0</v>
      </c>
      <c r="AN152" s="193">
        <v>0</v>
      </c>
      <c r="AO152" s="193">
        <v>0</v>
      </c>
      <c r="AP152" s="193">
        <v>0</v>
      </c>
      <c r="AQ152" s="193">
        <v>0</v>
      </c>
      <c r="AR152" s="193">
        <v>0</v>
      </c>
      <c r="AS152" s="193">
        <v>0</v>
      </c>
      <c r="AT152" s="193">
        <v>0</v>
      </c>
      <c r="AU152" s="193">
        <v>0</v>
      </c>
      <c r="AV152" s="193">
        <v>0</v>
      </c>
      <c r="AW152" s="193">
        <v>0</v>
      </c>
      <c r="AX152" s="193">
        <v>0</v>
      </c>
      <c r="AY152" s="193">
        <v>0</v>
      </c>
      <c r="AZ152" s="193">
        <v>0</v>
      </c>
      <c r="BA152" s="193">
        <v>0</v>
      </c>
      <c r="BB152" s="193">
        <v>0</v>
      </c>
      <c r="BC152" s="193">
        <v>0</v>
      </c>
      <c r="BD152" s="193">
        <v>0</v>
      </c>
      <c r="BE152" s="193">
        <v>0</v>
      </c>
      <c r="BF152" s="193">
        <v>0</v>
      </c>
      <c r="BG152" s="193">
        <v>0</v>
      </c>
      <c r="BH152" s="193">
        <v>0</v>
      </c>
    </row>
    <row r="153" spans="1:60" s="188" customFormat="1">
      <c r="A153" s="189">
        <v>-21</v>
      </c>
      <c r="B153" s="190" t="s">
        <v>963</v>
      </c>
      <c r="C153" s="191">
        <v>2500000</v>
      </c>
      <c r="D153" s="192">
        <v>0</v>
      </c>
      <c r="E153" s="192">
        <v>0</v>
      </c>
      <c r="F153" s="192">
        <v>0</v>
      </c>
      <c r="G153" s="192">
        <v>0</v>
      </c>
      <c r="H153" s="192">
        <v>0</v>
      </c>
      <c r="I153" s="192">
        <v>0</v>
      </c>
      <c r="J153" s="192">
        <v>0</v>
      </c>
      <c r="K153" s="192">
        <v>0</v>
      </c>
      <c r="L153" s="192">
        <v>0</v>
      </c>
      <c r="M153" s="192">
        <v>0</v>
      </c>
      <c r="N153" s="192">
        <v>0</v>
      </c>
      <c r="O153" s="192">
        <v>0</v>
      </c>
      <c r="P153" s="192">
        <v>0</v>
      </c>
      <c r="Q153" s="192">
        <v>0</v>
      </c>
      <c r="R153" s="192">
        <v>0</v>
      </c>
      <c r="S153" s="192">
        <v>0</v>
      </c>
      <c r="T153" s="192">
        <v>0</v>
      </c>
      <c r="U153" s="192">
        <v>0</v>
      </c>
      <c r="V153" s="192">
        <v>0</v>
      </c>
      <c r="W153" s="192">
        <v>0</v>
      </c>
      <c r="X153" s="192">
        <v>0</v>
      </c>
      <c r="Y153" s="192">
        <v>0</v>
      </c>
      <c r="Z153" s="192">
        <v>0</v>
      </c>
      <c r="AA153" s="192">
        <v>0</v>
      </c>
      <c r="AB153" s="192">
        <v>0</v>
      </c>
      <c r="AC153" s="192">
        <v>0</v>
      </c>
      <c r="AD153" s="192">
        <v>0</v>
      </c>
      <c r="AE153" s="192">
        <v>0</v>
      </c>
      <c r="AF153" s="193">
        <v>0</v>
      </c>
      <c r="AG153" s="193">
        <v>0</v>
      </c>
      <c r="AH153" s="193">
        <v>0</v>
      </c>
      <c r="AI153" s="193">
        <v>0</v>
      </c>
      <c r="AJ153" s="193">
        <v>0</v>
      </c>
      <c r="AK153" s="193">
        <v>0</v>
      </c>
      <c r="AL153" s="193">
        <v>0</v>
      </c>
      <c r="AM153" s="193">
        <v>0</v>
      </c>
      <c r="AN153" s="193">
        <v>0</v>
      </c>
      <c r="AO153" s="193">
        <v>0</v>
      </c>
      <c r="AP153" s="193">
        <v>0</v>
      </c>
      <c r="AQ153" s="193">
        <v>0</v>
      </c>
      <c r="AR153" s="193">
        <v>0</v>
      </c>
      <c r="AS153" s="193">
        <v>0</v>
      </c>
      <c r="AT153" s="193">
        <v>0</v>
      </c>
      <c r="AU153" s="193">
        <v>0</v>
      </c>
      <c r="AV153" s="193">
        <v>0</v>
      </c>
      <c r="AW153" s="193">
        <v>0</v>
      </c>
      <c r="AX153" s="193">
        <v>0</v>
      </c>
      <c r="AY153" s="193">
        <v>0</v>
      </c>
      <c r="AZ153" s="193">
        <v>0</v>
      </c>
      <c r="BA153" s="193">
        <v>0</v>
      </c>
      <c r="BB153" s="193">
        <v>0</v>
      </c>
      <c r="BC153" s="193">
        <v>0</v>
      </c>
      <c r="BD153" s="193">
        <v>0</v>
      </c>
      <c r="BE153" s="193">
        <v>0</v>
      </c>
      <c r="BF153" s="193">
        <v>0</v>
      </c>
      <c r="BG153" s="193">
        <v>0</v>
      </c>
      <c r="BH153" s="193">
        <v>0</v>
      </c>
    </row>
    <row r="154" spans="1:60" s="188" customFormat="1">
      <c r="A154" s="189">
        <v>-22</v>
      </c>
      <c r="B154" s="194" t="s">
        <v>964</v>
      </c>
      <c r="C154" s="191">
        <v>3000000</v>
      </c>
      <c r="D154" s="192">
        <v>0</v>
      </c>
      <c r="E154" s="192">
        <v>0</v>
      </c>
      <c r="F154" s="192">
        <v>0</v>
      </c>
      <c r="G154" s="192">
        <v>0</v>
      </c>
      <c r="H154" s="192">
        <v>0</v>
      </c>
      <c r="I154" s="192">
        <v>0</v>
      </c>
      <c r="J154" s="192">
        <v>0</v>
      </c>
      <c r="K154" s="192">
        <v>0</v>
      </c>
      <c r="L154" s="192">
        <v>0</v>
      </c>
      <c r="M154" s="192">
        <v>0</v>
      </c>
      <c r="N154" s="192">
        <v>0</v>
      </c>
      <c r="O154" s="192">
        <v>0</v>
      </c>
      <c r="P154" s="192">
        <v>0</v>
      </c>
      <c r="Q154" s="192">
        <v>0</v>
      </c>
      <c r="R154" s="192">
        <v>0</v>
      </c>
      <c r="S154" s="192">
        <v>0</v>
      </c>
      <c r="T154" s="192">
        <v>0</v>
      </c>
      <c r="U154" s="192">
        <v>0</v>
      </c>
      <c r="V154" s="192">
        <v>0</v>
      </c>
      <c r="W154" s="192">
        <v>0</v>
      </c>
      <c r="X154" s="192">
        <v>0</v>
      </c>
      <c r="Y154" s="192">
        <v>0</v>
      </c>
      <c r="Z154" s="192">
        <v>0</v>
      </c>
      <c r="AA154" s="192">
        <v>0</v>
      </c>
      <c r="AB154" s="192">
        <v>0</v>
      </c>
      <c r="AC154" s="192">
        <v>0</v>
      </c>
      <c r="AD154" s="192">
        <v>0</v>
      </c>
      <c r="AE154" s="192">
        <v>0</v>
      </c>
      <c r="AF154" s="193">
        <v>0</v>
      </c>
      <c r="AG154" s="193">
        <v>0</v>
      </c>
      <c r="AH154" s="193">
        <v>0</v>
      </c>
      <c r="AI154" s="193">
        <v>0</v>
      </c>
      <c r="AJ154" s="193">
        <v>0</v>
      </c>
      <c r="AK154" s="193">
        <v>0</v>
      </c>
      <c r="AL154" s="193">
        <v>0</v>
      </c>
      <c r="AM154" s="193">
        <v>0</v>
      </c>
      <c r="AN154" s="193">
        <v>0</v>
      </c>
      <c r="AO154" s="193">
        <v>0</v>
      </c>
      <c r="AP154" s="193">
        <v>0</v>
      </c>
      <c r="AQ154" s="193">
        <v>0</v>
      </c>
      <c r="AR154" s="193">
        <v>0</v>
      </c>
      <c r="AS154" s="193">
        <v>0</v>
      </c>
      <c r="AT154" s="193">
        <v>0</v>
      </c>
      <c r="AU154" s="193">
        <v>0</v>
      </c>
      <c r="AV154" s="193">
        <v>0</v>
      </c>
      <c r="AW154" s="193">
        <v>0</v>
      </c>
      <c r="AX154" s="193">
        <v>0</v>
      </c>
      <c r="AY154" s="193">
        <v>0</v>
      </c>
      <c r="AZ154" s="193">
        <v>0</v>
      </c>
      <c r="BA154" s="193">
        <v>0</v>
      </c>
      <c r="BB154" s="193">
        <v>0</v>
      </c>
      <c r="BC154" s="193">
        <v>0</v>
      </c>
      <c r="BD154" s="193">
        <v>0</v>
      </c>
      <c r="BE154" s="193">
        <v>0</v>
      </c>
      <c r="BF154" s="193">
        <v>0</v>
      </c>
      <c r="BG154" s="193">
        <v>0</v>
      </c>
      <c r="BH154" s="193">
        <v>0</v>
      </c>
    </row>
    <row r="155" spans="1:60" s="188" customFormat="1">
      <c r="A155" s="189">
        <v>-23</v>
      </c>
      <c r="B155" s="194" t="s">
        <v>965</v>
      </c>
      <c r="C155" s="191">
        <v>3800000</v>
      </c>
      <c r="D155" s="192">
        <v>0</v>
      </c>
      <c r="E155" s="192">
        <v>0</v>
      </c>
      <c r="F155" s="192">
        <v>0</v>
      </c>
      <c r="G155" s="192">
        <v>0</v>
      </c>
      <c r="H155" s="192">
        <v>0</v>
      </c>
      <c r="I155" s="192">
        <v>0</v>
      </c>
      <c r="J155" s="192">
        <v>0</v>
      </c>
      <c r="K155" s="192">
        <v>0</v>
      </c>
      <c r="L155" s="192">
        <v>0</v>
      </c>
      <c r="M155" s="192">
        <v>0</v>
      </c>
      <c r="N155" s="192">
        <v>0</v>
      </c>
      <c r="O155" s="192">
        <v>0</v>
      </c>
      <c r="P155" s="192">
        <v>0</v>
      </c>
      <c r="Q155" s="192">
        <v>0</v>
      </c>
      <c r="R155" s="192">
        <v>0</v>
      </c>
      <c r="S155" s="192">
        <v>0</v>
      </c>
      <c r="T155" s="192">
        <v>0</v>
      </c>
      <c r="U155" s="192">
        <v>0</v>
      </c>
      <c r="V155" s="192">
        <v>0</v>
      </c>
      <c r="W155" s="192">
        <v>0</v>
      </c>
      <c r="X155" s="192">
        <v>0</v>
      </c>
      <c r="Y155" s="192">
        <v>0</v>
      </c>
      <c r="Z155" s="192">
        <v>0</v>
      </c>
      <c r="AA155" s="192">
        <v>0</v>
      </c>
      <c r="AB155" s="192">
        <v>1</v>
      </c>
      <c r="AC155" s="192">
        <v>0</v>
      </c>
      <c r="AD155" s="192">
        <v>1</v>
      </c>
      <c r="AE155" s="192">
        <v>0</v>
      </c>
      <c r="AF155" s="193">
        <v>0</v>
      </c>
      <c r="AG155" s="193">
        <v>0</v>
      </c>
      <c r="AH155" s="193">
        <v>0</v>
      </c>
      <c r="AI155" s="193">
        <v>0</v>
      </c>
      <c r="AJ155" s="193">
        <v>0</v>
      </c>
      <c r="AK155" s="193">
        <v>0</v>
      </c>
      <c r="AL155" s="193">
        <v>0</v>
      </c>
      <c r="AM155" s="193">
        <v>0</v>
      </c>
      <c r="AN155" s="193">
        <v>0</v>
      </c>
      <c r="AO155" s="193">
        <v>0</v>
      </c>
      <c r="AP155" s="193">
        <v>0</v>
      </c>
      <c r="AQ155" s="193">
        <v>0</v>
      </c>
      <c r="AR155" s="193">
        <v>0</v>
      </c>
      <c r="AS155" s="193">
        <v>0</v>
      </c>
      <c r="AT155" s="193">
        <v>0</v>
      </c>
      <c r="AU155" s="193">
        <v>0</v>
      </c>
      <c r="AV155" s="193">
        <v>0</v>
      </c>
      <c r="AW155" s="193">
        <v>0</v>
      </c>
      <c r="AX155" s="193">
        <v>0</v>
      </c>
      <c r="AY155" s="193">
        <v>0</v>
      </c>
      <c r="AZ155" s="193">
        <v>0</v>
      </c>
      <c r="BA155" s="193">
        <v>0</v>
      </c>
      <c r="BB155" s="193">
        <v>0</v>
      </c>
      <c r="BC155" s="193">
        <v>0</v>
      </c>
      <c r="BD155" s="193">
        <v>3800000</v>
      </c>
      <c r="BE155" s="193">
        <v>0</v>
      </c>
      <c r="BF155" s="193">
        <v>3800000</v>
      </c>
      <c r="BG155" s="193">
        <v>0</v>
      </c>
      <c r="BH155" s="193">
        <v>3800000</v>
      </c>
    </row>
    <row r="156" spans="1:60" s="188" customFormat="1">
      <c r="A156" s="189">
        <v>-24</v>
      </c>
      <c r="B156" s="194" t="s">
        <v>966</v>
      </c>
      <c r="C156" s="191">
        <v>5000000</v>
      </c>
      <c r="D156" s="192">
        <v>0</v>
      </c>
      <c r="E156" s="192">
        <v>0</v>
      </c>
      <c r="F156" s="192">
        <v>0</v>
      </c>
      <c r="G156" s="192">
        <v>0</v>
      </c>
      <c r="H156" s="192">
        <v>0</v>
      </c>
      <c r="I156" s="192">
        <v>0</v>
      </c>
      <c r="J156" s="192">
        <v>0</v>
      </c>
      <c r="K156" s="192">
        <v>0</v>
      </c>
      <c r="L156" s="192">
        <v>0</v>
      </c>
      <c r="M156" s="192">
        <v>0</v>
      </c>
      <c r="N156" s="192">
        <v>0</v>
      </c>
      <c r="O156" s="192">
        <v>0</v>
      </c>
      <c r="P156" s="192">
        <v>0</v>
      </c>
      <c r="Q156" s="192">
        <v>0</v>
      </c>
      <c r="R156" s="192">
        <v>0</v>
      </c>
      <c r="S156" s="192">
        <v>0</v>
      </c>
      <c r="T156" s="192">
        <v>0</v>
      </c>
      <c r="U156" s="192">
        <v>0</v>
      </c>
      <c r="V156" s="192">
        <v>0</v>
      </c>
      <c r="W156" s="192">
        <v>0</v>
      </c>
      <c r="X156" s="192">
        <v>0</v>
      </c>
      <c r="Y156" s="192">
        <v>0</v>
      </c>
      <c r="Z156" s="192">
        <v>0</v>
      </c>
      <c r="AA156" s="192">
        <v>0</v>
      </c>
      <c r="AB156" s="192">
        <v>0</v>
      </c>
      <c r="AC156" s="192">
        <v>0</v>
      </c>
      <c r="AD156" s="192">
        <v>0</v>
      </c>
      <c r="AE156" s="192">
        <v>0</v>
      </c>
      <c r="AF156" s="193">
        <v>0</v>
      </c>
      <c r="AG156" s="193">
        <v>0</v>
      </c>
      <c r="AH156" s="193">
        <v>0</v>
      </c>
      <c r="AI156" s="193">
        <v>0</v>
      </c>
      <c r="AJ156" s="193">
        <v>0</v>
      </c>
      <c r="AK156" s="193">
        <v>0</v>
      </c>
      <c r="AL156" s="193">
        <v>0</v>
      </c>
      <c r="AM156" s="193">
        <v>0</v>
      </c>
      <c r="AN156" s="193">
        <v>0</v>
      </c>
      <c r="AO156" s="193">
        <v>0</v>
      </c>
      <c r="AP156" s="193">
        <v>0</v>
      </c>
      <c r="AQ156" s="193">
        <v>0</v>
      </c>
      <c r="AR156" s="193">
        <v>0</v>
      </c>
      <c r="AS156" s="193">
        <v>0</v>
      </c>
      <c r="AT156" s="193">
        <v>0</v>
      </c>
      <c r="AU156" s="193">
        <v>0</v>
      </c>
      <c r="AV156" s="193">
        <v>0</v>
      </c>
      <c r="AW156" s="193">
        <v>0</v>
      </c>
      <c r="AX156" s="193">
        <v>0</v>
      </c>
      <c r="AY156" s="193">
        <v>0</v>
      </c>
      <c r="AZ156" s="193">
        <v>0</v>
      </c>
      <c r="BA156" s="193">
        <v>0</v>
      </c>
      <c r="BB156" s="193">
        <v>0</v>
      </c>
      <c r="BC156" s="193">
        <v>0</v>
      </c>
      <c r="BD156" s="193">
        <v>0</v>
      </c>
      <c r="BE156" s="193">
        <v>0</v>
      </c>
      <c r="BF156" s="193">
        <v>0</v>
      </c>
      <c r="BG156" s="193">
        <v>0</v>
      </c>
      <c r="BH156" s="193">
        <v>0</v>
      </c>
    </row>
    <row r="157" spans="1:60" s="188" customFormat="1">
      <c r="A157" s="189">
        <v>-25</v>
      </c>
      <c r="B157" s="194" t="s">
        <v>967</v>
      </c>
      <c r="C157" s="191">
        <v>5000000</v>
      </c>
      <c r="D157" s="192">
        <v>0</v>
      </c>
      <c r="E157" s="192">
        <v>0</v>
      </c>
      <c r="F157" s="192">
        <v>0</v>
      </c>
      <c r="G157" s="192">
        <v>0</v>
      </c>
      <c r="H157" s="192">
        <v>0</v>
      </c>
      <c r="I157" s="192">
        <v>0</v>
      </c>
      <c r="J157" s="192">
        <v>0</v>
      </c>
      <c r="K157" s="192">
        <v>0</v>
      </c>
      <c r="L157" s="192">
        <v>0</v>
      </c>
      <c r="M157" s="192">
        <v>0</v>
      </c>
      <c r="N157" s="192">
        <v>0</v>
      </c>
      <c r="O157" s="192">
        <v>0</v>
      </c>
      <c r="P157" s="192">
        <v>0</v>
      </c>
      <c r="Q157" s="192">
        <v>0</v>
      </c>
      <c r="R157" s="192">
        <v>0</v>
      </c>
      <c r="S157" s="192">
        <v>0</v>
      </c>
      <c r="T157" s="192">
        <v>0</v>
      </c>
      <c r="U157" s="192">
        <v>0</v>
      </c>
      <c r="V157" s="192">
        <v>0</v>
      </c>
      <c r="W157" s="192">
        <v>0</v>
      </c>
      <c r="X157" s="192">
        <v>0</v>
      </c>
      <c r="Y157" s="192">
        <v>0</v>
      </c>
      <c r="Z157" s="192">
        <v>0</v>
      </c>
      <c r="AA157" s="192">
        <v>0</v>
      </c>
      <c r="AB157" s="192">
        <v>0</v>
      </c>
      <c r="AC157" s="192">
        <v>0</v>
      </c>
      <c r="AD157" s="192">
        <v>0</v>
      </c>
      <c r="AE157" s="192">
        <v>0</v>
      </c>
      <c r="AF157" s="193">
        <v>0</v>
      </c>
      <c r="AG157" s="193">
        <v>0</v>
      </c>
      <c r="AH157" s="193">
        <v>0</v>
      </c>
      <c r="AI157" s="193">
        <v>0</v>
      </c>
      <c r="AJ157" s="193">
        <v>0</v>
      </c>
      <c r="AK157" s="193">
        <v>0</v>
      </c>
      <c r="AL157" s="193">
        <v>0</v>
      </c>
      <c r="AM157" s="193">
        <v>0</v>
      </c>
      <c r="AN157" s="193">
        <v>0</v>
      </c>
      <c r="AO157" s="193">
        <v>0</v>
      </c>
      <c r="AP157" s="193">
        <v>0</v>
      </c>
      <c r="AQ157" s="193">
        <v>0</v>
      </c>
      <c r="AR157" s="193">
        <v>0</v>
      </c>
      <c r="AS157" s="193">
        <v>0</v>
      </c>
      <c r="AT157" s="193">
        <v>0</v>
      </c>
      <c r="AU157" s="193">
        <v>0</v>
      </c>
      <c r="AV157" s="193">
        <v>0</v>
      </c>
      <c r="AW157" s="193">
        <v>0</v>
      </c>
      <c r="AX157" s="193">
        <v>0</v>
      </c>
      <c r="AY157" s="193">
        <v>0</v>
      </c>
      <c r="AZ157" s="193">
        <v>0</v>
      </c>
      <c r="BA157" s="193">
        <v>0</v>
      </c>
      <c r="BB157" s="193">
        <v>0</v>
      </c>
      <c r="BC157" s="193">
        <v>0</v>
      </c>
      <c r="BD157" s="193">
        <v>0</v>
      </c>
      <c r="BE157" s="193">
        <v>0</v>
      </c>
      <c r="BF157" s="193">
        <v>0</v>
      </c>
      <c r="BG157" s="193">
        <v>0</v>
      </c>
      <c r="BH157" s="193">
        <v>0</v>
      </c>
    </row>
    <row r="158" spans="1:60" s="188" customFormat="1">
      <c r="A158" s="189">
        <v>-26</v>
      </c>
      <c r="B158" s="194" t="s">
        <v>968</v>
      </c>
      <c r="C158" s="191">
        <v>5000000</v>
      </c>
      <c r="D158" s="192">
        <v>0</v>
      </c>
      <c r="E158" s="192">
        <v>0</v>
      </c>
      <c r="F158" s="192">
        <v>0</v>
      </c>
      <c r="G158" s="192">
        <v>0</v>
      </c>
      <c r="H158" s="192">
        <v>0</v>
      </c>
      <c r="I158" s="192">
        <v>0</v>
      </c>
      <c r="J158" s="192">
        <v>0</v>
      </c>
      <c r="K158" s="192">
        <v>0</v>
      </c>
      <c r="L158" s="192">
        <v>0</v>
      </c>
      <c r="M158" s="192">
        <v>0</v>
      </c>
      <c r="N158" s="192">
        <v>0</v>
      </c>
      <c r="O158" s="192">
        <v>0</v>
      </c>
      <c r="P158" s="192">
        <v>0</v>
      </c>
      <c r="Q158" s="192">
        <v>0</v>
      </c>
      <c r="R158" s="192">
        <v>0</v>
      </c>
      <c r="S158" s="192">
        <v>0</v>
      </c>
      <c r="T158" s="192">
        <v>0</v>
      </c>
      <c r="U158" s="192">
        <v>0</v>
      </c>
      <c r="V158" s="192">
        <v>0</v>
      </c>
      <c r="W158" s="192">
        <v>0</v>
      </c>
      <c r="X158" s="192">
        <v>0</v>
      </c>
      <c r="Y158" s="192">
        <v>0</v>
      </c>
      <c r="Z158" s="192">
        <v>0</v>
      </c>
      <c r="AA158" s="192">
        <v>0</v>
      </c>
      <c r="AB158" s="192">
        <v>1</v>
      </c>
      <c r="AC158" s="192">
        <v>0</v>
      </c>
      <c r="AD158" s="192">
        <v>1</v>
      </c>
      <c r="AE158" s="192">
        <v>0</v>
      </c>
      <c r="AF158" s="193">
        <v>0</v>
      </c>
      <c r="AG158" s="193">
        <v>0</v>
      </c>
      <c r="AH158" s="193">
        <v>0</v>
      </c>
      <c r="AI158" s="193">
        <v>0</v>
      </c>
      <c r="AJ158" s="193">
        <v>0</v>
      </c>
      <c r="AK158" s="193">
        <v>0</v>
      </c>
      <c r="AL158" s="193">
        <v>0</v>
      </c>
      <c r="AM158" s="193">
        <v>0</v>
      </c>
      <c r="AN158" s="193">
        <v>0</v>
      </c>
      <c r="AO158" s="193">
        <v>0</v>
      </c>
      <c r="AP158" s="193">
        <v>0</v>
      </c>
      <c r="AQ158" s="193">
        <v>0</v>
      </c>
      <c r="AR158" s="193">
        <v>0</v>
      </c>
      <c r="AS158" s="193">
        <v>0</v>
      </c>
      <c r="AT158" s="193">
        <v>0</v>
      </c>
      <c r="AU158" s="193">
        <v>0</v>
      </c>
      <c r="AV158" s="193">
        <v>0</v>
      </c>
      <c r="AW158" s="193">
        <v>0</v>
      </c>
      <c r="AX158" s="193">
        <v>0</v>
      </c>
      <c r="AY158" s="193">
        <v>0</v>
      </c>
      <c r="AZ158" s="193">
        <v>0</v>
      </c>
      <c r="BA158" s="193">
        <v>0</v>
      </c>
      <c r="BB158" s="193">
        <v>0</v>
      </c>
      <c r="BC158" s="193">
        <v>0</v>
      </c>
      <c r="BD158" s="193">
        <v>5000000</v>
      </c>
      <c r="BE158" s="193">
        <v>0</v>
      </c>
      <c r="BF158" s="193">
        <v>5000000</v>
      </c>
      <c r="BG158" s="193">
        <v>0</v>
      </c>
      <c r="BH158" s="193">
        <v>5000000</v>
      </c>
    </row>
    <row r="159" spans="1:60" s="188" customFormat="1">
      <c r="A159" s="189">
        <v>-27</v>
      </c>
      <c r="B159" s="194" t="s">
        <v>969</v>
      </c>
      <c r="C159" s="191">
        <v>5000000</v>
      </c>
      <c r="D159" s="192">
        <v>0</v>
      </c>
      <c r="E159" s="192">
        <v>0</v>
      </c>
      <c r="F159" s="192">
        <v>0</v>
      </c>
      <c r="G159" s="192">
        <v>0</v>
      </c>
      <c r="H159" s="192">
        <v>0</v>
      </c>
      <c r="I159" s="192">
        <v>0</v>
      </c>
      <c r="J159" s="192">
        <v>0</v>
      </c>
      <c r="K159" s="192">
        <v>0</v>
      </c>
      <c r="L159" s="192">
        <v>0</v>
      </c>
      <c r="M159" s="192">
        <v>0</v>
      </c>
      <c r="N159" s="192">
        <v>0</v>
      </c>
      <c r="O159" s="192">
        <v>0</v>
      </c>
      <c r="P159" s="192">
        <v>0</v>
      </c>
      <c r="Q159" s="192">
        <v>0</v>
      </c>
      <c r="R159" s="192">
        <v>0</v>
      </c>
      <c r="S159" s="192">
        <v>0</v>
      </c>
      <c r="T159" s="192">
        <v>0</v>
      </c>
      <c r="U159" s="192">
        <v>0</v>
      </c>
      <c r="V159" s="192">
        <v>0</v>
      </c>
      <c r="W159" s="192">
        <v>0</v>
      </c>
      <c r="X159" s="192">
        <v>0</v>
      </c>
      <c r="Y159" s="192">
        <v>0</v>
      </c>
      <c r="Z159" s="192">
        <v>0</v>
      </c>
      <c r="AA159" s="192">
        <v>0</v>
      </c>
      <c r="AB159" s="192">
        <v>1</v>
      </c>
      <c r="AC159" s="192">
        <v>0</v>
      </c>
      <c r="AD159" s="192">
        <v>1</v>
      </c>
      <c r="AE159" s="192">
        <v>0</v>
      </c>
      <c r="AF159" s="193">
        <v>0</v>
      </c>
      <c r="AG159" s="193">
        <v>0</v>
      </c>
      <c r="AH159" s="193">
        <v>0</v>
      </c>
      <c r="AI159" s="193">
        <v>0</v>
      </c>
      <c r="AJ159" s="193">
        <v>0</v>
      </c>
      <c r="AK159" s="193">
        <v>0</v>
      </c>
      <c r="AL159" s="193">
        <v>0</v>
      </c>
      <c r="AM159" s="193">
        <v>0</v>
      </c>
      <c r="AN159" s="193">
        <v>0</v>
      </c>
      <c r="AO159" s="193">
        <v>0</v>
      </c>
      <c r="AP159" s="193">
        <v>0</v>
      </c>
      <c r="AQ159" s="193">
        <v>0</v>
      </c>
      <c r="AR159" s="193">
        <v>0</v>
      </c>
      <c r="AS159" s="193">
        <v>0</v>
      </c>
      <c r="AT159" s="193">
        <v>0</v>
      </c>
      <c r="AU159" s="193">
        <v>0</v>
      </c>
      <c r="AV159" s="193">
        <v>0</v>
      </c>
      <c r="AW159" s="193">
        <v>0</v>
      </c>
      <c r="AX159" s="193">
        <v>0</v>
      </c>
      <c r="AY159" s="193">
        <v>0</v>
      </c>
      <c r="AZ159" s="193">
        <v>0</v>
      </c>
      <c r="BA159" s="193">
        <v>0</v>
      </c>
      <c r="BB159" s="193">
        <v>0</v>
      </c>
      <c r="BC159" s="193">
        <v>0</v>
      </c>
      <c r="BD159" s="193">
        <v>5000000</v>
      </c>
      <c r="BE159" s="193">
        <v>0</v>
      </c>
      <c r="BF159" s="193">
        <v>5000000</v>
      </c>
      <c r="BG159" s="193">
        <v>0</v>
      </c>
      <c r="BH159" s="193">
        <v>5000000</v>
      </c>
    </row>
    <row r="160" spans="1:60" s="188" customFormat="1">
      <c r="A160" s="189">
        <v>-28</v>
      </c>
      <c r="B160" s="194" t="s">
        <v>970</v>
      </c>
      <c r="C160" s="191">
        <v>10000000</v>
      </c>
      <c r="D160" s="192">
        <v>0</v>
      </c>
      <c r="E160" s="192">
        <v>0</v>
      </c>
      <c r="F160" s="192">
        <v>0</v>
      </c>
      <c r="G160" s="192">
        <v>0</v>
      </c>
      <c r="H160" s="192">
        <v>0</v>
      </c>
      <c r="I160" s="192">
        <v>0</v>
      </c>
      <c r="J160" s="192">
        <v>0</v>
      </c>
      <c r="K160" s="192">
        <v>0</v>
      </c>
      <c r="L160" s="192">
        <v>0</v>
      </c>
      <c r="M160" s="192">
        <v>0</v>
      </c>
      <c r="N160" s="192">
        <v>0</v>
      </c>
      <c r="O160" s="192">
        <v>0</v>
      </c>
      <c r="P160" s="192">
        <v>0</v>
      </c>
      <c r="Q160" s="192">
        <v>0</v>
      </c>
      <c r="R160" s="192">
        <v>0</v>
      </c>
      <c r="S160" s="192">
        <v>0</v>
      </c>
      <c r="T160" s="192">
        <v>0</v>
      </c>
      <c r="U160" s="192">
        <v>0</v>
      </c>
      <c r="V160" s="192">
        <v>0</v>
      </c>
      <c r="W160" s="192">
        <v>0</v>
      </c>
      <c r="X160" s="192">
        <v>0</v>
      </c>
      <c r="Y160" s="192">
        <v>0</v>
      </c>
      <c r="Z160" s="192">
        <v>0</v>
      </c>
      <c r="AA160" s="192">
        <v>0</v>
      </c>
      <c r="AB160" s="192">
        <v>0</v>
      </c>
      <c r="AC160" s="192">
        <v>0</v>
      </c>
      <c r="AD160" s="192">
        <v>0</v>
      </c>
      <c r="AE160" s="192">
        <v>0</v>
      </c>
      <c r="AF160" s="193">
        <v>0</v>
      </c>
      <c r="AG160" s="193">
        <v>0</v>
      </c>
      <c r="AH160" s="193">
        <v>0</v>
      </c>
      <c r="AI160" s="193">
        <v>0</v>
      </c>
      <c r="AJ160" s="193">
        <v>0</v>
      </c>
      <c r="AK160" s="193">
        <v>0</v>
      </c>
      <c r="AL160" s="193">
        <v>0</v>
      </c>
      <c r="AM160" s="193">
        <v>0</v>
      </c>
      <c r="AN160" s="193">
        <v>0</v>
      </c>
      <c r="AO160" s="193">
        <v>0</v>
      </c>
      <c r="AP160" s="193">
        <v>0</v>
      </c>
      <c r="AQ160" s="193">
        <v>0</v>
      </c>
      <c r="AR160" s="193">
        <v>0</v>
      </c>
      <c r="AS160" s="193">
        <v>0</v>
      </c>
      <c r="AT160" s="193">
        <v>0</v>
      </c>
      <c r="AU160" s="193">
        <v>0</v>
      </c>
      <c r="AV160" s="193">
        <v>0</v>
      </c>
      <c r="AW160" s="193">
        <v>0</v>
      </c>
      <c r="AX160" s="193">
        <v>0</v>
      </c>
      <c r="AY160" s="193">
        <v>0</v>
      </c>
      <c r="AZ160" s="193">
        <v>0</v>
      </c>
      <c r="BA160" s="193">
        <v>0</v>
      </c>
      <c r="BB160" s="193">
        <v>0</v>
      </c>
      <c r="BC160" s="193">
        <v>0</v>
      </c>
      <c r="BD160" s="193">
        <v>0</v>
      </c>
      <c r="BE160" s="193">
        <v>0</v>
      </c>
      <c r="BF160" s="193">
        <v>0</v>
      </c>
      <c r="BG160" s="193">
        <v>0</v>
      </c>
      <c r="BH160" s="193">
        <v>0</v>
      </c>
    </row>
    <row r="161" spans="1:60" s="188" customFormat="1">
      <c r="A161" s="189">
        <v>-29</v>
      </c>
      <c r="B161" s="194" t="s">
        <v>971</v>
      </c>
      <c r="C161" s="191">
        <v>11500000</v>
      </c>
      <c r="D161" s="192">
        <v>0</v>
      </c>
      <c r="E161" s="192">
        <v>0</v>
      </c>
      <c r="F161" s="192">
        <v>0</v>
      </c>
      <c r="G161" s="192">
        <v>0</v>
      </c>
      <c r="H161" s="192">
        <v>0</v>
      </c>
      <c r="I161" s="192">
        <v>0</v>
      </c>
      <c r="J161" s="192">
        <v>0</v>
      </c>
      <c r="K161" s="192">
        <v>0</v>
      </c>
      <c r="L161" s="192">
        <v>0</v>
      </c>
      <c r="M161" s="192">
        <v>0</v>
      </c>
      <c r="N161" s="192">
        <v>0</v>
      </c>
      <c r="O161" s="192">
        <v>0</v>
      </c>
      <c r="P161" s="192">
        <v>0</v>
      </c>
      <c r="Q161" s="192">
        <v>0</v>
      </c>
      <c r="R161" s="192">
        <v>0</v>
      </c>
      <c r="S161" s="192">
        <v>0</v>
      </c>
      <c r="T161" s="192">
        <v>0</v>
      </c>
      <c r="U161" s="192">
        <v>0</v>
      </c>
      <c r="V161" s="192">
        <v>0</v>
      </c>
      <c r="W161" s="192">
        <v>0</v>
      </c>
      <c r="X161" s="192">
        <v>0</v>
      </c>
      <c r="Y161" s="192">
        <v>0</v>
      </c>
      <c r="Z161" s="192">
        <v>0</v>
      </c>
      <c r="AA161" s="192">
        <v>0</v>
      </c>
      <c r="AB161" s="192">
        <v>0</v>
      </c>
      <c r="AC161" s="192">
        <v>0</v>
      </c>
      <c r="AD161" s="192">
        <v>0</v>
      </c>
      <c r="AE161" s="192">
        <v>0</v>
      </c>
      <c r="AF161" s="193">
        <v>0</v>
      </c>
      <c r="AG161" s="193">
        <v>0</v>
      </c>
      <c r="AH161" s="193">
        <v>0</v>
      </c>
      <c r="AI161" s="193">
        <v>0</v>
      </c>
      <c r="AJ161" s="193">
        <v>0</v>
      </c>
      <c r="AK161" s="193">
        <v>0</v>
      </c>
      <c r="AL161" s="193">
        <v>0</v>
      </c>
      <c r="AM161" s="193">
        <v>0</v>
      </c>
      <c r="AN161" s="193">
        <v>0</v>
      </c>
      <c r="AO161" s="193">
        <v>0</v>
      </c>
      <c r="AP161" s="193">
        <v>0</v>
      </c>
      <c r="AQ161" s="193">
        <v>0</v>
      </c>
      <c r="AR161" s="193">
        <v>0</v>
      </c>
      <c r="AS161" s="193">
        <v>0</v>
      </c>
      <c r="AT161" s="193">
        <v>0</v>
      </c>
      <c r="AU161" s="193">
        <v>0</v>
      </c>
      <c r="AV161" s="193">
        <v>0</v>
      </c>
      <c r="AW161" s="193">
        <v>0</v>
      </c>
      <c r="AX161" s="193">
        <v>0</v>
      </c>
      <c r="AY161" s="193">
        <v>0</v>
      </c>
      <c r="AZ161" s="193">
        <v>0</v>
      </c>
      <c r="BA161" s="193">
        <v>0</v>
      </c>
      <c r="BB161" s="193">
        <v>0</v>
      </c>
      <c r="BC161" s="193">
        <v>0</v>
      </c>
      <c r="BD161" s="193">
        <v>0</v>
      </c>
      <c r="BE161" s="193">
        <v>0</v>
      </c>
      <c r="BF161" s="193">
        <v>0</v>
      </c>
      <c r="BG161" s="193">
        <v>0</v>
      </c>
      <c r="BH161" s="193">
        <v>0</v>
      </c>
    </row>
    <row r="162" spans="1:60" s="188" customFormat="1">
      <c r="A162" s="189">
        <v>-30</v>
      </c>
      <c r="B162" s="194" t="s">
        <v>972</v>
      </c>
      <c r="C162" s="191">
        <v>12650000</v>
      </c>
      <c r="D162" s="192">
        <v>0</v>
      </c>
      <c r="E162" s="192">
        <v>0</v>
      </c>
      <c r="F162" s="192">
        <v>0</v>
      </c>
      <c r="G162" s="192">
        <v>0</v>
      </c>
      <c r="H162" s="192">
        <v>0</v>
      </c>
      <c r="I162" s="192">
        <v>0</v>
      </c>
      <c r="J162" s="192">
        <v>0</v>
      </c>
      <c r="K162" s="192">
        <v>0</v>
      </c>
      <c r="L162" s="192">
        <v>0</v>
      </c>
      <c r="M162" s="192">
        <v>0</v>
      </c>
      <c r="N162" s="192">
        <v>0</v>
      </c>
      <c r="O162" s="192">
        <v>0</v>
      </c>
      <c r="P162" s="192">
        <v>0</v>
      </c>
      <c r="Q162" s="192">
        <v>0</v>
      </c>
      <c r="R162" s="192">
        <v>0</v>
      </c>
      <c r="S162" s="192">
        <v>0</v>
      </c>
      <c r="T162" s="192">
        <v>0</v>
      </c>
      <c r="U162" s="192">
        <v>0</v>
      </c>
      <c r="V162" s="192">
        <v>0</v>
      </c>
      <c r="W162" s="192">
        <v>0</v>
      </c>
      <c r="X162" s="192">
        <v>0</v>
      </c>
      <c r="Y162" s="192">
        <v>0</v>
      </c>
      <c r="Z162" s="192">
        <v>0</v>
      </c>
      <c r="AA162" s="192">
        <v>0</v>
      </c>
      <c r="AB162" s="192">
        <v>0</v>
      </c>
      <c r="AC162" s="192">
        <v>0</v>
      </c>
      <c r="AD162" s="192">
        <v>0</v>
      </c>
      <c r="AE162" s="192">
        <v>0</v>
      </c>
      <c r="AF162" s="193">
        <v>0</v>
      </c>
      <c r="AG162" s="193">
        <v>0</v>
      </c>
      <c r="AH162" s="193">
        <v>0</v>
      </c>
      <c r="AI162" s="193">
        <v>0</v>
      </c>
      <c r="AJ162" s="193">
        <v>0</v>
      </c>
      <c r="AK162" s="193">
        <v>0</v>
      </c>
      <c r="AL162" s="193">
        <v>0</v>
      </c>
      <c r="AM162" s="193">
        <v>0</v>
      </c>
      <c r="AN162" s="193">
        <v>0</v>
      </c>
      <c r="AO162" s="193">
        <v>0</v>
      </c>
      <c r="AP162" s="193">
        <v>0</v>
      </c>
      <c r="AQ162" s="193">
        <v>0</v>
      </c>
      <c r="AR162" s="193">
        <v>0</v>
      </c>
      <c r="AS162" s="193">
        <v>0</v>
      </c>
      <c r="AT162" s="193">
        <v>0</v>
      </c>
      <c r="AU162" s="193">
        <v>0</v>
      </c>
      <c r="AV162" s="193">
        <v>0</v>
      </c>
      <c r="AW162" s="193">
        <v>0</v>
      </c>
      <c r="AX162" s="193">
        <v>0</v>
      </c>
      <c r="AY162" s="193">
        <v>0</v>
      </c>
      <c r="AZ162" s="193">
        <v>0</v>
      </c>
      <c r="BA162" s="193">
        <v>0</v>
      </c>
      <c r="BB162" s="193">
        <v>0</v>
      </c>
      <c r="BC162" s="193">
        <v>0</v>
      </c>
      <c r="BD162" s="193">
        <v>0</v>
      </c>
      <c r="BE162" s="193">
        <v>0</v>
      </c>
      <c r="BF162" s="193">
        <v>0</v>
      </c>
      <c r="BG162" s="193">
        <v>0</v>
      </c>
      <c r="BH162" s="193">
        <v>0</v>
      </c>
    </row>
    <row r="163" spans="1:60" s="188" customFormat="1">
      <c r="A163" s="189">
        <v>-31</v>
      </c>
      <c r="B163" s="194" t="s">
        <v>973</v>
      </c>
      <c r="C163" s="191">
        <v>26000000</v>
      </c>
      <c r="D163" s="192">
        <v>0</v>
      </c>
      <c r="E163" s="192">
        <v>0</v>
      </c>
      <c r="F163" s="192">
        <v>0</v>
      </c>
      <c r="G163" s="192">
        <v>0</v>
      </c>
      <c r="H163" s="192">
        <v>0</v>
      </c>
      <c r="I163" s="192">
        <v>0</v>
      </c>
      <c r="J163" s="192">
        <v>0</v>
      </c>
      <c r="K163" s="192">
        <v>0</v>
      </c>
      <c r="L163" s="192">
        <v>0</v>
      </c>
      <c r="M163" s="192">
        <v>0</v>
      </c>
      <c r="N163" s="192">
        <v>0</v>
      </c>
      <c r="O163" s="192">
        <v>0</v>
      </c>
      <c r="P163" s="192">
        <v>0</v>
      </c>
      <c r="Q163" s="192">
        <v>0</v>
      </c>
      <c r="R163" s="192">
        <v>0</v>
      </c>
      <c r="S163" s="192">
        <v>0</v>
      </c>
      <c r="T163" s="192">
        <v>0</v>
      </c>
      <c r="U163" s="192">
        <v>0</v>
      </c>
      <c r="V163" s="192">
        <v>0</v>
      </c>
      <c r="W163" s="192">
        <v>0</v>
      </c>
      <c r="X163" s="192">
        <v>0</v>
      </c>
      <c r="Y163" s="192">
        <v>0</v>
      </c>
      <c r="Z163" s="192">
        <v>0</v>
      </c>
      <c r="AA163" s="192">
        <v>0</v>
      </c>
      <c r="AB163" s="192">
        <v>0</v>
      </c>
      <c r="AC163" s="192">
        <v>0</v>
      </c>
      <c r="AD163" s="192">
        <v>0</v>
      </c>
      <c r="AE163" s="192">
        <v>0</v>
      </c>
      <c r="AF163" s="193">
        <v>0</v>
      </c>
      <c r="AG163" s="193">
        <v>0</v>
      </c>
      <c r="AH163" s="193">
        <v>0</v>
      </c>
      <c r="AI163" s="193">
        <v>0</v>
      </c>
      <c r="AJ163" s="193">
        <v>0</v>
      </c>
      <c r="AK163" s="193">
        <v>0</v>
      </c>
      <c r="AL163" s="193">
        <v>0</v>
      </c>
      <c r="AM163" s="193">
        <v>0</v>
      </c>
      <c r="AN163" s="193">
        <v>0</v>
      </c>
      <c r="AO163" s="193">
        <v>0</v>
      </c>
      <c r="AP163" s="193">
        <v>0</v>
      </c>
      <c r="AQ163" s="193">
        <v>0</v>
      </c>
      <c r="AR163" s="193">
        <v>0</v>
      </c>
      <c r="AS163" s="193">
        <v>0</v>
      </c>
      <c r="AT163" s="193">
        <v>0</v>
      </c>
      <c r="AU163" s="193">
        <v>0</v>
      </c>
      <c r="AV163" s="193">
        <v>0</v>
      </c>
      <c r="AW163" s="193">
        <v>0</v>
      </c>
      <c r="AX163" s="193">
        <v>0</v>
      </c>
      <c r="AY163" s="193">
        <v>0</v>
      </c>
      <c r="AZ163" s="193">
        <v>0</v>
      </c>
      <c r="BA163" s="193">
        <v>0</v>
      </c>
      <c r="BB163" s="193">
        <v>0</v>
      </c>
      <c r="BC163" s="193">
        <v>0</v>
      </c>
      <c r="BD163" s="193">
        <v>0</v>
      </c>
      <c r="BE163" s="193">
        <v>0</v>
      </c>
      <c r="BF163" s="193">
        <v>0</v>
      </c>
      <c r="BG163" s="193">
        <v>0</v>
      </c>
      <c r="BH163" s="193">
        <v>0</v>
      </c>
    </row>
    <row r="164" spans="1:60" s="188" customFormat="1">
      <c r="A164" s="189">
        <v>-32</v>
      </c>
      <c r="B164" s="194" t="s">
        <v>974</v>
      </c>
      <c r="C164" s="191">
        <v>30000000</v>
      </c>
      <c r="D164" s="192">
        <v>0</v>
      </c>
      <c r="E164" s="192">
        <v>0</v>
      </c>
      <c r="F164" s="192">
        <v>0</v>
      </c>
      <c r="G164" s="192">
        <v>0</v>
      </c>
      <c r="H164" s="192">
        <v>0</v>
      </c>
      <c r="I164" s="192">
        <v>0</v>
      </c>
      <c r="J164" s="192">
        <v>0</v>
      </c>
      <c r="K164" s="192">
        <v>0</v>
      </c>
      <c r="L164" s="192">
        <v>0</v>
      </c>
      <c r="M164" s="192">
        <v>0</v>
      </c>
      <c r="N164" s="192">
        <v>0</v>
      </c>
      <c r="O164" s="192">
        <v>0</v>
      </c>
      <c r="P164" s="192">
        <v>0</v>
      </c>
      <c r="Q164" s="192">
        <v>0</v>
      </c>
      <c r="R164" s="192">
        <v>0</v>
      </c>
      <c r="S164" s="192">
        <v>0</v>
      </c>
      <c r="T164" s="192">
        <v>0</v>
      </c>
      <c r="U164" s="192">
        <v>0</v>
      </c>
      <c r="V164" s="192">
        <v>0</v>
      </c>
      <c r="W164" s="192">
        <v>0</v>
      </c>
      <c r="X164" s="192">
        <v>0</v>
      </c>
      <c r="Y164" s="192">
        <v>0</v>
      </c>
      <c r="Z164" s="192">
        <v>0</v>
      </c>
      <c r="AA164" s="192">
        <v>0</v>
      </c>
      <c r="AB164" s="192">
        <v>0</v>
      </c>
      <c r="AC164" s="192">
        <v>0</v>
      </c>
      <c r="AD164" s="192">
        <v>0</v>
      </c>
      <c r="AE164" s="192">
        <v>0</v>
      </c>
      <c r="AF164" s="193">
        <v>0</v>
      </c>
      <c r="AG164" s="193">
        <v>0</v>
      </c>
      <c r="AH164" s="193">
        <v>0</v>
      </c>
      <c r="AI164" s="193">
        <v>0</v>
      </c>
      <c r="AJ164" s="193">
        <v>0</v>
      </c>
      <c r="AK164" s="193">
        <v>0</v>
      </c>
      <c r="AL164" s="193">
        <v>0</v>
      </c>
      <c r="AM164" s="193">
        <v>0</v>
      </c>
      <c r="AN164" s="193">
        <v>0</v>
      </c>
      <c r="AO164" s="193">
        <v>0</v>
      </c>
      <c r="AP164" s="193">
        <v>0</v>
      </c>
      <c r="AQ164" s="193">
        <v>0</v>
      </c>
      <c r="AR164" s="193">
        <v>0</v>
      </c>
      <c r="AS164" s="193">
        <v>0</v>
      </c>
      <c r="AT164" s="193">
        <v>0</v>
      </c>
      <c r="AU164" s="193">
        <v>0</v>
      </c>
      <c r="AV164" s="193">
        <v>0</v>
      </c>
      <c r="AW164" s="193">
        <v>0</v>
      </c>
      <c r="AX164" s="193">
        <v>0</v>
      </c>
      <c r="AY164" s="193">
        <v>0</v>
      </c>
      <c r="AZ164" s="193">
        <v>0</v>
      </c>
      <c r="BA164" s="193">
        <v>0</v>
      </c>
      <c r="BB164" s="193">
        <v>0</v>
      </c>
      <c r="BC164" s="193">
        <v>0</v>
      </c>
      <c r="BD164" s="193">
        <v>0</v>
      </c>
      <c r="BE164" s="193">
        <v>0</v>
      </c>
      <c r="BF164" s="193">
        <v>0</v>
      </c>
      <c r="BG164" s="193">
        <v>0</v>
      </c>
      <c r="BH164" s="193">
        <v>0</v>
      </c>
    </row>
    <row r="165" spans="1:60" s="188" customFormat="1">
      <c r="A165" s="189">
        <v>-33</v>
      </c>
      <c r="B165" s="194" t="s">
        <v>975</v>
      </c>
      <c r="C165" s="191">
        <v>40000000</v>
      </c>
      <c r="D165" s="192">
        <v>0</v>
      </c>
      <c r="E165" s="192">
        <v>0</v>
      </c>
      <c r="F165" s="192">
        <v>0</v>
      </c>
      <c r="G165" s="192">
        <v>0</v>
      </c>
      <c r="H165" s="192">
        <v>0</v>
      </c>
      <c r="I165" s="192">
        <v>0</v>
      </c>
      <c r="J165" s="192">
        <v>0</v>
      </c>
      <c r="K165" s="192">
        <v>0</v>
      </c>
      <c r="L165" s="192">
        <v>0</v>
      </c>
      <c r="M165" s="192">
        <v>0</v>
      </c>
      <c r="N165" s="192">
        <v>0</v>
      </c>
      <c r="O165" s="192">
        <v>0</v>
      </c>
      <c r="P165" s="192">
        <v>0</v>
      </c>
      <c r="Q165" s="192">
        <v>0</v>
      </c>
      <c r="R165" s="192">
        <v>0</v>
      </c>
      <c r="S165" s="192">
        <v>0</v>
      </c>
      <c r="T165" s="192">
        <v>0</v>
      </c>
      <c r="U165" s="192">
        <v>0</v>
      </c>
      <c r="V165" s="192">
        <v>0</v>
      </c>
      <c r="W165" s="192">
        <v>0</v>
      </c>
      <c r="X165" s="192">
        <v>0</v>
      </c>
      <c r="Y165" s="192">
        <v>0</v>
      </c>
      <c r="Z165" s="192">
        <v>0</v>
      </c>
      <c r="AA165" s="192">
        <v>0</v>
      </c>
      <c r="AB165" s="192">
        <v>1</v>
      </c>
      <c r="AC165" s="192">
        <v>0</v>
      </c>
      <c r="AD165" s="192">
        <v>1</v>
      </c>
      <c r="AE165" s="192">
        <v>0</v>
      </c>
      <c r="AF165" s="193">
        <v>0</v>
      </c>
      <c r="AG165" s="193">
        <v>0</v>
      </c>
      <c r="AH165" s="193">
        <v>0</v>
      </c>
      <c r="AI165" s="193">
        <v>0</v>
      </c>
      <c r="AJ165" s="193">
        <v>0</v>
      </c>
      <c r="AK165" s="193">
        <v>0</v>
      </c>
      <c r="AL165" s="193">
        <v>0</v>
      </c>
      <c r="AM165" s="193">
        <v>0</v>
      </c>
      <c r="AN165" s="193">
        <v>0</v>
      </c>
      <c r="AO165" s="193">
        <v>0</v>
      </c>
      <c r="AP165" s="193">
        <v>0</v>
      </c>
      <c r="AQ165" s="193">
        <v>0</v>
      </c>
      <c r="AR165" s="193">
        <v>0</v>
      </c>
      <c r="AS165" s="193">
        <v>0</v>
      </c>
      <c r="AT165" s="193">
        <v>0</v>
      </c>
      <c r="AU165" s="193">
        <v>0</v>
      </c>
      <c r="AV165" s="193">
        <v>0</v>
      </c>
      <c r="AW165" s="193">
        <v>0</v>
      </c>
      <c r="AX165" s="193">
        <v>0</v>
      </c>
      <c r="AY165" s="193">
        <v>0</v>
      </c>
      <c r="AZ165" s="193">
        <v>0</v>
      </c>
      <c r="BA165" s="193">
        <v>0</v>
      </c>
      <c r="BB165" s="193">
        <v>0</v>
      </c>
      <c r="BC165" s="193">
        <v>0</v>
      </c>
      <c r="BD165" s="193">
        <v>40000000</v>
      </c>
      <c r="BE165" s="193">
        <v>0</v>
      </c>
      <c r="BF165" s="193">
        <v>40000000</v>
      </c>
      <c r="BG165" s="193">
        <v>0</v>
      </c>
      <c r="BH165" s="193">
        <v>40000000</v>
      </c>
    </row>
    <row r="166" spans="1:60" s="188" customFormat="1">
      <c r="A166" s="189">
        <v>-34</v>
      </c>
      <c r="B166" s="194" t="s">
        <v>976</v>
      </c>
      <c r="C166" s="191">
        <v>60000000</v>
      </c>
      <c r="D166" s="192">
        <v>0</v>
      </c>
      <c r="E166" s="192">
        <v>0</v>
      </c>
      <c r="F166" s="192">
        <v>0</v>
      </c>
      <c r="G166" s="192">
        <v>0</v>
      </c>
      <c r="H166" s="192">
        <v>0</v>
      </c>
      <c r="I166" s="192">
        <v>0</v>
      </c>
      <c r="J166" s="192">
        <v>0</v>
      </c>
      <c r="K166" s="192">
        <v>0</v>
      </c>
      <c r="L166" s="192">
        <v>0</v>
      </c>
      <c r="M166" s="192">
        <v>0</v>
      </c>
      <c r="N166" s="192">
        <v>0</v>
      </c>
      <c r="O166" s="192">
        <v>0</v>
      </c>
      <c r="P166" s="192">
        <v>0</v>
      </c>
      <c r="Q166" s="192">
        <v>0</v>
      </c>
      <c r="R166" s="192">
        <v>0</v>
      </c>
      <c r="S166" s="192">
        <v>0</v>
      </c>
      <c r="T166" s="192">
        <v>0</v>
      </c>
      <c r="U166" s="192">
        <v>0</v>
      </c>
      <c r="V166" s="192">
        <v>0</v>
      </c>
      <c r="W166" s="192">
        <v>0</v>
      </c>
      <c r="X166" s="192">
        <v>0</v>
      </c>
      <c r="Y166" s="192">
        <v>0</v>
      </c>
      <c r="Z166" s="192">
        <v>0</v>
      </c>
      <c r="AA166" s="192">
        <v>0</v>
      </c>
      <c r="AB166" s="192">
        <v>0</v>
      </c>
      <c r="AC166" s="192">
        <v>0</v>
      </c>
      <c r="AD166" s="192">
        <v>0</v>
      </c>
      <c r="AE166" s="192">
        <v>0</v>
      </c>
      <c r="AF166" s="193">
        <v>0</v>
      </c>
      <c r="AG166" s="193">
        <v>0</v>
      </c>
      <c r="AH166" s="193">
        <v>0</v>
      </c>
      <c r="AI166" s="193">
        <v>0</v>
      </c>
      <c r="AJ166" s="193">
        <v>0</v>
      </c>
      <c r="AK166" s="193">
        <v>0</v>
      </c>
      <c r="AL166" s="193">
        <v>0</v>
      </c>
      <c r="AM166" s="193">
        <v>0</v>
      </c>
      <c r="AN166" s="193">
        <v>0</v>
      </c>
      <c r="AO166" s="193">
        <v>0</v>
      </c>
      <c r="AP166" s="193">
        <v>0</v>
      </c>
      <c r="AQ166" s="193">
        <v>0</v>
      </c>
      <c r="AR166" s="193">
        <v>0</v>
      </c>
      <c r="AS166" s="193">
        <v>0</v>
      </c>
      <c r="AT166" s="193">
        <v>0</v>
      </c>
      <c r="AU166" s="193">
        <v>0</v>
      </c>
      <c r="AV166" s="193">
        <v>0</v>
      </c>
      <c r="AW166" s="193">
        <v>0</v>
      </c>
      <c r="AX166" s="193">
        <v>0</v>
      </c>
      <c r="AY166" s="193">
        <v>0</v>
      </c>
      <c r="AZ166" s="193">
        <v>0</v>
      </c>
      <c r="BA166" s="193">
        <v>0</v>
      </c>
      <c r="BB166" s="193">
        <v>0</v>
      </c>
      <c r="BC166" s="193">
        <v>0</v>
      </c>
      <c r="BD166" s="193">
        <v>0</v>
      </c>
      <c r="BE166" s="193">
        <v>0</v>
      </c>
      <c r="BF166" s="193">
        <v>0</v>
      </c>
      <c r="BG166" s="193">
        <v>0</v>
      </c>
      <c r="BH166" s="193">
        <v>0</v>
      </c>
    </row>
    <row r="167" spans="1:60" collapsed="1">
      <c r="A167" s="196"/>
      <c r="B167" s="194" t="s">
        <v>977</v>
      </c>
      <c r="C167" s="196"/>
      <c r="D167" s="192">
        <v>0</v>
      </c>
      <c r="E167" s="192">
        <v>0</v>
      </c>
      <c r="F167" s="192">
        <v>0</v>
      </c>
      <c r="G167" s="192">
        <v>0</v>
      </c>
      <c r="H167" s="192">
        <v>0</v>
      </c>
      <c r="I167" s="192">
        <v>0</v>
      </c>
      <c r="J167" s="192">
        <v>0</v>
      </c>
      <c r="K167" s="192">
        <v>0</v>
      </c>
      <c r="L167" s="192">
        <v>0</v>
      </c>
      <c r="M167" s="192">
        <v>0</v>
      </c>
      <c r="N167" s="192">
        <v>0</v>
      </c>
      <c r="O167" s="192">
        <v>0</v>
      </c>
      <c r="P167" s="192">
        <v>0</v>
      </c>
      <c r="Q167" s="192">
        <v>0</v>
      </c>
      <c r="R167" s="192">
        <v>0</v>
      </c>
      <c r="S167" s="192">
        <v>0</v>
      </c>
      <c r="T167" s="192">
        <v>0</v>
      </c>
      <c r="U167" s="192">
        <v>0</v>
      </c>
      <c r="V167" s="192">
        <v>0</v>
      </c>
      <c r="W167" s="192">
        <v>0</v>
      </c>
      <c r="X167" s="192">
        <v>0</v>
      </c>
      <c r="Y167" s="192">
        <v>0</v>
      </c>
      <c r="Z167" s="192">
        <v>0</v>
      </c>
      <c r="AA167" s="192">
        <v>0</v>
      </c>
      <c r="AB167" s="192">
        <v>12</v>
      </c>
      <c r="AC167" s="192">
        <v>0</v>
      </c>
      <c r="AD167" s="192">
        <v>12</v>
      </c>
      <c r="AE167" s="192">
        <v>0</v>
      </c>
      <c r="AF167" s="193">
        <v>0</v>
      </c>
      <c r="AG167" s="193">
        <v>0</v>
      </c>
      <c r="AH167" s="193">
        <v>0</v>
      </c>
      <c r="AI167" s="193">
        <v>0</v>
      </c>
      <c r="AJ167" s="193">
        <v>0</v>
      </c>
      <c r="AK167" s="193">
        <v>0</v>
      </c>
      <c r="AL167" s="193">
        <v>0</v>
      </c>
      <c r="AM167" s="193">
        <v>0</v>
      </c>
      <c r="AN167" s="193">
        <v>0</v>
      </c>
      <c r="AO167" s="193">
        <v>0</v>
      </c>
      <c r="AP167" s="193">
        <v>0</v>
      </c>
      <c r="AQ167" s="193">
        <v>0</v>
      </c>
      <c r="AR167" s="193">
        <v>0</v>
      </c>
      <c r="AS167" s="193">
        <v>0</v>
      </c>
      <c r="AT167" s="193">
        <v>0</v>
      </c>
      <c r="AU167" s="193">
        <v>0</v>
      </c>
      <c r="AV167" s="193">
        <v>0</v>
      </c>
      <c r="AW167" s="193">
        <v>0</v>
      </c>
      <c r="AX167" s="193">
        <v>0</v>
      </c>
      <c r="AY167" s="193">
        <v>0</v>
      </c>
      <c r="AZ167" s="193">
        <v>0</v>
      </c>
      <c r="BA167" s="193">
        <v>0</v>
      </c>
      <c r="BB167" s="193">
        <v>0</v>
      </c>
      <c r="BC167" s="193">
        <v>0</v>
      </c>
      <c r="BD167" s="193">
        <v>58280000</v>
      </c>
      <c r="BE167" s="193">
        <v>0</v>
      </c>
      <c r="BF167" s="193">
        <v>58280000</v>
      </c>
      <c r="BG167" s="193">
        <v>0</v>
      </c>
      <c r="BH167" s="193">
        <v>58280000</v>
      </c>
    </row>
    <row r="168" spans="1:60" s="188" customFormat="1">
      <c r="A168" s="184">
        <v>7</v>
      </c>
      <c r="B168" s="185" t="s">
        <v>978</v>
      </c>
      <c r="C168" s="197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6"/>
      <c r="AG168" s="206"/>
      <c r="AH168" s="206"/>
      <c r="AI168" s="206"/>
      <c r="AJ168" s="206"/>
      <c r="AK168" s="206"/>
      <c r="AL168" s="206"/>
      <c r="AM168" s="206"/>
      <c r="AN168" s="206"/>
      <c r="AO168" s="206"/>
      <c r="AP168" s="206"/>
      <c r="AQ168" s="206"/>
      <c r="AR168" s="206"/>
      <c r="AS168" s="206"/>
      <c r="AT168" s="206"/>
      <c r="AU168" s="206"/>
      <c r="AV168" s="206"/>
      <c r="AW168" s="206"/>
      <c r="AX168" s="206"/>
      <c r="AY168" s="206"/>
      <c r="AZ168" s="206"/>
      <c r="BA168" s="206"/>
      <c r="BB168" s="206"/>
      <c r="BC168" s="206"/>
      <c r="BD168" s="206"/>
      <c r="BE168" s="206"/>
      <c r="BF168" s="206"/>
      <c r="BG168" s="206"/>
      <c r="BH168" s="206"/>
    </row>
    <row r="169" spans="1:60" s="188" customFormat="1">
      <c r="A169" s="189">
        <v>-1</v>
      </c>
      <c r="B169" s="190" t="s">
        <v>979</v>
      </c>
      <c r="C169" s="191">
        <v>200000</v>
      </c>
      <c r="D169" s="192">
        <v>0</v>
      </c>
      <c r="E169" s="192">
        <v>0</v>
      </c>
      <c r="F169" s="192">
        <v>0</v>
      </c>
      <c r="G169" s="192">
        <v>0</v>
      </c>
      <c r="H169" s="192">
        <v>0</v>
      </c>
      <c r="I169" s="192">
        <v>0</v>
      </c>
      <c r="J169" s="192">
        <v>0</v>
      </c>
      <c r="K169" s="192">
        <v>0</v>
      </c>
      <c r="L169" s="192">
        <v>0</v>
      </c>
      <c r="M169" s="192">
        <v>0</v>
      </c>
      <c r="N169" s="192">
        <v>0</v>
      </c>
      <c r="O169" s="192">
        <v>0</v>
      </c>
      <c r="P169" s="192">
        <v>0</v>
      </c>
      <c r="Q169" s="192">
        <v>0</v>
      </c>
      <c r="R169" s="192">
        <v>0</v>
      </c>
      <c r="S169" s="192">
        <v>0</v>
      </c>
      <c r="T169" s="192">
        <v>0</v>
      </c>
      <c r="U169" s="192">
        <v>0</v>
      </c>
      <c r="V169" s="192">
        <v>0</v>
      </c>
      <c r="W169" s="192">
        <v>0</v>
      </c>
      <c r="X169" s="192">
        <v>0</v>
      </c>
      <c r="Y169" s="192">
        <v>0</v>
      </c>
      <c r="Z169" s="192">
        <v>0</v>
      </c>
      <c r="AA169" s="192">
        <v>0</v>
      </c>
      <c r="AB169" s="192">
        <v>0</v>
      </c>
      <c r="AC169" s="192">
        <v>0</v>
      </c>
      <c r="AD169" s="192">
        <v>0</v>
      </c>
      <c r="AE169" s="192">
        <v>0</v>
      </c>
      <c r="AF169" s="193">
        <v>0</v>
      </c>
      <c r="AG169" s="193">
        <v>0</v>
      </c>
      <c r="AH169" s="193">
        <v>0</v>
      </c>
      <c r="AI169" s="193">
        <v>0</v>
      </c>
      <c r="AJ169" s="193">
        <v>0</v>
      </c>
      <c r="AK169" s="193">
        <v>0</v>
      </c>
      <c r="AL169" s="193">
        <v>0</v>
      </c>
      <c r="AM169" s="193">
        <v>0</v>
      </c>
      <c r="AN169" s="193">
        <v>0</v>
      </c>
      <c r="AO169" s="193">
        <v>0</v>
      </c>
      <c r="AP169" s="193">
        <v>0</v>
      </c>
      <c r="AQ169" s="193">
        <v>0</v>
      </c>
      <c r="AR169" s="193">
        <v>0</v>
      </c>
      <c r="AS169" s="193">
        <v>0</v>
      </c>
      <c r="AT169" s="193">
        <v>0</v>
      </c>
      <c r="AU169" s="193">
        <v>0</v>
      </c>
      <c r="AV169" s="193">
        <v>0</v>
      </c>
      <c r="AW169" s="193">
        <v>0</v>
      </c>
      <c r="AX169" s="193">
        <v>0</v>
      </c>
      <c r="AY169" s="193">
        <v>0</v>
      </c>
      <c r="AZ169" s="193">
        <v>0</v>
      </c>
      <c r="BA169" s="193">
        <v>0</v>
      </c>
      <c r="BB169" s="193">
        <v>0</v>
      </c>
      <c r="BC169" s="193">
        <v>0</v>
      </c>
      <c r="BD169" s="193">
        <v>0</v>
      </c>
      <c r="BE169" s="193">
        <v>0</v>
      </c>
      <c r="BF169" s="193">
        <v>0</v>
      </c>
      <c r="BG169" s="193">
        <v>0</v>
      </c>
      <c r="BH169" s="193">
        <v>0</v>
      </c>
    </row>
    <row r="170" spans="1:60" s="188" customFormat="1">
      <c r="A170" s="189">
        <v>-2</v>
      </c>
      <c r="B170" s="207" t="s">
        <v>980</v>
      </c>
      <c r="C170" s="191">
        <v>750000</v>
      </c>
      <c r="D170" s="192">
        <v>0</v>
      </c>
      <c r="E170" s="192">
        <v>0</v>
      </c>
      <c r="F170" s="192">
        <v>0</v>
      </c>
      <c r="G170" s="192">
        <v>0</v>
      </c>
      <c r="H170" s="192">
        <v>0</v>
      </c>
      <c r="I170" s="192">
        <v>0</v>
      </c>
      <c r="J170" s="192">
        <v>0</v>
      </c>
      <c r="K170" s="192">
        <v>0</v>
      </c>
      <c r="L170" s="192">
        <v>0</v>
      </c>
      <c r="M170" s="192">
        <v>0</v>
      </c>
      <c r="N170" s="192">
        <v>0</v>
      </c>
      <c r="O170" s="192">
        <v>0</v>
      </c>
      <c r="P170" s="192">
        <v>0</v>
      </c>
      <c r="Q170" s="192">
        <v>0</v>
      </c>
      <c r="R170" s="192">
        <v>0</v>
      </c>
      <c r="S170" s="192">
        <v>0</v>
      </c>
      <c r="T170" s="192">
        <v>0</v>
      </c>
      <c r="U170" s="192">
        <v>0</v>
      </c>
      <c r="V170" s="192">
        <v>0</v>
      </c>
      <c r="W170" s="192">
        <v>0</v>
      </c>
      <c r="X170" s="192">
        <v>2</v>
      </c>
      <c r="Y170" s="192">
        <v>0</v>
      </c>
      <c r="Z170" s="192">
        <v>0</v>
      </c>
      <c r="AA170" s="192">
        <v>0</v>
      </c>
      <c r="AB170" s="192">
        <v>0</v>
      </c>
      <c r="AC170" s="192">
        <v>0</v>
      </c>
      <c r="AD170" s="192">
        <v>2</v>
      </c>
      <c r="AE170" s="192">
        <v>0</v>
      </c>
      <c r="AF170" s="193">
        <v>0</v>
      </c>
      <c r="AG170" s="193">
        <v>0</v>
      </c>
      <c r="AH170" s="193">
        <v>0</v>
      </c>
      <c r="AI170" s="193">
        <v>0</v>
      </c>
      <c r="AJ170" s="193">
        <v>0</v>
      </c>
      <c r="AK170" s="193">
        <v>0</v>
      </c>
      <c r="AL170" s="193">
        <v>0</v>
      </c>
      <c r="AM170" s="193">
        <v>0</v>
      </c>
      <c r="AN170" s="193">
        <v>0</v>
      </c>
      <c r="AO170" s="193">
        <v>0</v>
      </c>
      <c r="AP170" s="193">
        <v>0</v>
      </c>
      <c r="AQ170" s="193">
        <v>0</v>
      </c>
      <c r="AR170" s="193">
        <v>0</v>
      </c>
      <c r="AS170" s="193">
        <v>0</v>
      </c>
      <c r="AT170" s="193">
        <v>0</v>
      </c>
      <c r="AU170" s="193">
        <v>0</v>
      </c>
      <c r="AV170" s="193">
        <v>0</v>
      </c>
      <c r="AW170" s="193">
        <v>0</v>
      </c>
      <c r="AX170" s="193">
        <v>0</v>
      </c>
      <c r="AY170" s="193">
        <v>0</v>
      </c>
      <c r="AZ170" s="193">
        <v>1500000</v>
      </c>
      <c r="BA170" s="193">
        <v>0</v>
      </c>
      <c r="BB170" s="193">
        <v>0</v>
      </c>
      <c r="BC170" s="193">
        <v>0</v>
      </c>
      <c r="BD170" s="193">
        <v>0</v>
      </c>
      <c r="BE170" s="193">
        <v>0</v>
      </c>
      <c r="BF170" s="193">
        <v>1500000</v>
      </c>
      <c r="BG170" s="193">
        <v>0</v>
      </c>
      <c r="BH170" s="193">
        <v>1500000</v>
      </c>
    </row>
    <row r="171" spans="1:60" s="188" customFormat="1">
      <c r="A171" s="189">
        <v>-3</v>
      </c>
      <c r="B171" s="190" t="s">
        <v>981</v>
      </c>
      <c r="C171" s="191">
        <v>150000</v>
      </c>
      <c r="D171" s="192">
        <v>0</v>
      </c>
      <c r="E171" s="192">
        <v>0</v>
      </c>
      <c r="F171" s="192">
        <v>0</v>
      </c>
      <c r="G171" s="192">
        <v>0</v>
      </c>
      <c r="H171" s="192">
        <v>0</v>
      </c>
      <c r="I171" s="192">
        <v>0</v>
      </c>
      <c r="J171" s="192">
        <v>0</v>
      </c>
      <c r="K171" s="192">
        <v>0</v>
      </c>
      <c r="L171" s="192">
        <v>0</v>
      </c>
      <c r="M171" s="192">
        <v>0</v>
      </c>
      <c r="N171" s="192">
        <v>0</v>
      </c>
      <c r="O171" s="192">
        <v>0</v>
      </c>
      <c r="P171" s="192">
        <v>0</v>
      </c>
      <c r="Q171" s="192">
        <v>0</v>
      </c>
      <c r="R171" s="192">
        <v>0</v>
      </c>
      <c r="S171" s="192">
        <v>0</v>
      </c>
      <c r="T171" s="192">
        <v>0</v>
      </c>
      <c r="U171" s="192">
        <v>0</v>
      </c>
      <c r="V171" s="192">
        <v>0</v>
      </c>
      <c r="W171" s="192">
        <v>0</v>
      </c>
      <c r="X171" s="192">
        <v>0</v>
      </c>
      <c r="Y171" s="192">
        <v>0</v>
      </c>
      <c r="Z171" s="192">
        <v>0</v>
      </c>
      <c r="AA171" s="192">
        <v>0</v>
      </c>
      <c r="AB171" s="192">
        <v>0</v>
      </c>
      <c r="AC171" s="192">
        <v>0</v>
      </c>
      <c r="AD171" s="192">
        <v>0</v>
      </c>
      <c r="AE171" s="192">
        <v>0</v>
      </c>
      <c r="AF171" s="193">
        <v>0</v>
      </c>
      <c r="AG171" s="193">
        <v>0</v>
      </c>
      <c r="AH171" s="193">
        <v>0</v>
      </c>
      <c r="AI171" s="193">
        <v>0</v>
      </c>
      <c r="AJ171" s="193">
        <v>0</v>
      </c>
      <c r="AK171" s="193">
        <v>0</v>
      </c>
      <c r="AL171" s="193">
        <v>0</v>
      </c>
      <c r="AM171" s="193">
        <v>0</v>
      </c>
      <c r="AN171" s="193">
        <v>0</v>
      </c>
      <c r="AO171" s="193">
        <v>0</v>
      </c>
      <c r="AP171" s="193">
        <v>0</v>
      </c>
      <c r="AQ171" s="193">
        <v>0</v>
      </c>
      <c r="AR171" s="193">
        <v>0</v>
      </c>
      <c r="AS171" s="193">
        <v>0</v>
      </c>
      <c r="AT171" s="193">
        <v>0</v>
      </c>
      <c r="AU171" s="193">
        <v>0</v>
      </c>
      <c r="AV171" s="193">
        <v>0</v>
      </c>
      <c r="AW171" s="193">
        <v>0</v>
      </c>
      <c r="AX171" s="193">
        <v>0</v>
      </c>
      <c r="AY171" s="193">
        <v>0</v>
      </c>
      <c r="AZ171" s="193">
        <v>0</v>
      </c>
      <c r="BA171" s="193">
        <v>0</v>
      </c>
      <c r="BB171" s="193">
        <v>0</v>
      </c>
      <c r="BC171" s="193">
        <v>0</v>
      </c>
      <c r="BD171" s="193">
        <v>0</v>
      </c>
      <c r="BE171" s="193">
        <v>0</v>
      </c>
      <c r="BF171" s="193">
        <v>0</v>
      </c>
      <c r="BG171" s="193">
        <v>0</v>
      </c>
      <c r="BH171" s="193">
        <v>0</v>
      </c>
    </row>
    <row r="172" spans="1:60" s="188" customFormat="1">
      <c r="A172" s="189">
        <v>-4</v>
      </c>
      <c r="B172" s="194" t="s">
        <v>844</v>
      </c>
      <c r="C172" s="191">
        <v>190000</v>
      </c>
      <c r="D172" s="192">
        <v>0</v>
      </c>
      <c r="E172" s="192">
        <v>0</v>
      </c>
      <c r="F172" s="192">
        <v>0</v>
      </c>
      <c r="G172" s="192">
        <v>0</v>
      </c>
      <c r="H172" s="192">
        <v>0</v>
      </c>
      <c r="I172" s="192">
        <v>0</v>
      </c>
      <c r="J172" s="192">
        <v>0</v>
      </c>
      <c r="K172" s="192">
        <v>0</v>
      </c>
      <c r="L172" s="192">
        <v>0</v>
      </c>
      <c r="M172" s="192">
        <v>0</v>
      </c>
      <c r="N172" s="192">
        <v>0</v>
      </c>
      <c r="O172" s="192">
        <v>0</v>
      </c>
      <c r="P172" s="192">
        <v>0</v>
      </c>
      <c r="Q172" s="192">
        <v>0</v>
      </c>
      <c r="R172" s="192">
        <v>0</v>
      </c>
      <c r="S172" s="192">
        <v>0</v>
      </c>
      <c r="T172" s="192">
        <v>0</v>
      </c>
      <c r="U172" s="192">
        <v>0</v>
      </c>
      <c r="V172" s="192">
        <v>0</v>
      </c>
      <c r="W172" s="192">
        <v>0</v>
      </c>
      <c r="X172" s="192">
        <v>0</v>
      </c>
      <c r="Y172" s="192">
        <v>0</v>
      </c>
      <c r="Z172" s="192">
        <v>0</v>
      </c>
      <c r="AA172" s="192">
        <v>0</v>
      </c>
      <c r="AB172" s="192">
        <v>0</v>
      </c>
      <c r="AC172" s="192">
        <v>0</v>
      </c>
      <c r="AD172" s="192">
        <v>0</v>
      </c>
      <c r="AE172" s="192">
        <v>0</v>
      </c>
      <c r="AF172" s="193">
        <v>0</v>
      </c>
      <c r="AG172" s="193">
        <v>0</v>
      </c>
      <c r="AH172" s="193">
        <v>0</v>
      </c>
      <c r="AI172" s="193">
        <v>0</v>
      </c>
      <c r="AJ172" s="193">
        <v>0</v>
      </c>
      <c r="AK172" s="193">
        <v>0</v>
      </c>
      <c r="AL172" s="193">
        <v>0</v>
      </c>
      <c r="AM172" s="193">
        <v>0</v>
      </c>
      <c r="AN172" s="193">
        <v>0</v>
      </c>
      <c r="AO172" s="193">
        <v>0</v>
      </c>
      <c r="AP172" s="193">
        <v>0</v>
      </c>
      <c r="AQ172" s="193">
        <v>0</v>
      </c>
      <c r="AR172" s="193">
        <v>0</v>
      </c>
      <c r="AS172" s="193">
        <v>0</v>
      </c>
      <c r="AT172" s="193">
        <v>0</v>
      </c>
      <c r="AU172" s="193">
        <v>0</v>
      </c>
      <c r="AV172" s="193">
        <v>0</v>
      </c>
      <c r="AW172" s="193">
        <v>0</v>
      </c>
      <c r="AX172" s="193">
        <v>0</v>
      </c>
      <c r="AY172" s="193">
        <v>0</v>
      </c>
      <c r="AZ172" s="193">
        <v>0</v>
      </c>
      <c r="BA172" s="193">
        <v>0</v>
      </c>
      <c r="BB172" s="193">
        <v>0</v>
      </c>
      <c r="BC172" s="193">
        <v>0</v>
      </c>
      <c r="BD172" s="193">
        <v>0</v>
      </c>
      <c r="BE172" s="193">
        <v>0</v>
      </c>
      <c r="BF172" s="193">
        <v>0</v>
      </c>
      <c r="BG172" s="193">
        <v>0</v>
      </c>
      <c r="BH172" s="193">
        <v>0</v>
      </c>
    </row>
    <row r="173" spans="1:60" s="188" customFormat="1">
      <c r="A173" s="189">
        <v>-5</v>
      </c>
      <c r="B173" s="194" t="s">
        <v>982</v>
      </c>
      <c r="C173" s="191">
        <v>200000</v>
      </c>
      <c r="D173" s="192">
        <v>0</v>
      </c>
      <c r="E173" s="192">
        <v>0</v>
      </c>
      <c r="F173" s="192">
        <v>0</v>
      </c>
      <c r="G173" s="192">
        <v>0</v>
      </c>
      <c r="H173" s="192">
        <v>0</v>
      </c>
      <c r="I173" s="192">
        <v>0</v>
      </c>
      <c r="J173" s="192">
        <v>0</v>
      </c>
      <c r="K173" s="192">
        <v>0</v>
      </c>
      <c r="L173" s="192">
        <v>0</v>
      </c>
      <c r="M173" s="192">
        <v>0</v>
      </c>
      <c r="N173" s="192">
        <v>0</v>
      </c>
      <c r="O173" s="192">
        <v>0</v>
      </c>
      <c r="P173" s="192">
        <v>0</v>
      </c>
      <c r="Q173" s="192">
        <v>0</v>
      </c>
      <c r="R173" s="192">
        <v>0</v>
      </c>
      <c r="S173" s="192">
        <v>0</v>
      </c>
      <c r="T173" s="192">
        <v>0</v>
      </c>
      <c r="U173" s="192">
        <v>0</v>
      </c>
      <c r="V173" s="192">
        <v>0</v>
      </c>
      <c r="W173" s="192">
        <v>0</v>
      </c>
      <c r="X173" s="192">
        <v>0</v>
      </c>
      <c r="Y173" s="192">
        <v>0</v>
      </c>
      <c r="Z173" s="192">
        <v>0</v>
      </c>
      <c r="AA173" s="192">
        <v>0</v>
      </c>
      <c r="AB173" s="192">
        <v>0</v>
      </c>
      <c r="AC173" s="192">
        <v>0</v>
      </c>
      <c r="AD173" s="192">
        <v>0</v>
      </c>
      <c r="AE173" s="192">
        <v>0</v>
      </c>
      <c r="AF173" s="193">
        <v>0</v>
      </c>
      <c r="AG173" s="193">
        <v>0</v>
      </c>
      <c r="AH173" s="193">
        <v>0</v>
      </c>
      <c r="AI173" s="193">
        <v>0</v>
      </c>
      <c r="AJ173" s="193">
        <v>0</v>
      </c>
      <c r="AK173" s="193">
        <v>0</v>
      </c>
      <c r="AL173" s="193">
        <v>0</v>
      </c>
      <c r="AM173" s="193">
        <v>0</v>
      </c>
      <c r="AN173" s="193">
        <v>0</v>
      </c>
      <c r="AO173" s="193">
        <v>0</v>
      </c>
      <c r="AP173" s="193">
        <v>0</v>
      </c>
      <c r="AQ173" s="193">
        <v>0</v>
      </c>
      <c r="AR173" s="193">
        <v>0</v>
      </c>
      <c r="AS173" s="193">
        <v>0</v>
      </c>
      <c r="AT173" s="193">
        <v>0</v>
      </c>
      <c r="AU173" s="193">
        <v>0</v>
      </c>
      <c r="AV173" s="193">
        <v>0</v>
      </c>
      <c r="AW173" s="193">
        <v>0</v>
      </c>
      <c r="AX173" s="193">
        <v>0</v>
      </c>
      <c r="AY173" s="193">
        <v>0</v>
      </c>
      <c r="AZ173" s="193">
        <v>0</v>
      </c>
      <c r="BA173" s="193">
        <v>0</v>
      </c>
      <c r="BB173" s="193">
        <v>0</v>
      </c>
      <c r="BC173" s="193">
        <v>0</v>
      </c>
      <c r="BD173" s="193">
        <v>0</v>
      </c>
      <c r="BE173" s="193">
        <v>0</v>
      </c>
      <c r="BF173" s="193">
        <v>0</v>
      </c>
      <c r="BG173" s="193">
        <v>0</v>
      </c>
      <c r="BH173" s="193">
        <v>0</v>
      </c>
    </row>
    <row r="174" spans="1:60" s="188" customFormat="1">
      <c r="A174" s="189">
        <v>-6</v>
      </c>
      <c r="B174" s="194" t="s">
        <v>983</v>
      </c>
      <c r="C174" s="191">
        <v>250000</v>
      </c>
      <c r="D174" s="192">
        <v>0</v>
      </c>
      <c r="E174" s="192">
        <v>0</v>
      </c>
      <c r="F174" s="192">
        <v>0</v>
      </c>
      <c r="G174" s="192">
        <v>0</v>
      </c>
      <c r="H174" s="192">
        <v>0</v>
      </c>
      <c r="I174" s="192">
        <v>0</v>
      </c>
      <c r="J174" s="192">
        <v>0</v>
      </c>
      <c r="K174" s="192">
        <v>0</v>
      </c>
      <c r="L174" s="192">
        <v>0</v>
      </c>
      <c r="M174" s="192">
        <v>0</v>
      </c>
      <c r="N174" s="192">
        <v>0</v>
      </c>
      <c r="O174" s="192">
        <v>0</v>
      </c>
      <c r="P174" s="192">
        <v>0</v>
      </c>
      <c r="Q174" s="192">
        <v>0</v>
      </c>
      <c r="R174" s="192">
        <v>0</v>
      </c>
      <c r="S174" s="192">
        <v>0</v>
      </c>
      <c r="T174" s="192">
        <v>0</v>
      </c>
      <c r="U174" s="192">
        <v>0</v>
      </c>
      <c r="V174" s="192">
        <v>0</v>
      </c>
      <c r="W174" s="192">
        <v>0</v>
      </c>
      <c r="X174" s="192">
        <v>0</v>
      </c>
      <c r="Y174" s="192">
        <v>1</v>
      </c>
      <c r="Z174" s="192">
        <v>0</v>
      </c>
      <c r="AA174" s="192">
        <v>0</v>
      </c>
      <c r="AB174" s="192">
        <v>0</v>
      </c>
      <c r="AC174" s="192">
        <v>0</v>
      </c>
      <c r="AD174" s="192">
        <v>0</v>
      </c>
      <c r="AE174" s="192">
        <v>1</v>
      </c>
      <c r="AF174" s="193">
        <v>0</v>
      </c>
      <c r="AG174" s="193">
        <v>0</v>
      </c>
      <c r="AH174" s="193">
        <v>0</v>
      </c>
      <c r="AI174" s="193">
        <v>0</v>
      </c>
      <c r="AJ174" s="193">
        <v>0</v>
      </c>
      <c r="AK174" s="193">
        <v>0</v>
      </c>
      <c r="AL174" s="193">
        <v>0</v>
      </c>
      <c r="AM174" s="193">
        <v>0</v>
      </c>
      <c r="AN174" s="193">
        <v>0</v>
      </c>
      <c r="AO174" s="193">
        <v>0</v>
      </c>
      <c r="AP174" s="193">
        <v>0</v>
      </c>
      <c r="AQ174" s="193">
        <v>0</v>
      </c>
      <c r="AR174" s="193">
        <v>0</v>
      </c>
      <c r="AS174" s="193">
        <v>0</v>
      </c>
      <c r="AT174" s="193">
        <v>0</v>
      </c>
      <c r="AU174" s="193">
        <v>0</v>
      </c>
      <c r="AV174" s="193">
        <v>0</v>
      </c>
      <c r="AW174" s="193">
        <v>0</v>
      </c>
      <c r="AX174" s="193">
        <v>0</v>
      </c>
      <c r="AY174" s="193">
        <v>0</v>
      </c>
      <c r="AZ174" s="193">
        <v>0</v>
      </c>
      <c r="BA174" s="193">
        <v>250000</v>
      </c>
      <c r="BB174" s="193">
        <v>0</v>
      </c>
      <c r="BC174" s="193">
        <v>0</v>
      </c>
      <c r="BD174" s="193">
        <v>0</v>
      </c>
      <c r="BE174" s="193">
        <v>0</v>
      </c>
      <c r="BF174" s="193">
        <v>0</v>
      </c>
      <c r="BG174" s="193">
        <v>250000</v>
      </c>
      <c r="BH174" s="193">
        <v>250000</v>
      </c>
    </row>
    <row r="175" spans="1:60" s="188" customFormat="1">
      <c r="A175" s="189">
        <v>-7</v>
      </c>
      <c r="B175" s="194" t="s">
        <v>984</v>
      </c>
      <c r="C175" s="191">
        <v>400000</v>
      </c>
      <c r="D175" s="192">
        <v>0</v>
      </c>
      <c r="E175" s="192">
        <v>0</v>
      </c>
      <c r="F175" s="192">
        <v>0</v>
      </c>
      <c r="G175" s="192">
        <v>0</v>
      </c>
      <c r="H175" s="192">
        <v>0</v>
      </c>
      <c r="I175" s="192">
        <v>0</v>
      </c>
      <c r="J175" s="192">
        <v>0</v>
      </c>
      <c r="K175" s="192">
        <v>0</v>
      </c>
      <c r="L175" s="192">
        <v>0</v>
      </c>
      <c r="M175" s="192">
        <v>0</v>
      </c>
      <c r="N175" s="192">
        <v>0</v>
      </c>
      <c r="O175" s="192">
        <v>0</v>
      </c>
      <c r="P175" s="192">
        <v>0</v>
      </c>
      <c r="Q175" s="192">
        <v>0</v>
      </c>
      <c r="R175" s="192">
        <v>0</v>
      </c>
      <c r="S175" s="192">
        <v>0</v>
      </c>
      <c r="T175" s="192">
        <v>0</v>
      </c>
      <c r="U175" s="192">
        <v>0</v>
      </c>
      <c r="V175" s="192">
        <v>0</v>
      </c>
      <c r="W175" s="192">
        <v>0</v>
      </c>
      <c r="X175" s="192">
        <v>0</v>
      </c>
      <c r="Y175" s="192">
        <v>0</v>
      </c>
      <c r="Z175" s="192">
        <v>0</v>
      </c>
      <c r="AA175" s="192">
        <v>0</v>
      </c>
      <c r="AB175" s="192">
        <v>0</v>
      </c>
      <c r="AC175" s="192">
        <v>0</v>
      </c>
      <c r="AD175" s="192">
        <v>0</v>
      </c>
      <c r="AE175" s="192">
        <v>0</v>
      </c>
      <c r="AF175" s="193">
        <v>0</v>
      </c>
      <c r="AG175" s="193">
        <v>0</v>
      </c>
      <c r="AH175" s="193">
        <v>0</v>
      </c>
      <c r="AI175" s="193">
        <v>0</v>
      </c>
      <c r="AJ175" s="193">
        <v>0</v>
      </c>
      <c r="AK175" s="193">
        <v>0</v>
      </c>
      <c r="AL175" s="193">
        <v>0</v>
      </c>
      <c r="AM175" s="193">
        <v>0</v>
      </c>
      <c r="AN175" s="193">
        <v>0</v>
      </c>
      <c r="AO175" s="193">
        <v>0</v>
      </c>
      <c r="AP175" s="193">
        <v>0</v>
      </c>
      <c r="AQ175" s="193">
        <v>0</v>
      </c>
      <c r="AR175" s="193">
        <v>0</v>
      </c>
      <c r="AS175" s="193">
        <v>0</v>
      </c>
      <c r="AT175" s="193">
        <v>0</v>
      </c>
      <c r="AU175" s="193">
        <v>0</v>
      </c>
      <c r="AV175" s="193">
        <v>0</v>
      </c>
      <c r="AW175" s="193">
        <v>0</v>
      </c>
      <c r="AX175" s="193">
        <v>0</v>
      </c>
      <c r="AY175" s="193">
        <v>0</v>
      </c>
      <c r="AZ175" s="193">
        <v>0</v>
      </c>
      <c r="BA175" s="193">
        <v>0</v>
      </c>
      <c r="BB175" s="193">
        <v>0</v>
      </c>
      <c r="BC175" s="193">
        <v>0</v>
      </c>
      <c r="BD175" s="193">
        <v>0</v>
      </c>
      <c r="BE175" s="193">
        <v>0</v>
      </c>
      <c r="BF175" s="193">
        <v>0</v>
      </c>
      <c r="BG175" s="193">
        <v>0</v>
      </c>
      <c r="BH175" s="193">
        <v>0</v>
      </c>
    </row>
    <row r="176" spans="1:60" s="188" customFormat="1">
      <c r="A176" s="189">
        <v>-8</v>
      </c>
      <c r="B176" s="190" t="s">
        <v>985</v>
      </c>
      <c r="C176" s="191">
        <v>450000</v>
      </c>
      <c r="D176" s="192">
        <v>0</v>
      </c>
      <c r="E176" s="192">
        <v>0</v>
      </c>
      <c r="F176" s="192">
        <v>0</v>
      </c>
      <c r="G176" s="192">
        <v>0</v>
      </c>
      <c r="H176" s="192">
        <v>0</v>
      </c>
      <c r="I176" s="192">
        <v>0</v>
      </c>
      <c r="J176" s="192">
        <v>0</v>
      </c>
      <c r="K176" s="192">
        <v>0</v>
      </c>
      <c r="L176" s="192">
        <v>0</v>
      </c>
      <c r="M176" s="192">
        <v>0</v>
      </c>
      <c r="N176" s="192">
        <v>0</v>
      </c>
      <c r="O176" s="192">
        <v>0</v>
      </c>
      <c r="P176" s="192">
        <v>0</v>
      </c>
      <c r="Q176" s="192">
        <v>0</v>
      </c>
      <c r="R176" s="192">
        <v>0</v>
      </c>
      <c r="S176" s="192">
        <v>0</v>
      </c>
      <c r="T176" s="192">
        <v>0</v>
      </c>
      <c r="U176" s="192">
        <v>0</v>
      </c>
      <c r="V176" s="192">
        <v>0</v>
      </c>
      <c r="W176" s="192">
        <v>0</v>
      </c>
      <c r="X176" s="192">
        <v>0</v>
      </c>
      <c r="Y176" s="192">
        <v>0</v>
      </c>
      <c r="Z176" s="192">
        <v>0</v>
      </c>
      <c r="AA176" s="192">
        <v>0</v>
      </c>
      <c r="AB176" s="192">
        <v>0</v>
      </c>
      <c r="AC176" s="192">
        <v>0</v>
      </c>
      <c r="AD176" s="192">
        <v>0</v>
      </c>
      <c r="AE176" s="192">
        <v>0</v>
      </c>
      <c r="AF176" s="193">
        <v>0</v>
      </c>
      <c r="AG176" s="193">
        <v>0</v>
      </c>
      <c r="AH176" s="193">
        <v>0</v>
      </c>
      <c r="AI176" s="193">
        <v>0</v>
      </c>
      <c r="AJ176" s="193">
        <v>0</v>
      </c>
      <c r="AK176" s="193">
        <v>0</v>
      </c>
      <c r="AL176" s="193">
        <v>0</v>
      </c>
      <c r="AM176" s="193">
        <v>0</v>
      </c>
      <c r="AN176" s="193">
        <v>0</v>
      </c>
      <c r="AO176" s="193">
        <v>0</v>
      </c>
      <c r="AP176" s="193">
        <v>0</v>
      </c>
      <c r="AQ176" s="193">
        <v>0</v>
      </c>
      <c r="AR176" s="193">
        <v>0</v>
      </c>
      <c r="AS176" s="193">
        <v>0</v>
      </c>
      <c r="AT176" s="193">
        <v>0</v>
      </c>
      <c r="AU176" s="193">
        <v>0</v>
      </c>
      <c r="AV176" s="193">
        <v>0</v>
      </c>
      <c r="AW176" s="193">
        <v>0</v>
      </c>
      <c r="AX176" s="193">
        <v>0</v>
      </c>
      <c r="AY176" s="193">
        <v>0</v>
      </c>
      <c r="AZ176" s="193">
        <v>0</v>
      </c>
      <c r="BA176" s="193">
        <v>0</v>
      </c>
      <c r="BB176" s="193">
        <v>0</v>
      </c>
      <c r="BC176" s="193">
        <v>0</v>
      </c>
      <c r="BD176" s="193">
        <v>0</v>
      </c>
      <c r="BE176" s="193">
        <v>0</v>
      </c>
      <c r="BF176" s="193">
        <v>0</v>
      </c>
      <c r="BG176" s="193">
        <v>0</v>
      </c>
      <c r="BH176" s="193">
        <v>0</v>
      </c>
    </row>
    <row r="177" spans="1:60" s="188" customFormat="1">
      <c r="A177" s="189">
        <v>-9</v>
      </c>
      <c r="B177" s="190" t="s">
        <v>986</v>
      </c>
      <c r="C177" s="191">
        <v>450000</v>
      </c>
      <c r="D177" s="192">
        <v>0</v>
      </c>
      <c r="E177" s="192">
        <v>0</v>
      </c>
      <c r="F177" s="192">
        <v>0</v>
      </c>
      <c r="G177" s="192">
        <v>0</v>
      </c>
      <c r="H177" s="192">
        <v>0</v>
      </c>
      <c r="I177" s="192">
        <v>0</v>
      </c>
      <c r="J177" s="192">
        <v>0</v>
      </c>
      <c r="K177" s="192">
        <v>0</v>
      </c>
      <c r="L177" s="192">
        <v>0</v>
      </c>
      <c r="M177" s="192">
        <v>0</v>
      </c>
      <c r="N177" s="192">
        <v>0</v>
      </c>
      <c r="O177" s="192">
        <v>0</v>
      </c>
      <c r="P177" s="192">
        <v>0</v>
      </c>
      <c r="Q177" s="192">
        <v>0</v>
      </c>
      <c r="R177" s="192">
        <v>0</v>
      </c>
      <c r="S177" s="192">
        <v>0</v>
      </c>
      <c r="T177" s="192">
        <v>0</v>
      </c>
      <c r="U177" s="192">
        <v>0</v>
      </c>
      <c r="V177" s="192">
        <v>0</v>
      </c>
      <c r="W177" s="192">
        <v>0</v>
      </c>
      <c r="X177" s="192">
        <v>0</v>
      </c>
      <c r="Y177" s="192">
        <v>0</v>
      </c>
      <c r="Z177" s="192">
        <v>0</v>
      </c>
      <c r="AA177" s="192">
        <v>0</v>
      </c>
      <c r="AB177" s="192">
        <v>0</v>
      </c>
      <c r="AC177" s="192">
        <v>0</v>
      </c>
      <c r="AD177" s="192">
        <v>0</v>
      </c>
      <c r="AE177" s="192">
        <v>0</v>
      </c>
      <c r="AF177" s="193">
        <v>0</v>
      </c>
      <c r="AG177" s="193">
        <v>0</v>
      </c>
      <c r="AH177" s="193">
        <v>0</v>
      </c>
      <c r="AI177" s="193">
        <v>0</v>
      </c>
      <c r="AJ177" s="193">
        <v>0</v>
      </c>
      <c r="AK177" s="193">
        <v>0</v>
      </c>
      <c r="AL177" s="193">
        <v>0</v>
      </c>
      <c r="AM177" s="193">
        <v>0</v>
      </c>
      <c r="AN177" s="193">
        <v>0</v>
      </c>
      <c r="AO177" s="193">
        <v>0</v>
      </c>
      <c r="AP177" s="193">
        <v>0</v>
      </c>
      <c r="AQ177" s="193">
        <v>0</v>
      </c>
      <c r="AR177" s="193">
        <v>0</v>
      </c>
      <c r="AS177" s="193">
        <v>0</v>
      </c>
      <c r="AT177" s="193">
        <v>0</v>
      </c>
      <c r="AU177" s="193">
        <v>0</v>
      </c>
      <c r="AV177" s="193">
        <v>0</v>
      </c>
      <c r="AW177" s="193">
        <v>0</v>
      </c>
      <c r="AX177" s="193">
        <v>0</v>
      </c>
      <c r="AY177" s="193">
        <v>0</v>
      </c>
      <c r="AZ177" s="193">
        <v>0</v>
      </c>
      <c r="BA177" s="193">
        <v>0</v>
      </c>
      <c r="BB177" s="193">
        <v>0</v>
      </c>
      <c r="BC177" s="193">
        <v>0</v>
      </c>
      <c r="BD177" s="193">
        <v>0</v>
      </c>
      <c r="BE177" s="193">
        <v>0</v>
      </c>
      <c r="BF177" s="193">
        <v>0</v>
      </c>
      <c r="BG177" s="193">
        <v>0</v>
      </c>
      <c r="BH177" s="193">
        <v>0</v>
      </c>
    </row>
    <row r="178" spans="1:60" s="188" customFormat="1">
      <c r="A178" s="189">
        <v>-10</v>
      </c>
      <c r="B178" s="190" t="s">
        <v>987</v>
      </c>
      <c r="C178" s="191">
        <v>460000</v>
      </c>
      <c r="D178" s="192">
        <v>0</v>
      </c>
      <c r="E178" s="192">
        <v>0</v>
      </c>
      <c r="F178" s="192">
        <v>0</v>
      </c>
      <c r="G178" s="192">
        <v>0</v>
      </c>
      <c r="H178" s="192">
        <v>0</v>
      </c>
      <c r="I178" s="192">
        <v>0</v>
      </c>
      <c r="J178" s="192">
        <v>0</v>
      </c>
      <c r="K178" s="192">
        <v>0</v>
      </c>
      <c r="L178" s="192">
        <v>0</v>
      </c>
      <c r="M178" s="192">
        <v>0</v>
      </c>
      <c r="N178" s="192">
        <v>0</v>
      </c>
      <c r="O178" s="192">
        <v>0</v>
      </c>
      <c r="P178" s="192">
        <v>0</v>
      </c>
      <c r="Q178" s="192">
        <v>0</v>
      </c>
      <c r="R178" s="192">
        <v>0</v>
      </c>
      <c r="S178" s="192">
        <v>0</v>
      </c>
      <c r="T178" s="192">
        <v>0</v>
      </c>
      <c r="U178" s="192">
        <v>0</v>
      </c>
      <c r="V178" s="192">
        <v>0</v>
      </c>
      <c r="W178" s="192">
        <v>0</v>
      </c>
      <c r="X178" s="192">
        <v>0</v>
      </c>
      <c r="Y178" s="192">
        <v>0</v>
      </c>
      <c r="Z178" s="192">
        <v>0</v>
      </c>
      <c r="AA178" s="192">
        <v>0</v>
      </c>
      <c r="AB178" s="192">
        <v>0</v>
      </c>
      <c r="AC178" s="192">
        <v>0</v>
      </c>
      <c r="AD178" s="192">
        <v>0</v>
      </c>
      <c r="AE178" s="192">
        <v>0</v>
      </c>
      <c r="AF178" s="193">
        <v>0</v>
      </c>
      <c r="AG178" s="193">
        <v>0</v>
      </c>
      <c r="AH178" s="193">
        <v>0</v>
      </c>
      <c r="AI178" s="193">
        <v>0</v>
      </c>
      <c r="AJ178" s="193">
        <v>0</v>
      </c>
      <c r="AK178" s="193">
        <v>0</v>
      </c>
      <c r="AL178" s="193">
        <v>0</v>
      </c>
      <c r="AM178" s="193">
        <v>0</v>
      </c>
      <c r="AN178" s="193">
        <v>0</v>
      </c>
      <c r="AO178" s="193">
        <v>0</v>
      </c>
      <c r="AP178" s="193">
        <v>0</v>
      </c>
      <c r="AQ178" s="193">
        <v>0</v>
      </c>
      <c r="AR178" s="193">
        <v>0</v>
      </c>
      <c r="AS178" s="193">
        <v>0</v>
      </c>
      <c r="AT178" s="193">
        <v>0</v>
      </c>
      <c r="AU178" s="193">
        <v>0</v>
      </c>
      <c r="AV178" s="193">
        <v>0</v>
      </c>
      <c r="AW178" s="193">
        <v>0</v>
      </c>
      <c r="AX178" s="193">
        <v>0</v>
      </c>
      <c r="AY178" s="193">
        <v>0</v>
      </c>
      <c r="AZ178" s="193">
        <v>0</v>
      </c>
      <c r="BA178" s="193">
        <v>0</v>
      </c>
      <c r="BB178" s="193">
        <v>0</v>
      </c>
      <c r="BC178" s="193">
        <v>0</v>
      </c>
      <c r="BD178" s="193">
        <v>0</v>
      </c>
      <c r="BE178" s="193">
        <v>0</v>
      </c>
      <c r="BF178" s="193">
        <v>0</v>
      </c>
      <c r="BG178" s="193">
        <v>0</v>
      </c>
      <c r="BH178" s="193">
        <v>0</v>
      </c>
    </row>
    <row r="179" spans="1:60" s="188" customFormat="1">
      <c r="A179" s="189">
        <v>-11</v>
      </c>
      <c r="B179" s="194" t="s">
        <v>861</v>
      </c>
      <c r="C179" s="191">
        <v>460000</v>
      </c>
      <c r="D179" s="192">
        <v>0</v>
      </c>
      <c r="E179" s="192">
        <v>0</v>
      </c>
      <c r="F179" s="192">
        <v>0</v>
      </c>
      <c r="G179" s="192">
        <v>0</v>
      </c>
      <c r="H179" s="192">
        <v>0</v>
      </c>
      <c r="I179" s="192">
        <v>0</v>
      </c>
      <c r="J179" s="192">
        <v>0</v>
      </c>
      <c r="K179" s="192">
        <v>0</v>
      </c>
      <c r="L179" s="192">
        <v>0</v>
      </c>
      <c r="M179" s="192">
        <v>0</v>
      </c>
      <c r="N179" s="192">
        <v>0</v>
      </c>
      <c r="O179" s="192">
        <v>0</v>
      </c>
      <c r="P179" s="192">
        <v>0</v>
      </c>
      <c r="Q179" s="192">
        <v>0</v>
      </c>
      <c r="R179" s="192">
        <v>0</v>
      </c>
      <c r="S179" s="192">
        <v>0</v>
      </c>
      <c r="T179" s="192">
        <v>0</v>
      </c>
      <c r="U179" s="192">
        <v>0</v>
      </c>
      <c r="V179" s="192">
        <v>0</v>
      </c>
      <c r="W179" s="192">
        <v>0</v>
      </c>
      <c r="X179" s="192">
        <v>0</v>
      </c>
      <c r="Y179" s="192">
        <v>0</v>
      </c>
      <c r="Z179" s="192">
        <v>0</v>
      </c>
      <c r="AA179" s="192">
        <v>0</v>
      </c>
      <c r="AB179" s="192">
        <v>0</v>
      </c>
      <c r="AC179" s="192">
        <v>0</v>
      </c>
      <c r="AD179" s="192">
        <v>0</v>
      </c>
      <c r="AE179" s="192">
        <v>0</v>
      </c>
      <c r="AF179" s="193">
        <v>0</v>
      </c>
      <c r="AG179" s="193">
        <v>0</v>
      </c>
      <c r="AH179" s="193">
        <v>0</v>
      </c>
      <c r="AI179" s="193">
        <v>0</v>
      </c>
      <c r="AJ179" s="193">
        <v>0</v>
      </c>
      <c r="AK179" s="193">
        <v>0</v>
      </c>
      <c r="AL179" s="193">
        <v>0</v>
      </c>
      <c r="AM179" s="193">
        <v>0</v>
      </c>
      <c r="AN179" s="193">
        <v>0</v>
      </c>
      <c r="AO179" s="193">
        <v>0</v>
      </c>
      <c r="AP179" s="193">
        <v>0</v>
      </c>
      <c r="AQ179" s="193">
        <v>0</v>
      </c>
      <c r="AR179" s="193">
        <v>0</v>
      </c>
      <c r="AS179" s="193">
        <v>0</v>
      </c>
      <c r="AT179" s="193">
        <v>0</v>
      </c>
      <c r="AU179" s="193">
        <v>0</v>
      </c>
      <c r="AV179" s="193">
        <v>0</v>
      </c>
      <c r="AW179" s="193">
        <v>0</v>
      </c>
      <c r="AX179" s="193">
        <v>0</v>
      </c>
      <c r="AY179" s="193">
        <v>0</v>
      </c>
      <c r="AZ179" s="193">
        <v>0</v>
      </c>
      <c r="BA179" s="193">
        <v>0</v>
      </c>
      <c r="BB179" s="193">
        <v>0</v>
      </c>
      <c r="BC179" s="193">
        <v>0</v>
      </c>
      <c r="BD179" s="193">
        <v>0</v>
      </c>
      <c r="BE179" s="193">
        <v>0</v>
      </c>
      <c r="BF179" s="193">
        <v>0</v>
      </c>
      <c r="BG179" s="193">
        <v>0</v>
      </c>
      <c r="BH179" s="193">
        <v>0</v>
      </c>
    </row>
    <row r="180" spans="1:60" s="188" customFormat="1">
      <c r="A180" s="189">
        <v>-12</v>
      </c>
      <c r="B180" s="194" t="s">
        <v>988</v>
      </c>
      <c r="C180" s="191">
        <v>460000</v>
      </c>
      <c r="D180" s="192">
        <v>0</v>
      </c>
      <c r="E180" s="192">
        <v>0</v>
      </c>
      <c r="F180" s="192">
        <v>0</v>
      </c>
      <c r="G180" s="192">
        <v>0</v>
      </c>
      <c r="H180" s="192">
        <v>0</v>
      </c>
      <c r="I180" s="192">
        <v>0</v>
      </c>
      <c r="J180" s="192">
        <v>0</v>
      </c>
      <c r="K180" s="192">
        <v>0</v>
      </c>
      <c r="L180" s="192">
        <v>0</v>
      </c>
      <c r="M180" s="192">
        <v>0</v>
      </c>
      <c r="N180" s="192">
        <v>0</v>
      </c>
      <c r="O180" s="192">
        <v>0</v>
      </c>
      <c r="P180" s="192">
        <v>0</v>
      </c>
      <c r="Q180" s="192">
        <v>0</v>
      </c>
      <c r="R180" s="192">
        <v>0</v>
      </c>
      <c r="S180" s="192">
        <v>0</v>
      </c>
      <c r="T180" s="192">
        <v>0</v>
      </c>
      <c r="U180" s="192">
        <v>0</v>
      </c>
      <c r="V180" s="192">
        <v>0</v>
      </c>
      <c r="W180" s="192">
        <v>0</v>
      </c>
      <c r="X180" s="192">
        <v>0</v>
      </c>
      <c r="Y180" s="192">
        <v>3</v>
      </c>
      <c r="Z180" s="192">
        <v>0</v>
      </c>
      <c r="AA180" s="192">
        <v>0</v>
      </c>
      <c r="AB180" s="192">
        <v>0</v>
      </c>
      <c r="AC180" s="192">
        <v>0</v>
      </c>
      <c r="AD180" s="192">
        <v>0</v>
      </c>
      <c r="AE180" s="192">
        <v>3</v>
      </c>
      <c r="AF180" s="193">
        <v>0</v>
      </c>
      <c r="AG180" s="193">
        <v>0</v>
      </c>
      <c r="AH180" s="193">
        <v>0</v>
      </c>
      <c r="AI180" s="193">
        <v>0</v>
      </c>
      <c r="AJ180" s="193">
        <v>0</v>
      </c>
      <c r="AK180" s="193">
        <v>0</v>
      </c>
      <c r="AL180" s="193">
        <v>0</v>
      </c>
      <c r="AM180" s="193">
        <v>0</v>
      </c>
      <c r="AN180" s="193">
        <v>0</v>
      </c>
      <c r="AO180" s="193">
        <v>0</v>
      </c>
      <c r="AP180" s="193">
        <v>0</v>
      </c>
      <c r="AQ180" s="193">
        <v>0</v>
      </c>
      <c r="AR180" s="193">
        <v>0</v>
      </c>
      <c r="AS180" s="193">
        <v>0</v>
      </c>
      <c r="AT180" s="193">
        <v>0</v>
      </c>
      <c r="AU180" s="193">
        <v>0</v>
      </c>
      <c r="AV180" s="193">
        <v>0</v>
      </c>
      <c r="AW180" s="193">
        <v>0</v>
      </c>
      <c r="AX180" s="193">
        <v>0</v>
      </c>
      <c r="AY180" s="193">
        <v>0</v>
      </c>
      <c r="AZ180" s="193">
        <v>0</v>
      </c>
      <c r="BA180" s="193">
        <v>1380000</v>
      </c>
      <c r="BB180" s="193">
        <v>0</v>
      </c>
      <c r="BC180" s="193">
        <v>0</v>
      </c>
      <c r="BD180" s="193">
        <v>0</v>
      </c>
      <c r="BE180" s="193">
        <v>0</v>
      </c>
      <c r="BF180" s="193">
        <v>0</v>
      </c>
      <c r="BG180" s="193">
        <v>1380000</v>
      </c>
      <c r="BH180" s="193">
        <v>1380000</v>
      </c>
    </row>
    <row r="181" spans="1:60" s="188" customFormat="1">
      <c r="A181" s="189">
        <v>-13</v>
      </c>
      <c r="B181" s="194" t="s">
        <v>989</v>
      </c>
      <c r="C181" s="191">
        <v>650000</v>
      </c>
      <c r="D181" s="192">
        <v>0</v>
      </c>
      <c r="E181" s="192">
        <v>0</v>
      </c>
      <c r="F181" s="192">
        <v>0</v>
      </c>
      <c r="G181" s="192">
        <v>0</v>
      </c>
      <c r="H181" s="192">
        <v>0</v>
      </c>
      <c r="I181" s="192">
        <v>0</v>
      </c>
      <c r="J181" s="192">
        <v>0</v>
      </c>
      <c r="K181" s="192">
        <v>0</v>
      </c>
      <c r="L181" s="192">
        <v>0</v>
      </c>
      <c r="M181" s="192">
        <v>0</v>
      </c>
      <c r="N181" s="192">
        <v>0</v>
      </c>
      <c r="O181" s="192">
        <v>0</v>
      </c>
      <c r="P181" s="192">
        <v>0</v>
      </c>
      <c r="Q181" s="192">
        <v>0</v>
      </c>
      <c r="R181" s="192">
        <v>0</v>
      </c>
      <c r="S181" s="192">
        <v>0</v>
      </c>
      <c r="T181" s="192">
        <v>0</v>
      </c>
      <c r="U181" s="192">
        <v>0</v>
      </c>
      <c r="V181" s="192">
        <v>0</v>
      </c>
      <c r="W181" s="192">
        <v>0</v>
      </c>
      <c r="X181" s="192">
        <v>0</v>
      </c>
      <c r="Y181" s="192">
        <v>0</v>
      </c>
      <c r="Z181" s="192">
        <v>0</v>
      </c>
      <c r="AA181" s="192">
        <v>0</v>
      </c>
      <c r="AB181" s="192">
        <v>0</v>
      </c>
      <c r="AC181" s="192">
        <v>0</v>
      </c>
      <c r="AD181" s="192">
        <v>0</v>
      </c>
      <c r="AE181" s="192">
        <v>0</v>
      </c>
      <c r="AF181" s="193">
        <v>0</v>
      </c>
      <c r="AG181" s="193">
        <v>0</v>
      </c>
      <c r="AH181" s="193">
        <v>0</v>
      </c>
      <c r="AI181" s="193">
        <v>0</v>
      </c>
      <c r="AJ181" s="193">
        <v>0</v>
      </c>
      <c r="AK181" s="193">
        <v>0</v>
      </c>
      <c r="AL181" s="193">
        <v>0</v>
      </c>
      <c r="AM181" s="193">
        <v>0</v>
      </c>
      <c r="AN181" s="193">
        <v>0</v>
      </c>
      <c r="AO181" s="193">
        <v>0</v>
      </c>
      <c r="AP181" s="193">
        <v>0</v>
      </c>
      <c r="AQ181" s="193">
        <v>0</v>
      </c>
      <c r="AR181" s="193">
        <v>0</v>
      </c>
      <c r="AS181" s="193">
        <v>0</v>
      </c>
      <c r="AT181" s="193">
        <v>0</v>
      </c>
      <c r="AU181" s="193">
        <v>0</v>
      </c>
      <c r="AV181" s="193">
        <v>0</v>
      </c>
      <c r="AW181" s="193">
        <v>0</v>
      </c>
      <c r="AX181" s="193">
        <v>0</v>
      </c>
      <c r="AY181" s="193">
        <v>0</v>
      </c>
      <c r="AZ181" s="193">
        <v>0</v>
      </c>
      <c r="BA181" s="193">
        <v>0</v>
      </c>
      <c r="BB181" s="193">
        <v>0</v>
      </c>
      <c r="BC181" s="193">
        <v>0</v>
      </c>
      <c r="BD181" s="193">
        <v>0</v>
      </c>
      <c r="BE181" s="193">
        <v>0</v>
      </c>
      <c r="BF181" s="193">
        <v>0</v>
      </c>
      <c r="BG181" s="193">
        <v>0</v>
      </c>
      <c r="BH181" s="193">
        <v>0</v>
      </c>
    </row>
    <row r="182" spans="1:60" s="188" customFormat="1">
      <c r="A182" s="189">
        <v>-14</v>
      </c>
      <c r="B182" s="194" t="s">
        <v>990</v>
      </c>
      <c r="C182" s="191">
        <v>800000</v>
      </c>
      <c r="D182" s="192">
        <v>0</v>
      </c>
      <c r="E182" s="192">
        <v>0</v>
      </c>
      <c r="F182" s="192">
        <v>0</v>
      </c>
      <c r="G182" s="192">
        <v>0</v>
      </c>
      <c r="H182" s="192">
        <v>0</v>
      </c>
      <c r="I182" s="192">
        <v>0</v>
      </c>
      <c r="J182" s="192">
        <v>0</v>
      </c>
      <c r="K182" s="192">
        <v>0</v>
      </c>
      <c r="L182" s="192">
        <v>0</v>
      </c>
      <c r="M182" s="192">
        <v>0</v>
      </c>
      <c r="N182" s="192">
        <v>0</v>
      </c>
      <c r="O182" s="192">
        <v>0</v>
      </c>
      <c r="P182" s="192">
        <v>0</v>
      </c>
      <c r="Q182" s="192">
        <v>0</v>
      </c>
      <c r="R182" s="192">
        <v>0</v>
      </c>
      <c r="S182" s="192">
        <v>0</v>
      </c>
      <c r="T182" s="192">
        <v>0</v>
      </c>
      <c r="U182" s="192">
        <v>0</v>
      </c>
      <c r="V182" s="192">
        <v>0</v>
      </c>
      <c r="W182" s="192">
        <v>0</v>
      </c>
      <c r="X182" s="192">
        <v>0</v>
      </c>
      <c r="Y182" s="192">
        <v>0</v>
      </c>
      <c r="Z182" s="192">
        <v>0</v>
      </c>
      <c r="AA182" s="192">
        <v>0</v>
      </c>
      <c r="AB182" s="192">
        <v>0</v>
      </c>
      <c r="AC182" s="192">
        <v>0</v>
      </c>
      <c r="AD182" s="192">
        <v>0</v>
      </c>
      <c r="AE182" s="192">
        <v>0</v>
      </c>
      <c r="AF182" s="193">
        <v>0</v>
      </c>
      <c r="AG182" s="193">
        <v>0</v>
      </c>
      <c r="AH182" s="193">
        <v>0</v>
      </c>
      <c r="AI182" s="193">
        <v>0</v>
      </c>
      <c r="AJ182" s="193">
        <v>0</v>
      </c>
      <c r="AK182" s="193">
        <v>0</v>
      </c>
      <c r="AL182" s="193">
        <v>0</v>
      </c>
      <c r="AM182" s="193">
        <v>0</v>
      </c>
      <c r="AN182" s="193">
        <v>0</v>
      </c>
      <c r="AO182" s="193">
        <v>0</v>
      </c>
      <c r="AP182" s="193">
        <v>0</v>
      </c>
      <c r="AQ182" s="193">
        <v>0</v>
      </c>
      <c r="AR182" s="193">
        <v>0</v>
      </c>
      <c r="AS182" s="193">
        <v>0</v>
      </c>
      <c r="AT182" s="193">
        <v>0</v>
      </c>
      <c r="AU182" s="193">
        <v>0</v>
      </c>
      <c r="AV182" s="193">
        <v>0</v>
      </c>
      <c r="AW182" s="193">
        <v>0</v>
      </c>
      <c r="AX182" s="193">
        <v>0</v>
      </c>
      <c r="AY182" s="193">
        <v>0</v>
      </c>
      <c r="AZ182" s="193">
        <v>0</v>
      </c>
      <c r="BA182" s="193">
        <v>0</v>
      </c>
      <c r="BB182" s="193">
        <v>0</v>
      </c>
      <c r="BC182" s="193">
        <v>0</v>
      </c>
      <c r="BD182" s="193">
        <v>0</v>
      </c>
      <c r="BE182" s="193">
        <v>0</v>
      </c>
      <c r="BF182" s="193">
        <v>0</v>
      </c>
      <c r="BG182" s="193">
        <v>0</v>
      </c>
      <c r="BH182" s="193">
        <v>0</v>
      </c>
    </row>
    <row r="183" spans="1:60" s="188" customFormat="1">
      <c r="A183" s="189">
        <v>-15</v>
      </c>
      <c r="B183" s="190" t="s">
        <v>991</v>
      </c>
      <c r="C183" s="191">
        <v>800000</v>
      </c>
      <c r="D183" s="192">
        <v>0</v>
      </c>
      <c r="E183" s="192">
        <v>0</v>
      </c>
      <c r="F183" s="192">
        <v>0</v>
      </c>
      <c r="G183" s="192">
        <v>0</v>
      </c>
      <c r="H183" s="192">
        <v>0</v>
      </c>
      <c r="I183" s="192">
        <v>0</v>
      </c>
      <c r="J183" s="192">
        <v>0</v>
      </c>
      <c r="K183" s="192">
        <v>0</v>
      </c>
      <c r="L183" s="192">
        <v>0</v>
      </c>
      <c r="M183" s="192">
        <v>0</v>
      </c>
      <c r="N183" s="192">
        <v>0</v>
      </c>
      <c r="O183" s="192">
        <v>0</v>
      </c>
      <c r="P183" s="192">
        <v>0</v>
      </c>
      <c r="Q183" s="192">
        <v>0</v>
      </c>
      <c r="R183" s="192">
        <v>0</v>
      </c>
      <c r="S183" s="192">
        <v>0</v>
      </c>
      <c r="T183" s="192">
        <v>0</v>
      </c>
      <c r="U183" s="192">
        <v>0</v>
      </c>
      <c r="V183" s="192">
        <v>0</v>
      </c>
      <c r="W183" s="192">
        <v>0</v>
      </c>
      <c r="X183" s="192">
        <v>0</v>
      </c>
      <c r="Y183" s="192">
        <v>0</v>
      </c>
      <c r="Z183" s="192">
        <v>0</v>
      </c>
      <c r="AA183" s="192">
        <v>0</v>
      </c>
      <c r="AB183" s="192">
        <v>0</v>
      </c>
      <c r="AC183" s="192">
        <v>0</v>
      </c>
      <c r="AD183" s="192">
        <v>0</v>
      </c>
      <c r="AE183" s="192">
        <v>0</v>
      </c>
      <c r="AF183" s="193">
        <v>0</v>
      </c>
      <c r="AG183" s="193">
        <v>0</v>
      </c>
      <c r="AH183" s="193">
        <v>0</v>
      </c>
      <c r="AI183" s="193">
        <v>0</v>
      </c>
      <c r="AJ183" s="193">
        <v>0</v>
      </c>
      <c r="AK183" s="193">
        <v>0</v>
      </c>
      <c r="AL183" s="193">
        <v>0</v>
      </c>
      <c r="AM183" s="193">
        <v>0</v>
      </c>
      <c r="AN183" s="193">
        <v>0</v>
      </c>
      <c r="AO183" s="193">
        <v>0</v>
      </c>
      <c r="AP183" s="193">
        <v>0</v>
      </c>
      <c r="AQ183" s="193">
        <v>0</v>
      </c>
      <c r="AR183" s="193">
        <v>0</v>
      </c>
      <c r="AS183" s="193">
        <v>0</v>
      </c>
      <c r="AT183" s="193">
        <v>0</v>
      </c>
      <c r="AU183" s="193">
        <v>0</v>
      </c>
      <c r="AV183" s="193">
        <v>0</v>
      </c>
      <c r="AW183" s="193">
        <v>0</v>
      </c>
      <c r="AX183" s="193">
        <v>0</v>
      </c>
      <c r="AY183" s="193">
        <v>0</v>
      </c>
      <c r="AZ183" s="193">
        <v>0</v>
      </c>
      <c r="BA183" s="193">
        <v>0</v>
      </c>
      <c r="BB183" s="193">
        <v>0</v>
      </c>
      <c r="BC183" s="193">
        <v>0</v>
      </c>
      <c r="BD183" s="193">
        <v>0</v>
      </c>
      <c r="BE183" s="193">
        <v>0</v>
      </c>
      <c r="BF183" s="193">
        <v>0</v>
      </c>
      <c r="BG183" s="193">
        <v>0</v>
      </c>
      <c r="BH183" s="193">
        <v>0</v>
      </c>
    </row>
    <row r="184" spans="1:60" s="188" customFormat="1">
      <c r="A184" s="189">
        <v>-16</v>
      </c>
      <c r="B184" s="190" t="s">
        <v>992</v>
      </c>
      <c r="C184" s="191">
        <v>1500000</v>
      </c>
      <c r="D184" s="192">
        <v>0</v>
      </c>
      <c r="E184" s="192">
        <v>0</v>
      </c>
      <c r="F184" s="192">
        <v>0</v>
      </c>
      <c r="G184" s="192">
        <v>0</v>
      </c>
      <c r="H184" s="192">
        <v>0</v>
      </c>
      <c r="I184" s="192">
        <v>0</v>
      </c>
      <c r="J184" s="192">
        <v>0</v>
      </c>
      <c r="K184" s="192">
        <v>0</v>
      </c>
      <c r="L184" s="192">
        <v>0</v>
      </c>
      <c r="M184" s="192">
        <v>0</v>
      </c>
      <c r="N184" s="192">
        <v>0</v>
      </c>
      <c r="O184" s="192">
        <v>0</v>
      </c>
      <c r="P184" s="192">
        <v>0</v>
      </c>
      <c r="Q184" s="192">
        <v>0</v>
      </c>
      <c r="R184" s="192">
        <v>0</v>
      </c>
      <c r="S184" s="192">
        <v>0</v>
      </c>
      <c r="T184" s="192">
        <v>0</v>
      </c>
      <c r="U184" s="192">
        <v>0</v>
      </c>
      <c r="V184" s="192">
        <v>0</v>
      </c>
      <c r="W184" s="192">
        <v>0</v>
      </c>
      <c r="X184" s="192">
        <v>0</v>
      </c>
      <c r="Y184" s="192">
        <v>0</v>
      </c>
      <c r="Z184" s="192">
        <v>0</v>
      </c>
      <c r="AA184" s="192">
        <v>0</v>
      </c>
      <c r="AB184" s="192">
        <v>0</v>
      </c>
      <c r="AC184" s="192">
        <v>0</v>
      </c>
      <c r="AD184" s="192">
        <v>0</v>
      </c>
      <c r="AE184" s="192">
        <v>0</v>
      </c>
      <c r="AF184" s="193">
        <v>0</v>
      </c>
      <c r="AG184" s="193">
        <v>0</v>
      </c>
      <c r="AH184" s="193">
        <v>0</v>
      </c>
      <c r="AI184" s="193">
        <v>0</v>
      </c>
      <c r="AJ184" s="193">
        <v>0</v>
      </c>
      <c r="AK184" s="193">
        <v>0</v>
      </c>
      <c r="AL184" s="193">
        <v>0</v>
      </c>
      <c r="AM184" s="193">
        <v>0</v>
      </c>
      <c r="AN184" s="193">
        <v>0</v>
      </c>
      <c r="AO184" s="193">
        <v>0</v>
      </c>
      <c r="AP184" s="193">
        <v>0</v>
      </c>
      <c r="AQ184" s="193">
        <v>0</v>
      </c>
      <c r="AR184" s="193">
        <v>0</v>
      </c>
      <c r="AS184" s="193">
        <v>0</v>
      </c>
      <c r="AT184" s="193">
        <v>0</v>
      </c>
      <c r="AU184" s="193">
        <v>0</v>
      </c>
      <c r="AV184" s="193">
        <v>0</v>
      </c>
      <c r="AW184" s="193">
        <v>0</v>
      </c>
      <c r="AX184" s="193">
        <v>0</v>
      </c>
      <c r="AY184" s="193">
        <v>0</v>
      </c>
      <c r="AZ184" s="193">
        <v>0</v>
      </c>
      <c r="BA184" s="193">
        <v>0</v>
      </c>
      <c r="BB184" s="193">
        <v>0</v>
      </c>
      <c r="BC184" s="193">
        <v>0</v>
      </c>
      <c r="BD184" s="193">
        <v>0</v>
      </c>
      <c r="BE184" s="193">
        <v>0</v>
      </c>
      <c r="BF184" s="193">
        <v>0</v>
      </c>
      <c r="BG184" s="193">
        <v>0</v>
      </c>
      <c r="BH184" s="193">
        <v>0</v>
      </c>
    </row>
    <row r="185" spans="1:60" s="188" customFormat="1">
      <c r="A185" s="189">
        <v>-17</v>
      </c>
      <c r="B185" s="190" t="s">
        <v>993</v>
      </c>
      <c r="C185" s="191">
        <v>1500000</v>
      </c>
      <c r="D185" s="192">
        <v>0</v>
      </c>
      <c r="E185" s="192">
        <v>0</v>
      </c>
      <c r="F185" s="192">
        <v>0</v>
      </c>
      <c r="G185" s="192">
        <v>0</v>
      </c>
      <c r="H185" s="192">
        <v>0</v>
      </c>
      <c r="I185" s="192">
        <v>0</v>
      </c>
      <c r="J185" s="192">
        <v>0</v>
      </c>
      <c r="K185" s="192">
        <v>0</v>
      </c>
      <c r="L185" s="192">
        <v>0</v>
      </c>
      <c r="M185" s="192">
        <v>0</v>
      </c>
      <c r="N185" s="192">
        <v>0</v>
      </c>
      <c r="O185" s="192">
        <v>0</v>
      </c>
      <c r="P185" s="192">
        <v>0</v>
      </c>
      <c r="Q185" s="192">
        <v>0</v>
      </c>
      <c r="R185" s="192">
        <v>0</v>
      </c>
      <c r="S185" s="192">
        <v>0</v>
      </c>
      <c r="T185" s="192">
        <v>0</v>
      </c>
      <c r="U185" s="192">
        <v>0</v>
      </c>
      <c r="V185" s="192">
        <v>0</v>
      </c>
      <c r="W185" s="192">
        <v>0</v>
      </c>
      <c r="X185" s="192">
        <v>0</v>
      </c>
      <c r="Y185" s="192">
        <v>0</v>
      </c>
      <c r="Z185" s="192">
        <v>0</v>
      </c>
      <c r="AA185" s="192">
        <v>0</v>
      </c>
      <c r="AB185" s="192">
        <v>0</v>
      </c>
      <c r="AC185" s="192">
        <v>0</v>
      </c>
      <c r="AD185" s="192">
        <v>0</v>
      </c>
      <c r="AE185" s="192">
        <v>0</v>
      </c>
      <c r="AF185" s="193">
        <v>0</v>
      </c>
      <c r="AG185" s="193">
        <v>0</v>
      </c>
      <c r="AH185" s="193">
        <v>0</v>
      </c>
      <c r="AI185" s="193">
        <v>0</v>
      </c>
      <c r="AJ185" s="193">
        <v>0</v>
      </c>
      <c r="AK185" s="193">
        <v>0</v>
      </c>
      <c r="AL185" s="193">
        <v>0</v>
      </c>
      <c r="AM185" s="193">
        <v>0</v>
      </c>
      <c r="AN185" s="193">
        <v>0</v>
      </c>
      <c r="AO185" s="193">
        <v>0</v>
      </c>
      <c r="AP185" s="193">
        <v>0</v>
      </c>
      <c r="AQ185" s="193">
        <v>0</v>
      </c>
      <c r="AR185" s="193">
        <v>0</v>
      </c>
      <c r="AS185" s="193">
        <v>0</v>
      </c>
      <c r="AT185" s="193">
        <v>0</v>
      </c>
      <c r="AU185" s="193">
        <v>0</v>
      </c>
      <c r="AV185" s="193">
        <v>0</v>
      </c>
      <c r="AW185" s="193">
        <v>0</v>
      </c>
      <c r="AX185" s="193">
        <v>0</v>
      </c>
      <c r="AY185" s="193">
        <v>0</v>
      </c>
      <c r="AZ185" s="193">
        <v>0</v>
      </c>
      <c r="BA185" s="193">
        <v>0</v>
      </c>
      <c r="BB185" s="193">
        <v>0</v>
      </c>
      <c r="BC185" s="193">
        <v>0</v>
      </c>
      <c r="BD185" s="193">
        <v>0</v>
      </c>
      <c r="BE185" s="193">
        <v>0</v>
      </c>
      <c r="BF185" s="193">
        <v>0</v>
      </c>
      <c r="BG185" s="193">
        <v>0</v>
      </c>
      <c r="BH185" s="193">
        <v>0</v>
      </c>
    </row>
    <row r="186" spans="1:60" s="188" customFormat="1">
      <c r="A186" s="189">
        <v>-18</v>
      </c>
      <c r="B186" s="190" t="s">
        <v>994</v>
      </c>
      <c r="C186" s="191">
        <v>1900000</v>
      </c>
      <c r="D186" s="192">
        <v>0</v>
      </c>
      <c r="E186" s="192">
        <v>0</v>
      </c>
      <c r="F186" s="192">
        <v>0</v>
      </c>
      <c r="G186" s="192">
        <v>0</v>
      </c>
      <c r="H186" s="192">
        <v>0</v>
      </c>
      <c r="I186" s="192">
        <v>0</v>
      </c>
      <c r="J186" s="192">
        <v>0</v>
      </c>
      <c r="K186" s="192">
        <v>0</v>
      </c>
      <c r="L186" s="192">
        <v>0</v>
      </c>
      <c r="M186" s="192">
        <v>0</v>
      </c>
      <c r="N186" s="192">
        <v>0</v>
      </c>
      <c r="O186" s="192">
        <v>0</v>
      </c>
      <c r="P186" s="192">
        <v>0</v>
      </c>
      <c r="Q186" s="192">
        <v>0</v>
      </c>
      <c r="R186" s="192">
        <v>0</v>
      </c>
      <c r="S186" s="192">
        <v>0</v>
      </c>
      <c r="T186" s="192">
        <v>0</v>
      </c>
      <c r="U186" s="192">
        <v>0</v>
      </c>
      <c r="V186" s="192">
        <v>0</v>
      </c>
      <c r="W186" s="192">
        <v>0</v>
      </c>
      <c r="X186" s="192">
        <v>0</v>
      </c>
      <c r="Y186" s="192">
        <v>0</v>
      </c>
      <c r="Z186" s="192">
        <v>0</v>
      </c>
      <c r="AA186" s="192">
        <v>0</v>
      </c>
      <c r="AB186" s="192">
        <v>0</v>
      </c>
      <c r="AC186" s="192">
        <v>0</v>
      </c>
      <c r="AD186" s="192">
        <v>0</v>
      </c>
      <c r="AE186" s="192">
        <v>0</v>
      </c>
      <c r="AF186" s="193">
        <v>0</v>
      </c>
      <c r="AG186" s="193">
        <v>0</v>
      </c>
      <c r="AH186" s="193">
        <v>0</v>
      </c>
      <c r="AI186" s="193">
        <v>0</v>
      </c>
      <c r="AJ186" s="193">
        <v>0</v>
      </c>
      <c r="AK186" s="193">
        <v>0</v>
      </c>
      <c r="AL186" s="193">
        <v>0</v>
      </c>
      <c r="AM186" s="193">
        <v>0</v>
      </c>
      <c r="AN186" s="193">
        <v>0</v>
      </c>
      <c r="AO186" s="193">
        <v>0</v>
      </c>
      <c r="AP186" s="193">
        <v>0</v>
      </c>
      <c r="AQ186" s="193">
        <v>0</v>
      </c>
      <c r="AR186" s="193">
        <v>0</v>
      </c>
      <c r="AS186" s="193">
        <v>0</v>
      </c>
      <c r="AT186" s="193">
        <v>0</v>
      </c>
      <c r="AU186" s="193">
        <v>0</v>
      </c>
      <c r="AV186" s="193">
        <v>0</v>
      </c>
      <c r="AW186" s="193">
        <v>0</v>
      </c>
      <c r="AX186" s="193">
        <v>0</v>
      </c>
      <c r="AY186" s="193">
        <v>0</v>
      </c>
      <c r="AZ186" s="193">
        <v>0</v>
      </c>
      <c r="BA186" s="193">
        <v>0</v>
      </c>
      <c r="BB186" s="193">
        <v>0</v>
      </c>
      <c r="BC186" s="193">
        <v>0</v>
      </c>
      <c r="BD186" s="193">
        <v>0</v>
      </c>
      <c r="BE186" s="193">
        <v>0</v>
      </c>
      <c r="BF186" s="193">
        <v>0</v>
      </c>
      <c r="BG186" s="193">
        <v>0</v>
      </c>
      <c r="BH186" s="193">
        <v>0</v>
      </c>
    </row>
    <row r="187" spans="1:60" s="188" customFormat="1">
      <c r="A187" s="189">
        <v>-19</v>
      </c>
      <c r="B187" s="190" t="s">
        <v>963</v>
      </c>
      <c r="C187" s="191">
        <v>2500000</v>
      </c>
      <c r="D187" s="192">
        <v>0</v>
      </c>
      <c r="E187" s="192">
        <v>0</v>
      </c>
      <c r="F187" s="192">
        <v>0</v>
      </c>
      <c r="G187" s="192">
        <v>0</v>
      </c>
      <c r="H187" s="192">
        <v>0</v>
      </c>
      <c r="I187" s="192">
        <v>0</v>
      </c>
      <c r="J187" s="192">
        <v>0</v>
      </c>
      <c r="K187" s="192">
        <v>0</v>
      </c>
      <c r="L187" s="192">
        <v>0</v>
      </c>
      <c r="M187" s="192">
        <v>0</v>
      </c>
      <c r="N187" s="192">
        <v>0</v>
      </c>
      <c r="O187" s="192">
        <v>0</v>
      </c>
      <c r="P187" s="192">
        <v>0</v>
      </c>
      <c r="Q187" s="192">
        <v>0</v>
      </c>
      <c r="R187" s="192">
        <v>0</v>
      </c>
      <c r="S187" s="192">
        <v>0</v>
      </c>
      <c r="T187" s="192">
        <v>0</v>
      </c>
      <c r="U187" s="192">
        <v>0</v>
      </c>
      <c r="V187" s="192">
        <v>0</v>
      </c>
      <c r="W187" s="192">
        <v>0</v>
      </c>
      <c r="X187" s="192">
        <v>0</v>
      </c>
      <c r="Y187" s="192">
        <v>0</v>
      </c>
      <c r="Z187" s="192">
        <v>0</v>
      </c>
      <c r="AA187" s="192">
        <v>0</v>
      </c>
      <c r="AB187" s="192">
        <v>0</v>
      </c>
      <c r="AC187" s="192">
        <v>0</v>
      </c>
      <c r="AD187" s="192">
        <v>0</v>
      </c>
      <c r="AE187" s="192">
        <v>0</v>
      </c>
      <c r="AF187" s="193">
        <v>0</v>
      </c>
      <c r="AG187" s="193">
        <v>0</v>
      </c>
      <c r="AH187" s="193">
        <v>0</v>
      </c>
      <c r="AI187" s="193">
        <v>0</v>
      </c>
      <c r="AJ187" s="193">
        <v>0</v>
      </c>
      <c r="AK187" s="193">
        <v>0</v>
      </c>
      <c r="AL187" s="193">
        <v>0</v>
      </c>
      <c r="AM187" s="193">
        <v>0</v>
      </c>
      <c r="AN187" s="193">
        <v>0</v>
      </c>
      <c r="AO187" s="193">
        <v>0</v>
      </c>
      <c r="AP187" s="193">
        <v>0</v>
      </c>
      <c r="AQ187" s="193">
        <v>0</v>
      </c>
      <c r="AR187" s="193">
        <v>0</v>
      </c>
      <c r="AS187" s="193">
        <v>0</v>
      </c>
      <c r="AT187" s="193">
        <v>0</v>
      </c>
      <c r="AU187" s="193">
        <v>0</v>
      </c>
      <c r="AV187" s="193">
        <v>0</v>
      </c>
      <c r="AW187" s="193">
        <v>0</v>
      </c>
      <c r="AX187" s="193">
        <v>0</v>
      </c>
      <c r="AY187" s="193">
        <v>0</v>
      </c>
      <c r="AZ187" s="193">
        <v>0</v>
      </c>
      <c r="BA187" s="193">
        <v>0</v>
      </c>
      <c r="BB187" s="193">
        <v>0</v>
      </c>
      <c r="BC187" s="193">
        <v>0</v>
      </c>
      <c r="BD187" s="193">
        <v>0</v>
      </c>
      <c r="BE187" s="193">
        <v>0</v>
      </c>
      <c r="BF187" s="193">
        <v>0</v>
      </c>
      <c r="BG187" s="193">
        <v>0</v>
      </c>
      <c r="BH187" s="193">
        <v>0</v>
      </c>
    </row>
    <row r="188" spans="1:60" s="188" customFormat="1">
      <c r="A188" s="189">
        <v>-20</v>
      </c>
      <c r="B188" s="190" t="s">
        <v>995</v>
      </c>
      <c r="C188" s="191">
        <v>2500000</v>
      </c>
      <c r="D188" s="192">
        <v>0</v>
      </c>
      <c r="E188" s="192">
        <v>0</v>
      </c>
      <c r="F188" s="192">
        <v>0</v>
      </c>
      <c r="G188" s="192">
        <v>0</v>
      </c>
      <c r="H188" s="192">
        <v>0</v>
      </c>
      <c r="I188" s="192">
        <v>0</v>
      </c>
      <c r="J188" s="192">
        <v>0</v>
      </c>
      <c r="K188" s="192">
        <v>0</v>
      </c>
      <c r="L188" s="192">
        <v>0</v>
      </c>
      <c r="M188" s="192">
        <v>0</v>
      </c>
      <c r="N188" s="192">
        <v>0</v>
      </c>
      <c r="O188" s="192">
        <v>0</v>
      </c>
      <c r="P188" s="192">
        <v>0</v>
      </c>
      <c r="Q188" s="192">
        <v>0</v>
      </c>
      <c r="R188" s="192">
        <v>0</v>
      </c>
      <c r="S188" s="192">
        <v>0</v>
      </c>
      <c r="T188" s="192">
        <v>0</v>
      </c>
      <c r="U188" s="192">
        <v>0</v>
      </c>
      <c r="V188" s="192">
        <v>0</v>
      </c>
      <c r="W188" s="192">
        <v>0</v>
      </c>
      <c r="X188" s="192">
        <v>0</v>
      </c>
      <c r="Y188" s="192">
        <v>0</v>
      </c>
      <c r="Z188" s="192">
        <v>0</v>
      </c>
      <c r="AA188" s="192">
        <v>0</v>
      </c>
      <c r="AB188" s="192">
        <v>0</v>
      </c>
      <c r="AC188" s="192">
        <v>0</v>
      </c>
      <c r="AD188" s="192">
        <v>0</v>
      </c>
      <c r="AE188" s="192">
        <v>0</v>
      </c>
      <c r="AF188" s="193">
        <v>0</v>
      </c>
      <c r="AG188" s="193">
        <v>0</v>
      </c>
      <c r="AH188" s="193">
        <v>0</v>
      </c>
      <c r="AI188" s="193">
        <v>0</v>
      </c>
      <c r="AJ188" s="193">
        <v>0</v>
      </c>
      <c r="AK188" s="193">
        <v>0</v>
      </c>
      <c r="AL188" s="193">
        <v>0</v>
      </c>
      <c r="AM188" s="193">
        <v>0</v>
      </c>
      <c r="AN188" s="193">
        <v>0</v>
      </c>
      <c r="AO188" s="193">
        <v>0</v>
      </c>
      <c r="AP188" s="193">
        <v>0</v>
      </c>
      <c r="AQ188" s="193">
        <v>0</v>
      </c>
      <c r="AR188" s="193">
        <v>0</v>
      </c>
      <c r="AS188" s="193">
        <v>0</v>
      </c>
      <c r="AT188" s="193">
        <v>0</v>
      </c>
      <c r="AU188" s="193">
        <v>0</v>
      </c>
      <c r="AV188" s="193">
        <v>0</v>
      </c>
      <c r="AW188" s="193">
        <v>0</v>
      </c>
      <c r="AX188" s="193">
        <v>0</v>
      </c>
      <c r="AY188" s="193">
        <v>0</v>
      </c>
      <c r="AZ188" s="193">
        <v>0</v>
      </c>
      <c r="BA188" s="193">
        <v>0</v>
      </c>
      <c r="BB188" s="193">
        <v>0</v>
      </c>
      <c r="BC188" s="193">
        <v>0</v>
      </c>
      <c r="BD188" s="193">
        <v>0</v>
      </c>
      <c r="BE188" s="193">
        <v>0</v>
      </c>
      <c r="BF188" s="193">
        <v>0</v>
      </c>
      <c r="BG188" s="193">
        <v>0</v>
      </c>
      <c r="BH188" s="193">
        <v>0</v>
      </c>
    </row>
    <row r="189" spans="1:60" s="188" customFormat="1">
      <c r="A189" s="189">
        <v>-21</v>
      </c>
      <c r="B189" s="190" t="s">
        <v>996</v>
      </c>
      <c r="C189" s="191">
        <v>3000000</v>
      </c>
      <c r="D189" s="192">
        <v>0</v>
      </c>
      <c r="E189" s="192">
        <v>0</v>
      </c>
      <c r="F189" s="192">
        <v>0</v>
      </c>
      <c r="G189" s="192">
        <v>0</v>
      </c>
      <c r="H189" s="192">
        <v>0</v>
      </c>
      <c r="I189" s="192">
        <v>0</v>
      </c>
      <c r="J189" s="192">
        <v>0</v>
      </c>
      <c r="K189" s="192">
        <v>0</v>
      </c>
      <c r="L189" s="192">
        <v>0</v>
      </c>
      <c r="M189" s="192">
        <v>0</v>
      </c>
      <c r="N189" s="192">
        <v>0</v>
      </c>
      <c r="O189" s="192">
        <v>0</v>
      </c>
      <c r="P189" s="192">
        <v>0</v>
      </c>
      <c r="Q189" s="192">
        <v>0</v>
      </c>
      <c r="R189" s="192">
        <v>0</v>
      </c>
      <c r="S189" s="192">
        <v>0</v>
      </c>
      <c r="T189" s="192">
        <v>0</v>
      </c>
      <c r="U189" s="192">
        <v>0</v>
      </c>
      <c r="V189" s="192">
        <v>0</v>
      </c>
      <c r="W189" s="192">
        <v>0</v>
      </c>
      <c r="X189" s="192">
        <v>0</v>
      </c>
      <c r="Y189" s="192">
        <v>0</v>
      </c>
      <c r="Z189" s="192">
        <v>0</v>
      </c>
      <c r="AA189" s="192">
        <v>0</v>
      </c>
      <c r="AB189" s="192">
        <v>0</v>
      </c>
      <c r="AC189" s="192">
        <v>0</v>
      </c>
      <c r="AD189" s="192">
        <v>0</v>
      </c>
      <c r="AE189" s="192">
        <v>0</v>
      </c>
      <c r="AF189" s="193">
        <v>0</v>
      </c>
      <c r="AG189" s="193">
        <v>0</v>
      </c>
      <c r="AH189" s="193">
        <v>0</v>
      </c>
      <c r="AI189" s="193">
        <v>0</v>
      </c>
      <c r="AJ189" s="193">
        <v>0</v>
      </c>
      <c r="AK189" s="193">
        <v>0</v>
      </c>
      <c r="AL189" s="193">
        <v>0</v>
      </c>
      <c r="AM189" s="193">
        <v>0</v>
      </c>
      <c r="AN189" s="193">
        <v>0</v>
      </c>
      <c r="AO189" s="193">
        <v>0</v>
      </c>
      <c r="AP189" s="193">
        <v>0</v>
      </c>
      <c r="AQ189" s="193">
        <v>0</v>
      </c>
      <c r="AR189" s="193">
        <v>0</v>
      </c>
      <c r="AS189" s="193">
        <v>0</v>
      </c>
      <c r="AT189" s="193">
        <v>0</v>
      </c>
      <c r="AU189" s="193">
        <v>0</v>
      </c>
      <c r="AV189" s="193">
        <v>0</v>
      </c>
      <c r="AW189" s="193">
        <v>0</v>
      </c>
      <c r="AX189" s="193">
        <v>0</v>
      </c>
      <c r="AY189" s="193">
        <v>0</v>
      </c>
      <c r="AZ189" s="193">
        <v>0</v>
      </c>
      <c r="BA189" s="193">
        <v>0</v>
      </c>
      <c r="BB189" s="193">
        <v>0</v>
      </c>
      <c r="BC189" s="193">
        <v>0</v>
      </c>
      <c r="BD189" s="193">
        <v>0</v>
      </c>
      <c r="BE189" s="193">
        <v>0</v>
      </c>
      <c r="BF189" s="193">
        <v>0</v>
      </c>
      <c r="BG189" s="193">
        <v>0</v>
      </c>
      <c r="BH189" s="193">
        <v>0</v>
      </c>
    </row>
    <row r="190" spans="1:60" s="188" customFormat="1">
      <c r="A190" s="189">
        <v>-22</v>
      </c>
      <c r="B190" s="194" t="s">
        <v>971</v>
      </c>
      <c r="C190" s="191">
        <v>11500000</v>
      </c>
      <c r="D190" s="192">
        <v>0</v>
      </c>
      <c r="E190" s="192">
        <v>0</v>
      </c>
      <c r="F190" s="192">
        <v>0</v>
      </c>
      <c r="G190" s="192">
        <v>0</v>
      </c>
      <c r="H190" s="192">
        <v>0</v>
      </c>
      <c r="I190" s="192">
        <v>0</v>
      </c>
      <c r="J190" s="192">
        <v>0</v>
      </c>
      <c r="K190" s="192">
        <v>0</v>
      </c>
      <c r="L190" s="192">
        <v>0</v>
      </c>
      <c r="M190" s="192">
        <v>0</v>
      </c>
      <c r="N190" s="192">
        <v>0</v>
      </c>
      <c r="O190" s="192">
        <v>0</v>
      </c>
      <c r="P190" s="192">
        <v>0</v>
      </c>
      <c r="Q190" s="192">
        <v>0</v>
      </c>
      <c r="R190" s="192">
        <v>0</v>
      </c>
      <c r="S190" s="192">
        <v>0</v>
      </c>
      <c r="T190" s="192">
        <v>0</v>
      </c>
      <c r="U190" s="192">
        <v>0</v>
      </c>
      <c r="V190" s="192">
        <v>0</v>
      </c>
      <c r="W190" s="192">
        <v>0</v>
      </c>
      <c r="X190" s="192">
        <v>0</v>
      </c>
      <c r="Y190" s="192">
        <v>0</v>
      </c>
      <c r="Z190" s="192">
        <v>0</v>
      </c>
      <c r="AA190" s="192">
        <v>0</v>
      </c>
      <c r="AB190" s="192">
        <v>0</v>
      </c>
      <c r="AC190" s="192">
        <v>0</v>
      </c>
      <c r="AD190" s="192">
        <v>0</v>
      </c>
      <c r="AE190" s="192">
        <v>0</v>
      </c>
      <c r="AF190" s="193">
        <v>0</v>
      </c>
      <c r="AG190" s="193">
        <v>0</v>
      </c>
      <c r="AH190" s="193">
        <v>0</v>
      </c>
      <c r="AI190" s="193">
        <v>0</v>
      </c>
      <c r="AJ190" s="193">
        <v>0</v>
      </c>
      <c r="AK190" s="193">
        <v>0</v>
      </c>
      <c r="AL190" s="193">
        <v>0</v>
      </c>
      <c r="AM190" s="193">
        <v>0</v>
      </c>
      <c r="AN190" s="193">
        <v>0</v>
      </c>
      <c r="AO190" s="193">
        <v>0</v>
      </c>
      <c r="AP190" s="193">
        <v>0</v>
      </c>
      <c r="AQ190" s="193">
        <v>0</v>
      </c>
      <c r="AR190" s="193">
        <v>0</v>
      </c>
      <c r="AS190" s="193">
        <v>0</v>
      </c>
      <c r="AT190" s="193">
        <v>0</v>
      </c>
      <c r="AU190" s="193">
        <v>0</v>
      </c>
      <c r="AV190" s="193">
        <v>0</v>
      </c>
      <c r="AW190" s="193">
        <v>0</v>
      </c>
      <c r="AX190" s="193">
        <v>0</v>
      </c>
      <c r="AY190" s="193">
        <v>0</v>
      </c>
      <c r="AZ190" s="193">
        <v>0</v>
      </c>
      <c r="BA190" s="193">
        <v>0</v>
      </c>
      <c r="BB190" s="193">
        <v>0</v>
      </c>
      <c r="BC190" s="193">
        <v>0</v>
      </c>
      <c r="BD190" s="193">
        <v>0</v>
      </c>
      <c r="BE190" s="193">
        <v>0</v>
      </c>
      <c r="BF190" s="193">
        <v>0</v>
      </c>
      <c r="BG190" s="193">
        <v>0</v>
      </c>
      <c r="BH190" s="193">
        <v>0</v>
      </c>
    </row>
    <row r="191" spans="1:60" s="188" customFormat="1">
      <c r="A191" s="189">
        <v>-23</v>
      </c>
      <c r="B191" s="194" t="s">
        <v>972</v>
      </c>
      <c r="C191" s="191">
        <v>12650000</v>
      </c>
      <c r="D191" s="192">
        <v>0</v>
      </c>
      <c r="E191" s="192">
        <v>0</v>
      </c>
      <c r="F191" s="192">
        <v>0</v>
      </c>
      <c r="G191" s="192">
        <v>0</v>
      </c>
      <c r="H191" s="192">
        <v>0</v>
      </c>
      <c r="I191" s="192">
        <v>0</v>
      </c>
      <c r="J191" s="192">
        <v>0</v>
      </c>
      <c r="K191" s="192">
        <v>0</v>
      </c>
      <c r="L191" s="192">
        <v>0</v>
      </c>
      <c r="M191" s="192">
        <v>0</v>
      </c>
      <c r="N191" s="192">
        <v>0</v>
      </c>
      <c r="O191" s="192">
        <v>0</v>
      </c>
      <c r="P191" s="192">
        <v>0</v>
      </c>
      <c r="Q191" s="192">
        <v>0</v>
      </c>
      <c r="R191" s="192">
        <v>0</v>
      </c>
      <c r="S191" s="192">
        <v>0</v>
      </c>
      <c r="T191" s="192">
        <v>0</v>
      </c>
      <c r="U191" s="192">
        <v>0</v>
      </c>
      <c r="V191" s="192">
        <v>0</v>
      </c>
      <c r="W191" s="192">
        <v>0</v>
      </c>
      <c r="X191" s="192">
        <v>0</v>
      </c>
      <c r="Y191" s="192">
        <v>0</v>
      </c>
      <c r="Z191" s="192">
        <v>0</v>
      </c>
      <c r="AA191" s="192">
        <v>0</v>
      </c>
      <c r="AB191" s="192">
        <v>0</v>
      </c>
      <c r="AC191" s="192">
        <v>0</v>
      </c>
      <c r="AD191" s="192">
        <v>0</v>
      </c>
      <c r="AE191" s="192">
        <v>0</v>
      </c>
      <c r="AF191" s="193">
        <v>0</v>
      </c>
      <c r="AG191" s="193">
        <v>0</v>
      </c>
      <c r="AH191" s="193">
        <v>0</v>
      </c>
      <c r="AI191" s="193">
        <v>0</v>
      </c>
      <c r="AJ191" s="193">
        <v>0</v>
      </c>
      <c r="AK191" s="193">
        <v>0</v>
      </c>
      <c r="AL191" s="193">
        <v>0</v>
      </c>
      <c r="AM191" s="193">
        <v>0</v>
      </c>
      <c r="AN191" s="193">
        <v>0</v>
      </c>
      <c r="AO191" s="193">
        <v>0</v>
      </c>
      <c r="AP191" s="193">
        <v>0</v>
      </c>
      <c r="AQ191" s="193">
        <v>0</v>
      </c>
      <c r="AR191" s="193">
        <v>0</v>
      </c>
      <c r="AS191" s="193">
        <v>0</v>
      </c>
      <c r="AT191" s="193">
        <v>0</v>
      </c>
      <c r="AU191" s="193">
        <v>0</v>
      </c>
      <c r="AV191" s="193">
        <v>0</v>
      </c>
      <c r="AW191" s="193">
        <v>0</v>
      </c>
      <c r="AX191" s="193">
        <v>0</v>
      </c>
      <c r="AY191" s="193">
        <v>0</v>
      </c>
      <c r="AZ191" s="193">
        <v>0</v>
      </c>
      <c r="BA191" s="193">
        <v>0</v>
      </c>
      <c r="BB191" s="193">
        <v>0</v>
      </c>
      <c r="BC191" s="193">
        <v>0</v>
      </c>
      <c r="BD191" s="193">
        <v>0</v>
      </c>
      <c r="BE191" s="193">
        <v>0</v>
      </c>
      <c r="BF191" s="193">
        <v>0</v>
      </c>
      <c r="BG191" s="193">
        <v>0</v>
      </c>
      <c r="BH191" s="193">
        <v>0</v>
      </c>
    </row>
    <row r="192" spans="1:60" s="188" customFormat="1">
      <c r="A192" s="189">
        <v>-24</v>
      </c>
      <c r="B192" s="194" t="s">
        <v>973</v>
      </c>
      <c r="C192" s="191">
        <v>26000000</v>
      </c>
      <c r="D192" s="192">
        <v>0</v>
      </c>
      <c r="E192" s="192">
        <v>0</v>
      </c>
      <c r="F192" s="192">
        <v>0</v>
      </c>
      <c r="G192" s="192">
        <v>0</v>
      </c>
      <c r="H192" s="192">
        <v>0</v>
      </c>
      <c r="I192" s="192">
        <v>0</v>
      </c>
      <c r="J192" s="192">
        <v>0</v>
      </c>
      <c r="K192" s="192">
        <v>0</v>
      </c>
      <c r="L192" s="192">
        <v>0</v>
      </c>
      <c r="M192" s="192">
        <v>0</v>
      </c>
      <c r="N192" s="192">
        <v>0</v>
      </c>
      <c r="O192" s="192">
        <v>0</v>
      </c>
      <c r="P192" s="192">
        <v>0</v>
      </c>
      <c r="Q192" s="192">
        <v>0</v>
      </c>
      <c r="R192" s="192">
        <v>0</v>
      </c>
      <c r="S192" s="192">
        <v>0</v>
      </c>
      <c r="T192" s="192">
        <v>0</v>
      </c>
      <c r="U192" s="192">
        <v>0</v>
      </c>
      <c r="V192" s="192">
        <v>0</v>
      </c>
      <c r="W192" s="192">
        <v>0</v>
      </c>
      <c r="X192" s="192">
        <v>0</v>
      </c>
      <c r="Y192" s="192">
        <v>0</v>
      </c>
      <c r="Z192" s="192">
        <v>0</v>
      </c>
      <c r="AA192" s="192">
        <v>0</v>
      </c>
      <c r="AB192" s="192">
        <v>0</v>
      </c>
      <c r="AC192" s="192">
        <v>0</v>
      </c>
      <c r="AD192" s="192">
        <v>0</v>
      </c>
      <c r="AE192" s="192">
        <v>0</v>
      </c>
      <c r="AF192" s="193">
        <v>0</v>
      </c>
      <c r="AG192" s="193">
        <v>0</v>
      </c>
      <c r="AH192" s="193">
        <v>0</v>
      </c>
      <c r="AI192" s="193">
        <v>0</v>
      </c>
      <c r="AJ192" s="193">
        <v>0</v>
      </c>
      <c r="AK192" s="193">
        <v>0</v>
      </c>
      <c r="AL192" s="193">
        <v>0</v>
      </c>
      <c r="AM192" s="193">
        <v>0</v>
      </c>
      <c r="AN192" s="193">
        <v>0</v>
      </c>
      <c r="AO192" s="193">
        <v>0</v>
      </c>
      <c r="AP192" s="193">
        <v>0</v>
      </c>
      <c r="AQ192" s="193">
        <v>0</v>
      </c>
      <c r="AR192" s="193">
        <v>0</v>
      </c>
      <c r="AS192" s="193">
        <v>0</v>
      </c>
      <c r="AT192" s="193">
        <v>0</v>
      </c>
      <c r="AU192" s="193">
        <v>0</v>
      </c>
      <c r="AV192" s="193">
        <v>0</v>
      </c>
      <c r="AW192" s="193">
        <v>0</v>
      </c>
      <c r="AX192" s="193">
        <v>0</v>
      </c>
      <c r="AY192" s="193">
        <v>0</v>
      </c>
      <c r="AZ192" s="193">
        <v>0</v>
      </c>
      <c r="BA192" s="193">
        <v>0</v>
      </c>
      <c r="BB192" s="193">
        <v>0</v>
      </c>
      <c r="BC192" s="193">
        <v>0</v>
      </c>
      <c r="BD192" s="193">
        <v>0</v>
      </c>
      <c r="BE192" s="193">
        <v>0</v>
      </c>
      <c r="BF192" s="193">
        <v>0</v>
      </c>
      <c r="BG192" s="193">
        <v>0</v>
      </c>
      <c r="BH192" s="193">
        <v>0</v>
      </c>
    </row>
    <row r="193" spans="1:60" s="188" customFormat="1">
      <c r="A193" s="189">
        <v>-25</v>
      </c>
      <c r="B193" s="194" t="s">
        <v>997</v>
      </c>
      <c r="C193" s="191">
        <v>60000000</v>
      </c>
      <c r="D193" s="192">
        <v>0</v>
      </c>
      <c r="E193" s="192">
        <v>0</v>
      </c>
      <c r="F193" s="192">
        <v>0</v>
      </c>
      <c r="G193" s="192">
        <v>0</v>
      </c>
      <c r="H193" s="192">
        <v>0</v>
      </c>
      <c r="I193" s="192">
        <v>0</v>
      </c>
      <c r="J193" s="192">
        <v>0</v>
      </c>
      <c r="K193" s="192">
        <v>0</v>
      </c>
      <c r="L193" s="192">
        <v>0</v>
      </c>
      <c r="M193" s="192">
        <v>0</v>
      </c>
      <c r="N193" s="192">
        <v>0</v>
      </c>
      <c r="O193" s="192">
        <v>0</v>
      </c>
      <c r="P193" s="192">
        <v>0</v>
      </c>
      <c r="Q193" s="192">
        <v>0</v>
      </c>
      <c r="R193" s="192">
        <v>0</v>
      </c>
      <c r="S193" s="192">
        <v>0</v>
      </c>
      <c r="T193" s="192">
        <v>0</v>
      </c>
      <c r="U193" s="192">
        <v>0</v>
      </c>
      <c r="V193" s="192">
        <v>0</v>
      </c>
      <c r="W193" s="192">
        <v>0</v>
      </c>
      <c r="X193" s="192">
        <v>0</v>
      </c>
      <c r="Y193" s="192">
        <v>0</v>
      </c>
      <c r="Z193" s="192">
        <v>0</v>
      </c>
      <c r="AA193" s="192">
        <v>0</v>
      </c>
      <c r="AB193" s="192">
        <v>0</v>
      </c>
      <c r="AC193" s="192">
        <v>0</v>
      </c>
      <c r="AD193" s="192">
        <v>0</v>
      </c>
      <c r="AE193" s="192">
        <v>0</v>
      </c>
      <c r="AF193" s="193">
        <v>0</v>
      </c>
      <c r="AG193" s="193">
        <v>0</v>
      </c>
      <c r="AH193" s="193">
        <v>0</v>
      </c>
      <c r="AI193" s="193">
        <v>0</v>
      </c>
      <c r="AJ193" s="193">
        <v>0</v>
      </c>
      <c r="AK193" s="193">
        <v>0</v>
      </c>
      <c r="AL193" s="193">
        <v>0</v>
      </c>
      <c r="AM193" s="193">
        <v>0</v>
      </c>
      <c r="AN193" s="193">
        <v>0</v>
      </c>
      <c r="AO193" s="193">
        <v>0</v>
      </c>
      <c r="AP193" s="193">
        <v>0</v>
      </c>
      <c r="AQ193" s="193">
        <v>0</v>
      </c>
      <c r="AR193" s="193">
        <v>0</v>
      </c>
      <c r="AS193" s="193">
        <v>0</v>
      </c>
      <c r="AT193" s="193">
        <v>0</v>
      </c>
      <c r="AU193" s="193">
        <v>0</v>
      </c>
      <c r="AV193" s="193">
        <v>0</v>
      </c>
      <c r="AW193" s="193">
        <v>0</v>
      </c>
      <c r="AX193" s="193">
        <v>0</v>
      </c>
      <c r="AY193" s="193">
        <v>0</v>
      </c>
      <c r="AZ193" s="193">
        <v>0</v>
      </c>
      <c r="BA193" s="193">
        <v>0</v>
      </c>
      <c r="BB193" s="193">
        <v>0</v>
      </c>
      <c r="BC193" s="193">
        <v>0</v>
      </c>
      <c r="BD193" s="193">
        <v>0</v>
      </c>
      <c r="BE193" s="193">
        <v>0</v>
      </c>
      <c r="BF193" s="193">
        <v>0</v>
      </c>
      <c r="BG193" s="193">
        <v>0</v>
      </c>
      <c r="BH193" s="193">
        <v>0</v>
      </c>
    </row>
    <row r="194" spans="1:60" collapsed="1">
      <c r="A194" s="196"/>
      <c r="B194" s="190" t="s">
        <v>998</v>
      </c>
      <c r="C194" s="196"/>
      <c r="D194" s="192">
        <v>0</v>
      </c>
      <c r="E194" s="192">
        <v>0</v>
      </c>
      <c r="F194" s="192">
        <v>0</v>
      </c>
      <c r="G194" s="192">
        <v>0</v>
      </c>
      <c r="H194" s="192">
        <v>0</v>
      </c>
      <c r="I194" s="192">
        <v>0</v>
      </c>
      <c r="J194" s="192">
        <v>0</v>
      </c>
      <c r="K194" s="192">
        <v>0</v>
      </c>
      <c r="L194" s="192">
        <v>0</v>
      </c>
      <c r="M194" s="192">
        <v>0</v>
      </c>
      <c r="N194" s="192">
        <v>0</v>
      </c>
      <c r="O194" s="192">
        <v>0</v>
      </c>
      <c r="P194" s="192">
        <v>0</v>
      </c>
      <c r="Q194" s="192">
        <v>0</v>
      </c>
      <c r="R194" s="192">
        <v>0</v>
      </c>
      <c r="S194" s="192">
        <v>0</v>
      </c>
      <c r="T194" s="192">
        <v>0</v>
      </c>
      <c r="U194" s="192">
        <v>0</v>
      </c>
      <c r="V194" s="192">
        <v>0</v>
      </c>
      <c r="W194" s="192">
        <v>0</v>
      </c>
      <c r="X194" s="192">
        <v>2</v>
      </c>
      <c r="Y194" s="192">
        <v>4</v>
      </c>
      <c r="Z194" s="192">
        <v>0</v>
      </c>
      <c r="AA194" s="192">
        <v>0</v>
      </c>
      <c r="AB194" s="192">
        <v>0</v>
      </c>
      <c r="AC194" s="192">
        <v>0</v>
      </c>
      <c r="AD194" s="192">
        <v>2</v>
      </c>
      <c r="AE194" s="192">
        <v>4</v>
      </c>
      <c r="AF194" s="193">
        <v>0</v>
      </c>
      <c r="AG194" s="193">
        <v>0</v>
      </c>
      <c r="AH194" s="193">
        <v>0</v>
      </c>
      <c r="AI194" s="193">
        <v>0</v>
      </c>
      <c r="AJ194" s="193">
        <v>0</v>
      </c>
      <c r="AK194" s="193">
        <v>0</v>
      </c>
      <c r="AL194" s="193">
        <v>0</v>
      </c>
      <c r="AM194" s="193">
        <v>0</v>
      </c>
      <c r="AN194" s="193">
        <v>0</v>
      </c>
      <c r="AO194" s="193">
        <v>0</v>
      </c>
      <c r="AP194" s="193">
        <v>0</v>
      </c>
      <c r="AQ194" s="193">
        <v>0</v>
      </c>
      <c r="AR194" s="193">
        <v>0</v>
      </c>
      <c r="AS194" s="193">
        <v>0</v>
      </c>
      <c r="AT194" s="193">
        <v>0</v>
      </c>
      <c r="AU194" s="193">
        <v>0</v>
      </c>
      <c r="AV194" s="193">
        <v>0</v>
      </c>
      <c r="AW194" s="193">
        <v>0</v>
      </c>
      <c r="AX194" s="193">
        <v>0</v>
      </c>
      <c r="AY194" s="193">
        <v>0</v>
      </c>
      <c r="AZ194" s="193">
        <v>1500000</v>
      </c>
      <c r="BA194" s="193">
        <v>1630000</v>
      </c>
      <c r="BB194" s="193">
        <v>0</v>
      </c>
      <c r="BC194" s="193">
        <v>0</v>
      </c>
      <c r="BD194" s="193">
        <v>0</v>
      </c>
      <c r="BE194" s="193">
        <v>0</v>
      </c>
      <c r="BF194" s="193">
        <v>1500000</v>
      </c>
      <c r="BG194" s="193">
        <v>1630000</v>
      </c>
      <c r="BH194" s="193">
        <v>3130000</v>
      </c>
    </row>
    <row r="195" spans="1:60" s="188" customFormat="1">
      <c r="A195" s="184">
        <v>9</v>
      </c>
      <c r="B195" s="185" t="s">
        <v>999</v>
      </c>
      <c r="C195" s="197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6"/>
      <c r="AG195" s="206"/>
      <c r="AH195" s="206"/>
      <c r="AI195" s="206"/>
      <c r="AJ195" s="206"/>
      <c r="AK195" s="206"/>
      <c r="AL195" s="206"/>
      <c r="AM195" s="206"/>
      <c r="AN195" s="206"/>
      <c r="AO195" s="206"/>
      <c r="AP195" s="206"/>
      <c r="AQ195" s="206"/>
      <c r="AR195" s="206"/>
      <c r="AS195" s="206"/>
      <c r="AT195" s="206"/>
      <c r="AU195" s="206"/>
      <c r="AV195" s="206"/>
      <c r="AW195" s="206"/>
      <c r="AX195" s="206"/>
      <c r="AY195" s="206"/>
      <c r="AZ195" s="206"/>
      <c r="BA195" s="206"/>
      <c r="BB195" s="206"/>
      <c r="BC195" s="206"/>
      <c r="BD195" s="206"/>
      <c r="BE195" s="206"/>
      <c r="BF195" s="206"/>
      <c r="BG195" s="206"/>
      <c r="BH195" s="206"/>
    </row>
    <row r="196" spans="1:60" s="188" customFormat="1">
      <c r="A196" s="208">
        <v>-1</v>
      </c>
      <c r="B196" s="209" t="s">
        <v>1000</v>
      </c>
      <c r="C196" s="210">
        <v>2940000</v>
      </c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12"/>
      <c r="AG196" s="212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</row>
    <row r="197" spans="1:60" s="188" customFormat="1">
      <c r="A197" s="213">
        <v>-1.1000000000000001</v>
      </c>
      <c r="B197" s="198" t="s">
        <v>1001</v>
      </c>
      <c r="C197" s="191">
        <v>1000000</v>
      </c>
      <c r="D197" s="192">
        <v>0</v>
      </c>
      <c r="E197" s="192">
        <v>0</v>
      </c>
      <c r="F197" s="192">
        <v>0</v>
      </c>
      <c r="G197" s="192">
        <v>0</v>
      </c>
      <c r="H197" s="192">
        <v>0</v>
      </c>
      <c r="I197" s="192">
        <v>0</v>
      </c>
      <c r="J197" s="192">
        <v>0</v>
      </c>
      <c r="K197" s="192">
        <v>0</v>
      </c>
      <c r="L197" s="192">
        <v>0</v>
      </c>
      <c r="M197" s="192">
        <v>0</v>
      </c>
      <c r="N197" s="192">
        <v>0</v>
      </c>
      <c r="O197" s="192">
        <v>0</v>
      </c>
      <c r="P197" s="192">
        <v>0</v>
      </c>
      <c r="Q197" s="192">
        <v>0</v>
      </c>
      <c r="R197" s="192">
        <v>0</v>
      </c>
      <c r="S197" s="192">
        <v>0</v>
      </c>
      <c r="T197" s="192">
        <v>0</v>
      </c>
      <c r="U197" s="192">
        <v>0</v>
      </c>
      <c r="V197" s="192">
        <v>0</v>
      </c>
      <c r="W197" s="192">
        <v>0</v>
      </c>
      <c r="X197" s="192">
        <v>0</v>
      </c>
      <c r="Y197" s="192">
        <v>0</v>
      </c>
      <c r="Z197" s="192">
        <v>0</v>
      </c>
      <c r="AA197" s="192">
        <v>0</v>
      </c>
      <c r="AB197" s="192">
        <v>0</v>
      </c>
      <c r="AC197" s="192">
        <v>0</v>
      </c>
      <c r="AD197" s="192">
        <v>0</v>
      </c>
      <c r="AE197" s="192">
        <v>0</v>
      </c>
      <c r="AF197" s="193">
        <v>0</v>
      </c>
      <c r="AG197" s="193">
        <v>0</v>
      </c>
      <c r="AH197" s="193">
        <v>0</v>
      </c>
      <c r="AI197" s="193">
        <v>0</v>
      </c>
      <c r="AJ197" s="193">
        <v>0</v>
      </c>
      <c r="AK197" s="193">
        <v>0</v>
      </c>
      <c r="AL197" s="193">
        <v>0</v>
      </c>
      <c r="AM197" s="193">
        <v>0</v>
      </c>
      <c r="AN197" s="193">
        <v>0</v>
      </c>
      <c r="AO197" s="193">
        <v>0</v>
      </c>
      <c r="AP197" s="193">
        <v>0</v>
      </c>
      <c r="AQ197" s="193">
        <v>0</v>
      </c>
      <c r="AR197" s="193">
        <v>0</v>
      </c>
      <c r="AS197" s="193">
        <v>0</v>
      </c>
      <c r="AT197" s="193">
        <v>0</v>
      </c>
      <c r="AU197" s="193">
        <v>0</v>
      </c>
      <c r="AV197" s="193">
        <v>0</v>
      </c>
      <c r="AW197" s="193">
        <v>0</v>
      </c>
      <c r="AX197" s="193">
        <v>0</v>
      </c>
      <c r="AY197" s="193">
        <v>0</v>
      </c>
      <c r="AZ197" s="193">
        <v>0</v>
      </c>
      <c r="BA197" s="193">
        <v>0</v>
      </c>
      <c r="BB197" s="193">
        <v>0</v>
      </c>
      <c r="BC197" s="193">
        <v>0</v>
      </c>
      <c r="BD197" s="193">
        <v>0</v>
      </c>
      <c r="BE197" s="193">
        <v>0</v>
      </c>
      <c r="BF197" s="193">
        <v>0</v>
      </c>
      <c r="BG197" s="193">
        <v>0</v>
      </c>
      <c r="BH197" s="193">
        <v>0</v>
      </c>
    </row>
    <row r="198" spans="1:60" s="188" customFormat="1">
      <c r="A198" s="213">
        <v>-1.2</v>
      </c>
      <c r="B198" s="198" t="s">
        <v>1002</v>
      </c>
      <c r="C198" s="191">
        <v>530000</v>
      </c>
      <c r="D198" s="192">
        <v>0</v>
      </c>
      <c r="E198" s="192">
        <v>0</v>
      </c>
      <c r="F198" s="192">
        <v>0</v>
      </c>
      <c r="G198" s="192">
        <v>0</v>
      </c>
      <c r="H198" s="192">
        <v>0</v>
      </c>
      <c r="I198" s="192">
        <v>0</v>
      </c>
      <c r="J198" s="192">
        <v>0</v>
      </c>
      <c r="K198" s="192">
        <v>0</v>
      </c>
      <c r="L198" s="192">
        <v>0</v>
      </c>
      <c r="M198" s="192">
        <v>0</v>
      </c>
      <c r="N198" s="192">
        <v>0</v>
      </c>
      <c r="O198" s="192">
        <v>0</v>
      </c>
      <c r="P198" s="192">
        <v>0</v>
      </c>
      <c r="Q198" s="192">
        <v>0</v>
      </c>
      <c r="R198" s="192">
        <v>0</v>
      </c>
      <c r="S198" s="192">
        <v>0</v>
      </c>
      <c r="T198" s="192">
        <v>0</v>
      </c>
      <c r="U198" s="192">
        <v>0</v>
      </c>
      <c r="V198" s="192">
        <v>0</v>
      </c>
      <c r="W198" s="192">
        <v>0</v>
      </c>
      <c r="X198" s="192">
        <v>0</v>
      </c>
      <c r="Y198" s="192">
        <v>0</v>
      </c>
      <c r="Z198" s="192">
        <v>0</v>
      </c>
      <c r="AA198" s="192">
        <v>0</v>
      </c>
      <c r="AB198" s="192">
        <v>0</v>
      </c>
      <c r="AC198" s="192">
        <v>0</v>
      </c>
      <c r="AD198" s="192">
        <v>0</v>
      </c>
      <c r="AE198" s="192">
        <v>0</v>
      </c>
      <c r="AF198" s="193">
        <v>0</v>
      </c>
      <c r="AG198" s="193">
        <v>0</v>
      </c>
      <c r="AH198" s="193">
        <v>0</v>
      </c>
      <c r="AI198" s="193">
        <v>0</v>
      </c>
      <c r="AJ198" s="193">
        <v>0</v>
      </c>
      <c r="AK198" s="193">
        <v>0</v>
      </c>
      <c r="AL198" s="193">
        <v>0</v>
      </c>
      <c r="AM198" s="193">
        <v>0</v>
      </c>
      <c r="AN198" s="193">
        <v>0</v>
      </c>
      <c r="AO198" s="193">
        <v>0</v>
      </c>
      <c r="AP198" s="193">
        <v>0</v>
      </c>
      <c r="AQ198" s="193">
        <v>0</v>
      </c>
      <c r="AR198" s="193">
        <v>0</v>
      </c>
      <c r="AS198" s="193">
        <v>0</v>
      </c>
      <c r="AT198" s="193">
        <v>0</v>
      </c>
      <c r="AU198" s="193">
        <v>0</v>
      </c>
      <c r="AV198" s="193">
        <v>0</v>
      </c>
      <c r="AW198" s="193">
        <v>0</v>
      </c>
      <c r="AX198" s="193">
        <v>0</v>
      </c>
      <c r="AY198" s="193">
        <v>0</v>
      </c>
      <c r="AZ198" s="193">
        <v>0</v>
      </c>
      <c r="BA198" s="193">
        <v>0</v>
      </c>
      <c r="BB198" s="193">
        <v>0</v>
      </c>
      <c r="BC198" s="193">
        <v>0</v>
      </c>
      <c r="BD198" s="193">
        <v>0</v>
      </c>
      <c r="BE198" s="193">
        <v>0</v>
      </c>
      <c r="BF198" s="193">
        <v>0</v>
      </c>
      <c r="BG198" s="193">
        <v>0</v>
      </c>
      <c r="BH198" s="193">
        <v>0</v>
      </c>
    </row>
    <row r="199" spans="1:60" s="188" customFormat="1">
      <c r="A199" s="213">
        <v>-1.3</v>
      </c>
      <c r="B199" s="198" t="s">
        <v>1003</v>
      </c>
      <c r="C199" s="191">
        <v>700000</v>
      </c>
      <c r="D199" s="192">
        <v>0</v>
      </c>
      <c r="E199" s="192">
        <v>0</v>
      </c>
      <c r="F199" s="192">
        <v>0</v>
      </c>
      <c r="G199" s="192">
        <v>0</v>
      </c>
      <c r="H199" s="192">
        <v>0</v>
      </c>
      <c r="I199" s="192">
        <v>0</v>
      </c>
      <c r="J199" s="192">
        <v>0</v>
      </c>
      <c r="K199" s="192">
        <v>0</v>
      </c>
      <c r="L199" s="192">
        <v>0</v>
      </c>
      <c r="M199" s="192">
        <v>0</v>
      </c>
      <c r="N199" s="192">
        <v>0</v>
      </c>
      <c r="O199" s="192">
        <v>0</v>
      </c>
      <c r="P199" s="192">
        <v>0</v>
      </c>
      <c r="Q199" s="192">
        <v>0</v>
      </c>
      <c r="R199" s="192">
        <v>0</v>
      </c>
      <c r="S199" s="192">
        <v>0</v>
      </c>
      <c r="T199" s="192">
        <v>0</v>
      </c>
      <c r="U199" s="192">
        <v>0</v>
      </c>
      <c r="V199" s="192">
        <v>0</v>
      </c>
      <c r="W199" s="192">
        <v>0</v>
      </c>
      <c r="X199" s="192">
        <v>0</v>
      </c>
      <c r="Y199" s="192">
        <v>0</v>
      </c>
      <c r="Z199" s="192">
        <v>0</v>
      </c>
      <c r="AA199" s="192">
        <v>0</v>
      </c>
      <c r="AB199" s="192">
        <v>0</v>
      </c>
      <c r="AC199" s="192">
        <v>0</v>
      </c>
      <c r="AD199" s="192">
        <v>0</v>
      </c>
      <c r="AE199" s="192">
        <v>0</v>
      </c>
      <c r="AF199" s="193">
        <v>0</v>
      </c>
      <c r="AG199" s="193">
        <v>0</v>
      </c>
      <c r="AH199" s="193">
        <v>0</v>
      </c>
      <c r="AI199" s="193">
        <v>0</v>
      </c>
      <c r="AJ199" s="193">
        <v>0</v>
      </c>
      <c r="AK199" s="193">
        <v>0</v>
      </c>
      <c r="AL199" s="193">
        <v>0</v>
      </c>
      <c r="AM199" s="193">
        <v>0</v>
      </c>
      <c r="AN199" s="193">
        <v>0</v>
      </c>
      <c r="AO199" s="193">
        <v>0</v>
      </c>
      <c r="AP199" s="193">
        <v>0</v>
      </c>
      <c r="AQ199" s="193">
        <v>0</v>
      </c>
      <c r="AR199" s="193">
        <v>0</v>
      </c>
      <c r="AS199" s="193">
        <v>0</v>
      </c>
      <c r="AT199" s="193">
        <v>0</v>
      </c>
      <c r="AU199" s="193">
        <v>0</v>
      </c>
      <c r="AV199" s="193">
        <v>0</v>
      </c>
      <c r="AW199" s="193">
        <v>0</v>
      </c>
      <c r="AX199" s="193">
        <v>0</v>
      </c>
      <c r="AY199" s="193">
        <v>0</v>
      </c>
      <c r="AZ199" s="193">
        <v>0</v>
      </c>
      <c r="BA199" s="193">
        <v>0</v>
      </c>
      <c r="BB199" s="193">
        <v>0</v>
      </c>
      <c r="BC199" s="193">
        <v>0</v>
      </c>
      <c r="BD199" s="193">
        <v>0</v>
      </c>
      <c r="BE199" s="193">
        <v>0</v>
      </c>
      <c r="BF199" s="193">
        <v>0</v>
      </c>
      <c r="BG199" s="193">
        <v>0</v>
      </c>
      <c r="BH199" s="193">
        <v>0</v>
      </c>
    </row>
    <row r="200" spans="1:60" s="188" customFormat="1">
      <c r="A200" s="213">
        <v>-1.4</v>
      </c>
      <c r="B200" s="198" t="s">
        <v>1004</v>
      </c>
      <c r="C200" s="191">
        <v>710000</v>
      </c>
      <c r="D200" s="192">
        <v>0</v>
      </c>
      <c r="E200" s="192">
        <v>0</v>
      </c>
      <c r="F200" s="192">
        <v>0</v>
      </c>
      <c r="G200" s="192">
        <v>0</v>
      </c>
      <c r="H200" s="192">
        <v>0</v>
      </c>
      <c r="I200" s="192">
        <v>0</v>
      </c>
      <c r="J200" s="192">
        <v>0</v>
      </c>
      <c r="K200" s="192">
        <v>0</v>
      </c>
      <c r="L200" s="192">
        <v>0</v>
      </c>
      <c r="M200" s="192">
        <v>0</v>
      </c>
      <c r="N200" s="192">
        <v>0</v>
      </c>
      <c r="O200" s="192">
        <v>0</v>
      </c>
      <c r="P200" s="192">
        <v>0</v>
      </c>
      <c r="Q200" s="192">
        <v>0</v>
      </c>
      <c r="R200" s="192">
        <v>0</v>
      </c>
      <c r="S200" s="192">
        <v>0</v>
      </c>
      <c r="T200" s="192">
        <v>0</v>
      </c>
      <c r="U200" s="192">
        <v>0</v>
      </c>
      <c r="V200" s="192">
        <v>0</v>
      </c>
      <c r="W200" s="192">
        <v>0</v>
      </c>
      <c r="X200" s="192">
        <v>0</v>
      </c>
      <c r="Y200" s="192">
        <v>0</v>
      </c>
      <c r="Z200" s="192">
        <v>0</v>
      </c>
      <c r="AA200" s="192">
        <v>0</v>
      </c>
      <c r="AB200" s="192">
        <v>0</v>
      </c>
      <c r="AC200" s="192">
        <v>0</v>
      </c>
      <c r="AD200" s="192">
        <v>0</v>
      </c>
      <c r="AE200" s="192">
        <v>0</v>
      </c>
      <c r="AF200" s="193">
        <v>0</v>
      </c>
      <c r="AG200" s="193">
        <v>0</v>
      </c>
      <c r="AH200" s="193">
        <v>0</v>
      </c>
      <c r="AI200" s="193">
        <v>0</v>
      </c>
      <c r="AJ200" s="193">
        <v>0</v>
      </c>
      <c r="AK200" s="193">
        <v>0</v>
      </c>
      <c r="AL200" s="193">
        <v>0</v>
      </c>
      <c r="AM200" s="193">
        <v>0</v>
      </c>
      <c r="AN200" s="193">
        <v>0</v>
      </c>
      <c r="AO200" s="193">
        <v>0</v>
      </c>
      <c r="AP200" s="193">
        <v>0</v>
      </c>
      <c r="AQ200" s="193">
        <v>0</v>
      </c>
      <c r="AR200" s="193">
        <v>0</v>
      </c>
      <c r="AS200" s="193">
        <v>0</v>
      </c>
      <c r="AT200" s="193">
        <v>0</v>
      </c>
      <c r="AU200" s="193">
        <v>0</v>
      </c>
      <c r="AV200" s="193">
        <v>0</v>
      </c>
      <c r="AW200" s="193">
        <v>0</v>
      </c>
      <c r="AX200" s="193">
        <v>0</v>
      </c>
      <c r="AY200" s="193">
        <v>0</v>
      </c>
      <c r="AZ200" s="193">
        <v>0</v>
      </c>
      <c r="BA200" s="193">
        <v>0</v>
      </c>
      <c r="BB200" s="193">
        <v>0</v>
      </c>
      <c r="BC200" s="193">
        <v>0</v>
      </c>
      <c r="BD200" s="193">
        <v>0</v>
      </c>
      <c r="BE200" s="193">
        <v>0</v>
      </c>
      <c r="BF200" s="193">
        <v>0</v>
      </c>
      <c r="BG200" s="193">
        <v>0</v>
      </c>
      <c r="BH200" s="193">
        <v>0</v>
      </c>
    </row>
    <row r="201" spans="1:60" s="188" customFormat="1">
      <c r="A201" s="208">
        <v>-2</v>
      </c>
      <c r="B201" s="209" t="s">
        <v>1005</v>
      </c>
      <c r="C201" s="210">
        <v>1290000</v>
      </c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</row>
    <row r="202" spans="1:60" s="188" customFormat="1">
      <c r="A202" s="213">
        <v>-2.1</v>
      </c>
      <c r="B202" s="198" t="s">
        <v>1006</v>
      </c>
      <c r="C202" s="191">
        <v>530000</v>
      </c>
      <c r="D202" s="192">
        <v>0</v>
      </c>
      <c r="E202" s="192">
        <v>0</v>
      </c>
      <c r="F202" s="192">
        <v>0</v>
      </c>
      <c r="G202" s="192">
        <v>0</v>
      </c>
      <c r="H202" s="192">
        <v>0</v>
      </c>
      <c r="I202" s="192">
        <v>0</v>
      </c>
      <c r="J202" s="192">
        <v>0</v>
      </c>
      <c r="K202" s="192">
        <v>0</v>
      </c>
      <c r="L202" s="192">
        <v>0</v>
      </c>
      <c r="M202" s="192">
        <v>0</v>
      </c>
      <c r="N202" s="192">
        <v>0</v>
      </c>
      <c r="O202" s="192">
        <v>0</v>
      </c>
      <c r="P202" s="192">
        <v>0</v>
      </c>
      <c r="Q202" s="192">
        <v>0</v>
      </c>
      <c r="R202" s="192">
        <v>0</v>
      </c>
      <c r="S202" s="192">
        <v>0</v>
      </c>
      <c r="T202" s="192">
        <v>0</v>
      </c>
      <c r="U202" s="192">
        <v>0</v>
      </c>
      <c r="V202" s="192">
        <v>0</v>
      </c>
      <c r="W202" s="192">
        <v>0</v>
      </c>
      <c r="X202" s="192">
        <v>0</v>
      </c>
      <c r="Y202" s="192">
        <v>0</v>
      </c>
      <c r="Z202" s="192">
        <v>0</v>
      </c>
      <c r="AA202" s="192">
        <v>0</v>
      </c>
      <c r="AB202" s="192">
        <v>0</v>
      </c>
      <c r="AC202" s="192">
        <v>0</v>
      </c>
      <c r="AD202" s="192">
        <v>0</v>
      </c>
      <c r="AE202" s="192">
        <v>0</v>
      </c>
      <c r="AF202" s="193">
        <v>0</v>
      </c>
      <c r="AG202" s="193">
        <v>0</v>
      </c>
      <c r="AH202" s="193">
        <v>0</v>
      </c>
      <c r="AI202" s="193">
        <v>0</v>
      </c>
      <c r="AJ202" s="193">
        <v>0</v>
      </c>
      <c r="AK202" s="193">
        <v>0</v>
      </c>
      <c r="AL202" s="193">
        <v>0</v>
      </c>
      <c r="AM202" s="193">
        <v>0</v>
      </c>
      <c r="AN202" s="193">
        <v>0</v>
      </c>
      <c r="AO202" s="193">
        <v>0</v>
      </c>
      <c r="AP202" s="193">
        <v>0</v>
      </c>
      <c r="AQ202" s="193">
        <v>0</v>
      </c>
      <c r="AR202" s="193">
        <v>0</v>
      </c>
      <c r="AS202" s="193">
        <v>0</v>
      </c>
      <c r="AT202" s="193">
        <v>0</v>
      </c>
      <c r="AU202" s="193">
        <v>0</v>
      </c>
      <c r="AV202" s="193">
        <v>0</v>
      </c>
      <c r="AW202" s="193">
        <v>0</v>
      </c>
      <c r="AX202" s="193">
        <v>0</v>
      </c>
      <c r="AY202" s="193">
        <v>0</v>
      </c>
      <c r="AZ202" s="193">
        <v>0</v>
      </c>
      <c r="BA202" s="193">
        <v>0</v>
      </c>
      <c r="BB202" s="193">
        <v>0</v>
      </c>
      <c r="BC202" s="193">
        <v>0</v>
      </c>
      <c r="BD202" s="193">
        <v>0</v>
      </c>
      <c r="BE202" s="193">
        <v>0</v>
      </c>
      <c r="BF202" s="193">
        <v>0</v>
      </c>
      <c r="BG202" s="193">
        <v>0</v>
      </c>
      <c r="BH202" s="193">
        <v>0</v>
      </c>
    </row>
    <row r="203" spans="1:60" s="188" customFormat="1">
      <c r="A203" s="213">
        <v>-2.2000000000000002</v>
      </c>
      <c r="B203" s="198" t="s">
        <v>1007</v>
      </c>
      <c r="C203" s="191">
        <v>410000</v>
      </c>
      <c r="D203" s="192">
        <v>0</v>
      </c>
      <c r="E203" s="192">
        <v>0</v>
      </c>
      <c r="F203" s="192">
        <v>0</v>
      </c>
      <c r="G203" s="192">
        <v>0</v>
      </c>
      <c r="H203" s="192">
        <v>0</v>
      </c>
      <c r="I203" s="192">
        <v>0</v>
      </c>
      <c r="J203" s="192">
        <v>0</v>
      </c>
      <c r="K203" s="192">
        <v>0</v>
      </c>
      <c r="L203" s="192">
        <v>0</v>
      </c>
      <c r="M203" s="192">
        <v>0</v>
      </c>
      <c r="N203" s="192">
        <v>0</v>
      </c>
      <c r="O203" s="192">
        <v>0</v>
      </c>
      <c r="P203" s="192">
        <v>0</v>
      </c>
      <c r="Q203" s="192">
        <v>0</v>
      </c>
      <c r="R203" s="192">
        <v>0</v>
      </c>
      <c r="S203" s="192">
        <v>0</v>
      </c>
      <c r="T203" s="192">
        <v>0</v>
      </c>
      <c r="U203" s="192">
        <v>0</v>
      </c>
      <c r="V203" s="192">
        <v>0</v>
      </c>
      <c r="W203" s="192">
        <v>0</v>
      </c>
      <c r="X203" s="192">
        <v>0</v>
      </c>
      <c r="Y203" s="192">
        <v>0</v>
      </c>
      <c r="Z203" s="192">
        <v>0</v>
      </c>
      <c r="AA203" s="192">
        <v>0</v>
      </c>
      <c r="AB203" s="192">
        <v>0</v>
      </c>
      <c r="AC203" s="192">
        <v>0</v>
      </c>
      <c r="AD203" s="192">
        <v>0</v>
      </c>
      <c r="AE203" s="192">
        <v>0</v>
      </c>
      <c r="AF203" s="193">
        <v>0</v>
      </c>
      <c r="AG203" s="193">
        <v>0</v>
      </c>
      <c r="AH203" s="193">
        <v>0</v>
      </c>
      <c r="AI203" s="193">
        <v>0</v>
      </c>
      <c r="AJ203" s="193">
        <v>0</v>
      </c>
      <c r="AK203" s="193">
        <v>0</v>
      </c>
      <c r="AL203" s="193">
        <v>0</v>
      </c>
      <c r="AM203" s="193">
        <v>0</v>
      </c>
      <c r="AN203" s="193">
        <v>0</v>
      </c>
      <c r="AO203" s="193">
        <v>0</v>
      </c>
      <c r="AP203" s="193">
        <v>0</v>
      </c>
      <c r="AQ203" s="193">
        <v>0</v>
      </c>
      <c r="AR203" s="193">
        <v>0</v>
      </c>
      <c r="AS203" s="193">
        <v>0</v>
      </c>
      <c r="AT203" s="193">
        <v>0</v>
      </c>
      <c r="AU203" s="193">
        <v>0</v>
      </c>
      <c r="AV203" s="193">
        <v>0</v>
      </c>
      <c r="AW203" s="193">
        <v>0</v>
      </c>
      <c r="AX203" s="193">
        <v>0</v>
      </c>
      <c r="AY203" s="193">
        <v>0</v>
      </c>
      <c r="AZ203" s="193">
        <v>0</v>
      </c>
      <c r="BA203" s="193">
        <v>0</v>
      </c>
      <c r="BB203" s="193">
        <v>0</v>
      </c>
      <c r="BC203" s="193">
        <v>0</v>
      </c>
      <c r="BD203" s="193">
        <v>0</v>
      </c>
      <c r="BE203" s="193">
        <v>0</v>
      </c>
      <c r="BF203" s="193">
        <v>0</v>
      </c>
      <c r="BG203" s="193">
        <v>0</v>
      </c>
      <c r="BH203" s="193">
        <v>0</v>
      </c>
    </row>
    <row r="204" spans="1:60" s="188" customFormat="1">
      <c r="A204" s="213">
        <v>-2.2999999999999998</v>
      </c>
      <c r="B204" s="198" t="s">
        <v>1008</v>
      </c>
      <c r="C204" s="191">
        <v>350000</v>
      </c>
      <c r="D204" s="192">
        <v>0</v>
      </c>
      <c r="E204" s="192">
        <v>0</v>
      </c>
      <c r="F204" s="192">
        <v>0</v>
      </c>
      <c r="G204" s="192">
        <v>0</v>
      </c>
      <c r="H204" s="192">
        <v>0</v>
      </c>
      <c r="I204" s="192">
        <v>0</v>
      </c>
      <c r="J204" s="192">
        <v>0</v>
      </c>
      <c r="K204" s="192">
        <v>0</v>
      </c>
      <c r="L204" s="192">
        <v>0</v>
      </c>
      <c r="M204" s="192">
        <v>0</v>
      </c>
      <c r="N204" s="192">
        <v>0</v>
      </c>
      <c r="O204" s="192">
        <v>0</v>
      </c>
      <c r="P204" s="192">
        <v>0</v>
      </c>
      <c r="Q204" s="192">
        <v>0</v>
      </c>
      <c r="R204" s="192">
        <v>0</v>
      </c>
      <c r="S204" s="192">
        <v>0</v>
      </c>
      <c r="T204" s="192">
        <v>0</v>
      </c>
      <c r="U204" s="192">
        <v>0</v>
      </c>
      <c r="V204" s="192">
        <v>0</v>
      </c>
      <c r="W204" s="192">
        <v>0</v>
      </c>
      <c r="X204" s="192">
        <v>0</v>
      </c>
      <c r="Y204" s="192">
        <v>0</v>
      </c>
      <c r="Z204" s="192">
        <v>0</v>
      </c>
      <c r="AA204" s="192">
        <v>0</v>
      </c>
      <c r="AB204" s="192">
        <v>0</v>
      </c>
      <c r="AC204" s="192">
        <v>0</v>
      </c>
      <c r="AD204" s="192">
        <v>0</v>
      </c>
      <c r="AE204" s="192">
        <v>0</v>
      </c>
      <c r="AF204" s="193">
        <v>0</v>
      </c>
      <c r="AG204" s="193">
        <v>0</v>
      </c>
      <c r="AH204" s="193">
        <v>0</v>
      </c>
      <c r="AI204" s="193">
        <v>0</v>
      </c>
      <c r="AJ204" s="193">
        <v>0</v>
      </c>
      <c r="AK204" s="193">
        <v>0</v>
      </c>
      <c r="AL204" s="193">
        <v>0</v>
      </c>
      <c r="AM204" s="193">
        <v>0</v>
      </c>
      <c r="AN204" s="193">
        <v>0</v>
      </c>
      <c r="AO204" s="193">
        <v>0</v>
      </c>
      <c r="AP204" s="193">
        <v>0</v>
      </c>
      <c r="AQ204" s="193">
        <v>0</v>
      </c>
      <c r="AR204" s="193">
        <v>0</v>
      </c>
      <c r="AS204" s="193">
        <v>0</v>
      </c>
      <c r="AT204" s="193">
        <v>0</v>
      </c>
      <c r="AU204" s="193">
        <v>0</v>
      </c>
      <c r="AV204" s="193">
        <v>0</v>
      </c>
      <c r="AW204" s="193">
        <v>0</v>
      </c>
      <c r="AX204" s="193">
        <v>0</v>
      </c>
      <c r="AY204" s="193">
        <v>0</v>
      </c>
      <c r="AZ204" s="193">
        <v>0</v>
      </c>
      <c r="BA204" s="193">
        <v>0</v>
      </c>
      <c r="BB204" s="193">
        <v>0</v>
      </c>
      <c r="BC204" s="193">
        <v>0</v>
      </c>
      <c r="BD204" s="193">
        <v>0</v>
      </c>
      <c r="BE204" s="193">
        <v>0</v>
      </c>
      <c r="BF204" s="193">
        <v>0</v>
      </c>
      <c r="BG204" s="193">
        <v>0</v>
      </c>
      <c r="BH204" s="193">
        <v>0</v>
      </c>
    </row>
    <row r="205" spans="1:60" s="188" customFormat="1">
      <c r="A205" s="208">
        <v>-3</v>
      </c>
      <c r="B205" s="209" t="s">
        <v>1009</v>
      </c>
      <c r="C205" s="210">
        <v>2220000</v>
      </c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</row>
    <row r="206" spans="1:60" s="188" customFormat="1">
      <c r="A206" s="213">
        <v>-3.1</v>
      </c>
      <c r="B206" s="198" t="s">
        <v>1010</v>
      </c>
      <c r="C206" s="191">
        <v>650000</v>
      </c>
      <c r="D206" s="192">
        <v>0</v>
      </c>
      <c r="E206" s="192">
        <v>0</v>
      </c>
      <c r="F206" s="192">
        <v>0</v>
      </c>
      <c r="G206" s="192">
        <v>0</v>
      </c>
      <c r="H206" s="192">
        <v>0</v>
      </c>
      <c r="I206" s="192">
        <v>0</v>
      </c>
      <c r="J206" s="192">
        <v>0</v>
      </c>
      <c r="K206" s="192">
        <v>0</v>
      </c>
      <c r="L206" s="192">
        <v>0</v>
      </c>
      <c r="M206" s="192">
        <v>0</v>
      </c>
      <c r="N206" s="192">
        <v>0</v>
      </c>
      <c r="O206" s="192">
        <v>0</v>
      </c>
      <c r="P206" s="192">
        <v>0</v>
      </c>
      <c r="Q206" s="192">
        <v>0</v>
      </c>
      <c r="R206" s="192">
        <v>0</v>
      </c>
      <c r="S206" s="192">
        <v>0</v>
      </c>
      <c r="T206" s="192">
        <v>0</v>
      </c>
      <c r="U206" s="192">
        <v>0</v>
      </c>
      <c r="V206" s="192">
        <v>0</v>
      </c>
      <c r="W206" s="192">
        <v>0</v>
      </c>
      <c r="X206" s="192">
        <v>0</v>
      </c>
      <c r="Y206" s="192">
        <v>0</v>
      </c>
      <c r="Z206" s="192">
        <v>0</v>
      </c>
      <c r="AA206" s="192">
        <v>0</v>
      </c>
      <c r="AB206" s="192">
        <v>0</v>
      </c>
      <c r="AC206" s="192">
        <v>0</v>
      </c>
      <c r="AD206" s="192">
        <v>0</v>
      </c>
      <c r="AE206" s="192">
        <v>0</v>
      </c>
      <c r="AF206" s="193">
        <v>0</v>
      </c>
      <c r="AG206" s="193">
        <v>0</v>
      </c>
      <c r="AH206" s="193">
        <v>0</v>
      </c>
      <c r="AI206" s="193">
        <v>0</v>
      </c>
      <c r="AJ206" s="193">
        <v>0</v>
      </c>
      <c r="AK206" s="193">
        <v>0</v>
      </c>
      <c r="AL206" s="193">
        <v>0</v>
      </c>
      <c r="AM206" s="193">
        <v>0</v>
      </c>
      <c r="AN206" s="193">
        <v>0</v>
      </c>
      <c r="AO206" s="193">
        <v>0</v>
      </c>
      <c r="AP206" s="193">
        <v>0</v>
      </c>
      <c r="AQ206" s="193">
        <v>0</v>
      </c>
      <c r="AR206" s="193">
        <v>0</v>
      </c>
      <c r="AS206" s="193">
        <v>0</v>
      </c>
      <c r="AT206" s="193">
        <v>0</v>
      </c>
      <c r="AU206" s="193">
        <v>0</v>
      </c>
      <c r="AV206" s="193">
        <v>0</v>
      </c>
      <c r="AW206" s="193">
        <v>0</v>
      </c>
      <c r="AX206" s="193">
        <v>0</v>
      </c>
      <c r="AY206" s="193">
        <v>0</v>
      </c>
      <c r="AZ206" s="193">
        <v>0</v>
      </c>
      <c r="BA206" s="193">
        <v>0</v>
      </c>
      <c r="BB206" s="193">
        <v>0</v>
      </c>
      <c r="BC206" s="193">
        <v>0</v>
      </c>
      <c r="BD206" s="193">
        <v>0</v>
      </c>
      <c r="BE206" s="193">
        <v>0</v>
      </c>
      <c r="BF206" s="193">
        <v>0</v>
      </c>
      <c r="BG206" s="193">
        <v>0</v>
      </c>
      <c r="BH206" s="193">
        <v>0</v>
      </c>
    </row>
    <row r="207" spans="1:60" s="188" customFormat="1">
      <c r="A207" s="213">
        <v>-3.2</v>
      </c>
      <c r="B207" s="198" t="s">
        <v>1011</v>
      </c>
      <c r="C207" s="191">
        <v>620000</v>
      </c>
      <c r="D207" s="192">
        <v>0</v>
      </c>
      <c r="E207" s="192">
        <v>0</v>
      </c>
      <c r="F207" s="192">
        <v>0</v>
      </c>
      <c r="G207" s="192">
        <v>0</v>
      </c>
      <c r="H207" s="192">
        <v>0</v>
      </c>
      <c r="I207" s="192">
        <v>0</v>
      </c>
      <c r="J207" s="192">
        <v>0</v>
      </c>
      <c r="K207" s="192">
        <v>0</v>
      </c>
      <c r="L207" s="192">
        <v>0</v>
      </c>
      <c r="M207" s="192">
        <v>0</v>
      </c>
      <c r="N207" s="192">
        <v>0</v>
      </c>
      <c r="O207" s="192">
        <v>0</v>
      </c>
      <c r="P207" s="192">
        <v>0</v>
      </c>
      <c r="Q207" s="192">
        <v>0</v>
      </c>
      <c r="R207" s="192">
        <v>0</v>
      </c>
      <c r="S207" s="192">
        <v>0</v>
      </c>
      <c r="T207" s="192">
        <v>0</v>
      </c>
      <c r="U207" s="192">
        <v>0</v>
      </c>
      <c r="V207" s="192">
        <v>0</v>
      </c>
      <c r="W207" s="192">
        <v>0</v>
      </c>
      <c r="X207" s="192">
        <v>0</v>
      </c>
      <c r="Y207" s="192">
        <v>0</v>
      </c>
      <c r="Z207" s="192">
        <v>0</v>
      </c>
      <c r="AA207" s="192">
        <v>0</v>
      </c>
      <c r="AB207" s="192">
        <v>0</v>
      </c>
      <c r="AC207" s="192">
        <v>0</v>
      </c>
      <c r="AD207" s="192">
        <v>0</v>
      </c>
      <c r="AE207" s="192">
        <v>0</v>
      </c>
      <c r="AF207" s="193">
        <v>0</v>
      </c>
      <c r="AG207" s="193">
        <v>0</v>
      </c>
      <c r="AH207" s="193">
        <v>0</v>
      </c>
      <c r="AI207" s="193">
        <v>0</v>
      </c>
      <c r="AJ207" s="193">
        <v>0</v>
      </c>
      <c r="AK207" s="193">
        <v>0</v>
      </c>
      <c r="AL207" s="193">
        <v>0</v>
      </c>
      <c r="AM207" s="193">
        <v>0</v>
      </c>
      <c r="AN207" s="193">
        <v>0</v>
      </c>
      <c r="AO207" s="193">
        <v>0</v>
      </c>
      <c r="AP207" s="193">
        <v>0</v>
      </c>
      <c r="AQ207" s="193">
        <v>0</v>
      </c>
      <c r="AR207" s="193">
        <v>0</v>
      </c>
      <c r="AS207" s="193">
        <v>0</v>
      </c>
      <c r="AT207" s="193">
        <v>0</v>
      </c>
      <c r="AU207" s="193">
        <v>0</v>
      </c>
      <c r="AV207" s="193">
        <v>0</v>
      </c>
      <c r="AW207" s="193">
        <v>0</v>
      </c>
      <c r="AX207" s="193">
        <v>0</v>
      </c>
      <c r="AY207" s="193">
        <v>0</v>
      </c>
      <c r="AZ207" s="193">
        <v>0</v>
      </c>
      <c r="BA207" s="193">
        <v>0</v>
      </c>
      <c r="BB207" s="193">
        <v>0</v>
      </c>
      <c r="BC207" s="193">
        <v>0</v>
      </c>
      <c r="BD207" s="193">
        <v>0</v>
      </c>
      <c r="BE207" s="193">
        <v>0</v>
      </c>
      <c r="BF207" s="193">
        <v>0</v>
      </c>
      <c r="BG207" s="193">
        <v>0</v>
      </c>
      <c r="BH207" s="193">
        <v>0</v>
      </c>
    </row>
    <row r="208" spans="1:60" s="188" customFormat="1">
      <c r="A208" s="213">
        <v>-3.3</v>
      </c>
      <c r="B208" s="198" t="s">
        <v>1012</v>
      </c>
      <c r="C208" s="191">
        <v>360000</v>
      </c>
      <c r="D208" s="192">
        <v>0</v>
      </c>
      <c r="E208" s="192">
        <v>0</v>
      </c>
      <c r="F208" s="192">
        <v>0</v>
      </c>
      <c r="G208" s="192">
        <v>0</v>
      </c>
      <c r="H208" s="192">
        <v>0</v>
      </c>
      <c r="I208" s="192">
        <v>0</v>
      </c>
      <c r="J208" s="192">
        <v>0</v>
      </c>
      <c r="K208" s="192">
        <v>0</v>
      </c>
      <c r="L208" s="192">
        <v>0</v>
      </c>
      <c r="M208" s="192">
        <v>0</v>
      </c>
      <c r="N208" s="192">
        <v>0</v>
      </c>
      <c r="O208" s="192">
        <v>0</v>
      </c>
      <c r="P208" s="192">
        <v>0</v>
      </c>
      <c r="Q208" s="192">
        <v>0</v>
      </c>
      <c r="R208" s="192">
        <v>0</v>
      </c>
      <c r="S208" s="192">
        <v>0</v>
      </c>
      <c r="T208" s="192">
        <v>0</v>
      </c>
      <c r="U208" s="192">
        <v>0</v>
      </c>
      <c r="V208" s="192">
        <v>0</v>
      </c>
      <c r="W208" s="192">
        <v>0</v>
      </c>
      <c r="X208" s="192">
        <v>0</v>
      </c>
      <c r="Y208" s="192">
        <v>0</v>
      </c>
      <c r="Z208" s="192">
        <v>0</v>
      </c>
      <c r="AA208" s="192">
        <v>0</v>
      </c>
      <c r="AB208" s="192">
        <v>0</v>
      </c>
      <c r="AC208" s="192">
        <v>0</v>
      </c>
      <c r="AD208" s="192">
        <v>0</v>
      </c>
      <c r="AE208" s="192">
        <v>0</v>
      </c>
      <c r="AF208" s="193">
        <v>0</v>
      </c>
      <c r="AG208" s="193">
        <v>0</v>
      </c>
      <c r="AH208" s="193">
        <v>0</v>
      </c>
      <c r="AI208" s="193">
        <v>0</v>
      </c>
      <c r="AJ208" s="193">
        <v>0</v>
      </c>
      <c r="AK208" s="193">
        <v>0</v>
      </c>
      <c r="AL208" s="193">
        <v>0</v>
      </c>
      <c r="AM208" s="193">
        <v>0</v>
      </c>
      <c r="AN208" s="193">
        <v>0</v>
      </c>
      <c r="AO208" s="193">
        <v>0</v>
      </c>
      <c r="AP208" s="193">
        <v>0</v>
      </c>
      <c r="AQ208" s="193">
        <v>0</v>
      </c>
      <c r="AR208" s="193">
        <v>0</v>
      </c>
      <c r="AS208" s="193">
        <v>0</v>
      </c>
      <c r="AT208" s="193">
        <v>0</v>
      </c>
      <c r="AU208" s="193">
        <v>0</v>
      </c>
      <c r="AV208" s="193">
        <v>0</v>
      </c>
      <c r="AW208" s="193">
        <v>0</v>
      </c>
      <c r="AX208" s="193">
        <v>0</v>
      </c>
      <c r="AY208" s="193">
        <v>0</v>
      </c>
      <c r="AZ208" s="193">
        <v>0</v>
      </c>
      <c r="BA208" s="193">
        <v>0</v>
      </c>
      <c r="BB208" s="193">
        <v>0</v>
      </c>
      <c r="BC208" s="193">
        <v>0</v>
      </c>
      <c r="BD208" s="193">
        <v>0</v>
      </c>
      <c r="BE208" s="193">
        <v>0</v>
      </c>
      <c r="BF208" s="193">
        <v>0</v>
      </c>
      <c r="BG208" s="193">
        <v>0</v>
      </c>
      <c r="BH208" s="193">
        <v>0</v>
      </c>
    </row>
    <row r="209" spans="1:60" s="188" customFormat="1">
      <c r="A209" s="213">
        <v>-3.4</v>
      </c>
      <c r="B209" s="198" t="s">
        <v>1013</v>
      </c>
      <c r="C209" s="191">
        <v>590000</v>
      </c>
      <c r="D209" s="192">
        <v>0</v>
      </c>
      <c r="E209" s="192">
        <v>0</v>
      </c>
      <c r="F209" s="192">
        <v>0</v>
      </c>
      <c r="G209" s="192">
        <v>0</v>
      </c>
      <c r="H209" s="192">
        <v>0</v>
      </c>
      <c r="I209" s="192">
        <v>0</v>
      </c>
      <c r="J209" s="192">
        <v>0</v>
      </c>
      <c r="K209" s="192">
        <v>0</v>
      </c>
      <c r="L209" s="192">
        <v>0</v>
      </c>
      <c r="M209" s="192">
        <v>0</v>
      </c>
      <c r="N209" s="192">
        <v>0</v>
      </c>
      <c r="O209" s="192">
        <v>0</v>
      </c>
      <c r="P209" s="192">
        <v>0</v>
      </c>
      <c r="Q209" s="192">
        <v>0</v>
      </c>
      <c r="R209" s="192">
        <v>0</v>
      </c>
      <c r="S209" s="192">
        <v>0</v>
      </c>
      <c r="T209" s="192">
        <v>0</v>
      </c>
      <c r="U209" s="192">
        <v>0</v>
      </c>
      <c r="V209" s="192">
        <v>0</v>
      </c>
      <c r="W209" s="192">
        <v>0</v>
      </c>
      <c r="X209" s="192">
        <v>0</v>
      </c>
      <c r="Y209" s="192">
        <v>0</v>
      </c>
      <c r="Z209" s="192">
        <v>0</v>
      </c>
      <c r="AA209" s="192">
        <v>0</v>
      </c>
      <c r="AB209" s="192">
        <v>0</v>
      </c>
      <c r="AC209" s="192">
        <v>0</v>
      </c>
      <c r="AD209" s="192">
        <v>0</v>
      </c>
      <c r="AE209" s="192">
        <v>0</v>
      </c>
      <c r="AF209" s="193">
        <v>0</v>
      </c>
      <c r="AG209" s="193">
        <v>0</v>
      </c>
      <c r="AH209" s="193">
        <v>0</v>
      </c>
      <c r="AI209" s="193">
        <v>0</v>
      </c>
      <c r="AJ209" s="193">
        <v>0</v>
      </c>
      <c r="AK209" s="193">
        <v>0</v>
      </c>
      <c r="AL209" s="193">
        <v>0</v>
      </c>
      <c r="AM209" s="193">
        <v>0</v>
      </c>
      <c r="AN209" s="193">
        <v>0</v>
      </c>
      <c r="AO209" s="193">
        <v>0</v>
      </c>
      <c r="AP209" s="193">
        <v>0</v>
      </c>
      <c r="AQ209" s="193">
        <v>0</v>
      </c>
      <c r="AR209" s="193">
        <v>0</v>
      </c>
      <c r="AS209" s="193">
        <v>0</v>
      </c>
      <c r="AT209" s="193">
        <v>0</v>
      </c>
      <c r="AU209" s="193">
        <v>0</v>
      </c>
      <c r="AV209" s="193">
        <v>0</v>
      </c>
      <c r="AW209" s="193">
        <v>0</v>
      </c>
      <c r="AX209" s="193">
        <v>0</v>
      </c>
      <c r="AY209" s="193">
        <v>0</v>
      </c>
      <c r="AZ209" s="193">
        <v>0</v>
      </c>
      <c r="BA209" s="193">
        <v>0</v>
      </c>
      <c r="BB209" s="193">
        <v>0</v>
      </c>
      <c r="BC209" s="193">
        <v>0</v>
      </c>
      <c r="BD209" s="193">
        <v>0</v>
      </c>
      <c r="BE209" s="193">
        <v>0</v>
      </c>
      <c r="BF209" s="193">
        <v>0</v>
      </c>
      <c r="BG209" s="193">
        <v>0</v>
      </c>
      <c r="BH209" s="193">
        <v>0</v>
      </c>
    </row>
    <row r="210" spans="1:60" s="188" customFormat="1">
      <c r="A210" s="208">
        <v>-4</v>
      </c>
      <c r="B210" s="209" t="s">
        <v>1014</v>
      </c>
      <c r="C210" s="210">
        <v>2810000</v>
      </c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</row>
    <row r="211" spans="1:60" s="188" customFormat="1">
      <c r="A211" s="213">
        <v>-4.0999999999999996</v>
      </c>
      <c r="B211" s="198" t="s">
        <v>1015</v>
      </c>
      <c r="C211" s="191">
        <v>660000</v>
      </c>
      <c r="D211" s="192">
        <v>0</v>
      </c>
      <c r="E211" s="192">
        <v>0</v>
      </c>
      <c r="F211" s="192">
        <v>0</v>
      </c>
      <c r="G211" s="192">
        <v>0</v>
      </c>
      <c r="H211" s="192">
        <v>0</v>
      </c>
      <c r="I211" s="192">
        <v>0</v>
      </c>
      <c r="J211" s="192">
        <v>0</v>
      </c>
      <c r="K211" s="192">
        <v>0</v>
      </c>
      <c r="L211" s="192">
        <v>0</v>
      </c>
      <c r="M211" s="192">
        <v>0</v>
      </c>
      <c r="N211" s="192">
        <v>0</v>
      </c>
      <c r="O211" s="192">
        <v>0</v>
      </c>
      <c r="P211" s="192">
        <v>0</v>
      </c>
      <c r="Q211" s="192">
        <v>0</v>
      </c>
      <c r="R211" s="192">
        <v>0</v>
      </c>
      <c r="S211" s="192">
        <v>0</v>
      </c>
      <c r="T211" s="192">
        <v>0</v>
      </c>
      <c r="U211" s="192">
        <v>0</v>
      </c>
      <c r="V211" s="192">
        <v>0</v>
      </c>
      <c r="W211" s="192">
        <v>0</v>
      </c>
      <c r="X211" s="192">
        <v>0</v>
      </c>
      <c r="Y211" s="192">
        <v>0</v>
      </c>
      <c r="Z211" s="192">
        <v>0</v>
      </c>
      <c r="AA211" s="192">
        <v>0</v>
      </c>
      <c r="AB211" s="192">
        <v>0</v>
      </c>
      <c r="AC211" s="192">
        <v>0</v>
      </c>
      <c r="AD211" s="192">
        <v>0</v>
      </c>
      <c r="AE211" s="192">
        <v>0</v>
      </c>
      <c r="AF211" s="193">
        <v>0</v>
      </c>
      <c r="AG211" s="193">
        <v>0</v>
      </c>
      <c r="AH211" s="193">
        <v>0</v>
      </c>
      <c r="AI211" s="193">
        <v>0</v>
      </c>
      <c r="AJ211" s="193">
        <v>0</v>
      </c>
      <c r="AK211" s="193">
        <v>0</v>
      </c>
      <c r="AL211" s="193">
        <v>0</v>
      </c>
      <c r="AM211" s="193">
        <v>0</v>
      </c>
      <c r="AN211" s="193">
        <v>0</v>
      </c>
      <c r="AO211" s="193">
        <v>0</v>
      </c>
      <c r="AP211" s="193">
        <v>0</v>
      </c>
      <c r="AQ211" s="193">
        <v>0</v>
      </c>
      <c r="AR211" s="193">
        <v>0</v>
      </c>
      <c r="AS211" s="193">
        <v>0</v>
      </c>
      <c r="AT211" s="193">
        <v>0</v>
      </c>
      <c r="AU211" s="193">
        <v>0</v>
      </c>
      <c r="AV211" s="193">
        <v>0</v>
      </c>
      <c r="AW211" s="193">
        <v>0</v>
      </c>
      <c r="AX211" s="193">
        <v>0</v>
      </c>
      <c r="AY211" s="193">
        <v>0</v>
      </c>
      <c r="AZ211" s="193">
        <v>0</v>
      </c>
      <c r="BA211" s="193">
        <v>0</v>
      </c>
      <c r="BB211" s="193">
        <v>0</v>
      </c>
      <c r="BC211" s="193">
        <v>0</v>
      </c>
      <c r="BD211" s="193">
        <v>0</v>
      </c>
      <c r="BE211" s="193">
        <v>0</v>
      </c>
      <c r="BF211" s="193">
        <v>0</v>
      </c>
      <c r="BG211" s="193">
        <v>0</v>
      </c>
      <c r="BH211" s="193">
        <v>0</v>
      </c>
    </row>
    <row r="212" spans="1:60" s="188" customFormat="1">
      <c r="A212" s="213">
        <v>-4.2</v>
      </c>
      <c r="B212" s="198" t="s">
        <v>1016</v>
      </c>
      <c r="C212" s="191">
        <v>920000</v>
      </c>
      <c r="D212" s="192">
        <v>0</v>
      </c>
      <c r="E212" s="192">
        <v>0</v>
      </c>
      <c r="F212" s="192">
        <v>0</v>
      </c>
      <c r="G212" s="192">
        <v>0</v>
      </c>
      <c r="H212" s="192">
        <v>0</v>
      </c>
      <c r="I212" s="192">
        <v>0</v>
      </c>
      <c r="J212" s="192">
        <v>0</v>
      </c>
      <c r="K212" s="192">
        <v>0</v>
      </c>
      <c r="L212" s="192">
        <v>0</v>
      </c>
      <c r="M212" s="192">
        <v>0</v>
      </c>
      <c r="N212" s="192">
        <v>0</v>
      </c>
      <c r="O212" s="192">
        <v>0</v>
      </c>
      <c r="P212" s="192">
        <v>0</v>
      </c>
      <c r="Q212" s="192">
        <v>0</v>
      </c>
      <c r="R212" s="192">
        <v>0</v>
      </c>
      <c r="S212" s="192">
        <v>0</v>
      </c>
      <c r="T212" s="192">
        <v>0</v>
      </c>
      <c r="U212" s="192">
        <v>0</v>
      </c>
      <c r="V212" s="192">
        <v>0</v>
      </c>
      <c r="W212" s="192">
        <v>0</v>
      </c>
      <c r="X212" s="192">
        <v>0</v>
      </c>
      <c r="Y212" s="192">
        <v>0</v>
      </c>
      <c r="Z212" s="192">
        <v>0</v>
      </c>
      <c r="AA212" s="192">
        <v>0</v>
      </c>
      <c r="AB212" s="192">
        <v>0</v>
      </c>
      <c r="AC212" s="192">
        <v>0</v>
      </c>
      <c r="AD212" s="192">
        <v>0</v>
      </c>
      <c r="AE212" s="192">
        <v>0</v>
      </c>
      <c r="AF212" s="193">
        <v>0</v>
      </c>
      <c r="AG212" s="193">
        <v>0</v>
      </c>
      <c r="AH212" s="193">
        <v>0</v>
      </c>
      <c r="AI212" s="193">
        <v>0</v>
      </c>
      <c r="AJ212" s="193">
        <v>0</v>
      </c>
      <c r="AK212" s="193">
        <v>0</v>
      </c>
      <c r="AL212" s="193">
        <v>0</v>
      </c>
      <c r="AM212" s="193">
        <v>0</v>
      </c>
      <c r="AN212" s="193">
        <v>0</v>
      </c>
      <c r="AO212" s="193">
        <v>0</v>
      </c>
      <c r="AP212" s="193">
        <v>0</v>
      </c>
      <c r="AQ212" s="193">
        <v>0</v>
      </c>
      <c r="AR212" s="193">
        <v>0</v>
      </c>
      <c r="AS212" s="193">
        <v>0</v>
      </c>
      <c r="AT212" s="193">
        <v>0</v>
      </c>
      <c r="AU212" s="193">
        <v>0</v>
      </c>
      <c r="AV212" s="193">
        <v>0</v>
      </c>
      <c r="AW212" s="193">
        <v>0</v>
      </c>
      <c r="AX212" s="193">
        <v>0</v>
      </c>
      <c r="AY212" s="193">
        <v>0</v>
      </c>
      <c r="AZ212" s="193">
        <v>0</v>
      </c>
      <c r="BA212" s="193">
        <v>0</v>
      </c>
      <c r="BB212" s="193">
        <v>0</v>
      </c>
      <c r="BC212" s="193">
        <v>0</v>
      </c>
      <c r="BD212" s="193">
        <v>0</v>
      </c>
      <c r="BE212" s="193">
        <v>0</v>
      </c>
      <c r="BF212" s="193">
        <v>0</v>
      </c>
      <c r="BG212" s="193">
        <v>0</v>
      </c>
      <c r="BH212" s="193">
        <v>0</v>
      </c>
    </row>
    <row r="213" spans="1:60" s="188" customFormat="1">
      <c r="A213" s="213">
        <v>-4.3</v>
      </c>
      <c r="B213" s="198" t="s">
        <v>1017</v>
      </c>
      <c r="C213" s="191">
        <v>360000</v>
      </c>
      <c r="D213" s="192">
        <v>0</v>
      </c>
      <c r="E213" s="192">
        <v>0</v>
      </c>
      <c r="F213" s="192">
        <v>0</v>
      </c>
      <c r="G213" s="192">
        <v>0</v>
      </c>
      <c r="H213" s="192">
        <v>0</v>
      </c>
      <c r="I213" s="192">
        <v>0</v>
      </c>
      <c r="J213" s="192">
        <v>0</v>
      </c>
      <c r="K213" s="192">
        <v>0</v>
      </c>
      <c r="L213" s="192">
        <v>0</v>
      </c>
      <c r="M213" s="192">
        <v>0</v>
      </c>
      <c r="N213" s="192">
        <v>0</v>
      </c>
      <c r="O213" s="192">
        <v>0</v>
      </c>
      <c r="P213" s="192">
        <v>0</v>
      </c>
      <c r="Q213" s="192">
        <v>0</v>
      </c>
      <c r="R213" s="192">
        <v>0</v>
      </c>
      <c r="S213" s="192">
        <v>0</v>
      </c>
      <c r="T213" s="192">
        <v>0</v>
      </c>
      <c r="U213" s="192">
        <v>0</v>
      </c>
      <c r="V213" s="192">
        <v>0</v>
      </c>
      <c r="W213" s="192">
        <v>0</v>
      </c>
      <c r="X213" s="192">
        <v>0</v>
      </c>
      <c r="Y213" s="192">
        <v>0</v>
      </c>
      <c r="Z213" s="192">
        <v>0</v>
      </c>
      <c r="AA213" s="192">
        <v>0</v>
      </c>
      <c r="AB213" s="192">
        <v>0</v>
      </c>
      <c r="AC213" s="192">
        <v>0</v>
      </c>
      <c r="AD213" s="192">
        <v>0</v>
      </c>
      <c r="AE213" s="192">
        <v>0</v>
      </c>
      <c r="AF213" s="193">
        <v>0</v>
      </c>
      <c r="AG213" s="193">
        <v>0</v>
      </c>
      <c r="AH213" s="193">
        <v>0</v>
      </c>
      <c r="AI213" s="193">
        <v>0</v>
      </c>
      <c r="AJ213" s="193">
        <v>0</v>
      </c>
      <c r="AK213" s="193">
        <v>0</v>
      </c>
      <c r="AL213" s="193">
        <v>0</v>
      </c>
      <c r="AM213" s="193">
        <v>0</v>
      </c>
      <c r="AN213" s="193">
        <v>0</v>
      </c>
      <c r="AO213" s="193">
        <v>0</v>
      </c>
      <c r="AP213" s="193">
        <v>0</v>
      </c>
      <c r="AQ213" s="193">
        <v>0</v>
      </c>
      <c r="AR213" s="193">
        <v>0</v>
      </c>
      <c r="AS213" s="193">
        <v>0</v>
      </c>
      <c r="AT213" s="193">
        <v>0</v>
      </c>
      <c r="AU213" s="193">
        <v>0</v>
      </c>
      <c r="AV213" s="193">
        <v>0</v>
      </c>
      <c r="AW213" s="193">
        <v>0</v>
      </c>
      <c r="AX213" s="193">
        <v>0</v>
      </c>
      <c r="AY213" s="193">
        <v>0</v>
      </c>
      <c r="AZ213" s="193">
        <v>0</v>
      </c>
      <c r="BA213" s="193">
        <v>0</v>
      </c>
      <c r="BB213" s="193">
        <v>0</v>
      </c>
      <c r="BC213" s="193">
        <v>0</v>
      </c>
      <c r="BD213" s="193">
        <v>0</v>
      </c>
      <c r="BE213" s="193">
        <v>0</v>
      </c>
      <c r="BF213" s="193">
        <v>0</v>
      </c>
      <c r="BG213" s="193">
        <v>0</v>
      </c>
      <c r="BH213" s="193">
        <v>0</v>
      </c>
    </row>
    <row r="214" spans="1:60" s="188" customFormat="1">
      <c r="A214" s="213">
        <v>-4.4000000000000004</v>
      </c>
      <c r="B214" s="198" t="s">
        <v>1018</v>
      </c>
      <c r="C214" s="191">
        <v>870000</v>
      </c>
      <c r="D214" s="192">
        <v>0</v>
      </c>
      <c r="E214" s="192">
        <v>0</v>
      </c>
      <c r="F214" s="192">
        <v>0</v>
      </c>
      <c r="G214" s="192">
        <v>0</v>
      </c>
      <c r="H214" s="192">
        <v>0</v>
      </c>
      <c r="I214" s="192">
        <v>0</v>
      </c>
      <c r="J214" s="192">
        <v>0</v>
      </c>
      <c r="K214" s="192">
        <v>0</v>
      </c>
      <c r="L214" s="192">
        <v>0</v>
      </c>
      <c r="M214" s="192">
        <v>0</v>
      </c>
      <c r="N214" s="192">
        <v>0</v>
      </c>
      <c r="O214" s="192">
        <v>0</v>
      </c>
      <c r="P214" s="192">
        <v>0</v>
      </c>
      <c r="Q214" s="192">
        <v>0</v>
      </c>
      <c r="R214" s="192">
        <v>0</v>
      </c>
      <c r="S214" s="192">
        <v>0</v>
      </c>
      <c r="T214" s="192">
        <v>0</v>
      </c>
      <c r="U214" s="192">
        <v>0</v>
      </c>
      <c r="V214" s="192">
        <v>0</v>
      </c>
      <c r="W214" s="192">
        <v>0</v>
      </c>
      <c r="X214" s="192">
        <v>0</v>
      </c>
      <c r="Y214" s="192">
        <v>0</v>
      </c>
      <c r="Z214" s="192">
        <v>0</v>
      </c>
      <c r="AA214" s="192">
        <v>0</v>
      </c>
      <c r="AB214" s="192">
        <v>0</v>
      </c>
      <c r="AC214" s="192">
        <v>0</v>
      </c>
      <c r="AD214" s="192">
        <v>0</v>
      </c>
      <c r="AE214" s="192">
        <v>0</v>
      </c>
      <c r="AF214" s="193">
        <v>0</v>
      </c>
      <c r="AG214" s="193">
        <v>0</v>
      </c>
      <c r="AH214" s="193">
        <v>0</v>
      </c>
      <c r="AI214" s="193">
        <v>0</v>
      </c>
      <c r="AJ214" s="193">
        <v>0</v>
      </c>
      <c r="AK214" s="193">
        <v>0</v>
      </c>
      <c r="AL214" s="193">
        <v>0</v>
      </c>
      <c r="AM214" s="193">
        <v>0</v>
      </c>
      <c r="AN214" s="193">
        <v>0</v>
      </c>
      <c r="AO214" s="193">
        <v>0</v>
      </c>
      <c r="AP214" s="193">
        <v>0</v>
      </c>
      <c r="AQ214" s="193">
        <v>0</v>
      </c>
      <c r="AR214" s="193">
        <v>0</v>
      </c>
      <c r="AS214" s="193">
        <v>0</v>
      </c>
      <c r="AT214" s="193">
        <v>0</v>
      </c>
      <c r="AU214" s="193">
        <v>0</v>
      </c>
      <c r="AV214" s="193">
        <v>0</v>
      </c>
      <c r="AW214" s="193">
        <v>0</v>
      </c>
      <c r="AX214" s="193">
        <v>0</v>
      </c>
      <c r="AY214" s="193">
        <v>0</v>
      </c>
      <c r="AZ214" s="193">
        <v>0</v>
      </c>
      <c r="BA214" s="193">
        <v>0</v>
      </c>
      <c r="BB214" s="193">
        <v>0</v>
      </c>
      <c r="BC214" s="193">
        <v>0</v>
      </c>
      <c r="BD214" s="193">
        <v>0</v>
      </c>
      <c r="BE214" s="193">
        <v>0</v>
      </c>
      <c r="BF214" s="193">
        <v>0</v>
      </c>
      <c r="BG214" s="193">
        <v>0</v>
      </c>
      <c r="BH214" s="193">
        <v>0</v>
      </c>
    </row>
    <row r="215" spans="1:60" s="188" customFormat="1">
      <c r="A215" s="189">
        <v>-5</v>
      </c>
      <c r="B215" s="198" t="s">
        <v>1019</v>
      </c>
      <c r="C215" s="191">
        <v>550000</v>
      </c>
      <c r="D215" s="192">
        <v>0</v>
      </c>
      <c r="E215" s="192">
        <v>0</v>
      </c>
      <c r="F215" s="192">
        <v>0</v>
      </c>
      <c r="G215" s="192">
        <v>0</v>
      </c>
      <c r="H215" s="192">
        <v>0</v>
      </c>
      <c r="I215" s="192">
        <v>0</v>
      </c>
      <c r="J215" s="192">
        <v>0</v>
      </c>
      <c r="K215" s="192">
        <v>0</v>
      </c>
      <c r="L215" s="192">
        <v>0</v>
      </c>
      <c r="M215" s="192">
        <v>0</v>
      </c>
      <c r="N215" s="192">
        <v>0</v>
      </c>
      <c r="O215" s="192">
        <v>0</v>
      </c>
      <c r="P215" s="192">
        <v>0</v>
      </c>
      <c r="Q215" s="192">
        <v>0</v>
      </c>
      <c r="R215" s="192">
        <v>0</v>
      </c>
      <c r="S215" s="192">
        <v>0</v>
      </c>
      <c r="T215" s="192">
        <v>0</v>
      </c>
      <c r="U215" s="192">
        <v>0</v>
      </c>
      <c r="V215" s="192">
        <v>0</v>
      </c>
      <c r="W215" s="192">
        <v>0</v>
      </c>
      <c r="X215" s="192">
        <v>0</v>
      </c>
      <c r="Y215" s="192">
        <v>0</v>
      </c>
      <c r="Z215" s="192">
        <v>0</v>
      </c>
      <c r="AA215" s="192">
        <v>0</v>
      </c>
      <c r="AB215" s="192">
        <v>0</v>
      </c>
      <c r="AC215" s="192">
        <v>0</v>
      </c>
      <c r="AD215" s="192">
        <v>0</v>
      </c>
      <c r="AE215" s="192">
        <v>0</v>
      </c>
      <c r="AF215" s="193">
        <v>0</v>
      </c>
      <c r="AG215" s="193">
        <v>0</v>
      </c>
      <c r="AH215" s="193">
        <v>0</v>
      </c>
      <c r="AI215" s="193">
        <v>0</v>
      </c>
      <c r="AJ215" s="193">
        <v>0</v>
      </c>
      <c r="AK215" s="193">
        <v>0</v>
      </c>
      <c r="AL215" s="193">
        <v>0</v>
      </c>
      <c r="AM215" s="193">
        <v>0</v>
      </c>
      <c r="AN215" s="193">
        <v>0</v>
      </c>
      <c r="AO215" s="193">
        <v>0</v>
      </c>
      <c r="AP215" s="193">
        <v>0</v>
      </c>
      <c r="AQ215" s="193">
        <v>0</v>
      </c>
      <c r="AR215" s="193">
        <v>0</v>
      </c>
      <c r="AS215" s="193">
        <v>0</v>
      </c>
      <c r="AT215" s="193">
        <v>0</v>
      </c>
      <c r="AU215" s="193">
        <v>0</v>
      </c>
      <c r="AV215" s="193">
        <v>0</v>
      </c>
      <c r="AW215" s="193">
        <v>0</v>
      </c>
      <c r="AX215" s="193">
        <v>0</v>
      </c>
      <c r="AY215" s="193">
        <v>0</v>
      </c>
      <c r="AZ215" s="193">
        <v>0</v>
      </c>
      <c r="BA215" s="193">
        <v>0</v>
      </c>
      <c r="BB215" s="193">
        <v>0</v>
      </c>
      <c r="BC215" s="193">
        <v>0</v>
      </c>
      <c r="BD215" s="193">
        <v>0</v>
      </c>
      <c r="BE215" s="193">
        <v>0</v>
      </c>
      <c r="BF215" s="193">
        <v>0</v>
      </c>
      <c r="BG215" s="193">
        <v>0</v>
      </c>
      <c r="BH215" s="193">
        <v>0</v>
      </c>
    </row>
    <row r="216" spans="1:60" s="188" customFormat="1">
      <c r="A216" s="189">
        <v>-6</v>
      </c>
      <c r="B216" s="198" t="s">
        <v>1020</v>
      </c>
      <c r="C216" s="191">
        <v>1100000</v>
      </c>
      <c r="D216" s="192">
        <v>0</v>
      </c>
      <c r="E216" s="192">
        <v>0</v>
      </c>
      <c r="F216" s="192">
        <v>0</v>
      </c>
      <c r="G216" s="192">
        <v>0</v>
      </c>
      <c r="H216" s="192">
        <v>0</v>
      </c>
      <c r="I216" s="192">
        <v>0</v>
      </c>
      <c r="J216" s="192">
        <v>0</v>
      </c>
      <c r="K216" s="192">
        <v>0</v>
      </c>
      <c r="L216" s="192">
        <v>0</v>
      </c>
      <c r="M216" s="192">
        <v>0</v>
      </c>
      <c r="N216" s="192">
        <v>0</v>
      </c>
      <c r="O216" s="192">
        <v>0</v>
      </c>
      <c r="P216" s="192">
        <v>0</v>
      </c>
      <c r="Q216" s="192">
        <v>0</v>
      </c>
      <c r="R216" s="192">
        <v>0</v>
      </c>
      <c r="S216" s="192">
        <v>0</v>
      </c>
      <c r="T216" s="192">
        <v>0</v>
      </c>
      <c r="U216" s="192">
        <v>0</v>
      </c>
      <c r="V216" s="192">
        <v>0</v>
      </c>
      <c r="W216" s="192">
        <v>0</v>
      </c>
      <c r="X216" s="192">
        <v>0</v>
      </c>
      <c r="Y216" s="192">
        <v>0</v>
      </c>
      <c r="Z216" s="192">
        <v>0</v>
      </c>
      <c r="AA216" s="192">
        <v>1</v>
      </c>
      <c r="AB216" s="192">
        <v>0</v>
      </c>
      <c r="AC216" s="192">
        <v>0</v>
      </c>
      <c r="AD216" s="192">
        <v>0</v>
      </c>
      <c r="AE216" s="192">
        <v>1</v>
      </c>
      <c r="AF216" s="193">
        <v>0</v>
      </c>
      <c r="AG216" s="193">
        <v>0</v>
      </c>
      <c r="AH216" s="193">
        <v>0</v>
      </c>
      <c r="AI216" s="193">
        <v>0</v>
      </c>
      <c r="AJ216" s="193">
        <v>0</v>
      </c>
      <c r="AK216" s="193">
        <v>0</v>
      </c>
      <c r="AL216" s="193">
        <v>0</v>
      </c>
      <c r="AM216" s="193">
        <v>0</v>
      </c>
      <c r="AN216" s="193">
        <v>0</v>
      </c>
      <c r="AO216" s="193">
        <v>0</v>
      </c>
      <c r="AP216" s="193">
        <v>0</v>
      </c>
      <c r="AQ216" s="193">
        <v>0</v>
      </c>
      <c r="AR216" s="193">
        <v>0</v>
      </c>
      <c r="AS216" s="193">
        <v>0</v>
      </c>
      <c r="AT216" s="193">
        <v>0</v>
      </c>
      <c r="AU216" s="193">
        <v>0</v>
      </c>
      <c r="AV216" s="193">
        <v>0</v>
      </c>
      <c r="AW216" s="193">
        <v>0</v>
      </c>
      <c r="AX216" s="193">
        <v>0</v>
      </c>
      <c r="AY216" s="193">
        <v>0</v>
      </c>
      <c r="AZ216" s="193">
        <v>0</v>
      </c>
      <c r="BA216" s="193">
        <v>0</v>
      </c>
      <c r="BB216" s="193">
        <v>0</v>
      </c>
      <c r="BC216" s="193">
        <v>1100000</v>
      </c>
      <c r="BD216" s="193">
        <v>0</v>
      </c>
      <c r="BE216" s="193">
        <v>0</v>
      </c>
      <c r="BF216" s="193">
        <v>0</v>
      </c>
      <c r="BG216" s="193">
        <v>1100000</v>
      </c>
      <c r="BH216" s="193">
        <v>1100000</v>
      </c>
    </row>
    <row r="217" spans="1:60" s="188" customFormat="1">
      <c r="A217" s="189">
        <v>-7</v>
      </c>
      <c r="B217" s="198" t="s">
        <v>1021</v>
      </c>
      <c r="C217" s="191">
        <v>2200000</v>
      </c>
      <c r="D217" s="192">
        <v>0</v>
      </c>
      <c r="E217" s="192">
        <v>0</v>
      </c>
      <c r="F217" s="192">
        <v>0</v>
      </c>
      <c r="G217" s="192">
        <v>0</v>
      </c>
      <c r="H217" s="192">
        <v>0</v>
      </c>
      <c r="I217" s="192">
        <v>0</v>
      </c>
      <c r="J217" s="192">
        <v>0</v>
      </c>
      <c r="K217" s="192">
        <v>0</v>
      </c>
      <c r="L217" s="192">
        <v>0</v>
      </c>
      <c r="M217" s="192">
        <v>0</v>
      </c>
      <c r="N217" s="192">
        <v>0</v>
      </c>
      <c r="O217" s="192">
        <v>0</v>
      </c>
      <c r="P217" s="192">
        <v>0</v>
      </c>
      <c r="Q217" s="192">
        <v>0</v>
      </c>
      <c r="R217" s="192">
        <v>0</v>
      </c>
      <c r="S217" s="192">
        <v>0</v>
      </c>
      <c r="T217" s="192">
        <v>0</v>
      </c>
      <c r="U217" s="192">
        <v>0</v>
      </c>
      <c r="V217" s="192">
        <v>0</v>
      </c>
      <c r="W217" s="192">
        <v>0</v>
      </c>
      <c r="X217" s="192">
        <v>0</v>
      </c>
      <c r="Y217" s="192">
        <v>0</v>
      </c>
      <c r="Z217" s="192">
        <v>0</v>
      </c>
      <c r="AA217" s="192">
        <v>1</v>
      </c>
      <c r="AB217" s="192">
        <v>0</v>
      </c>
      <c r="AC217" s="192">
        <v>0</v>
      </c>
      <c r="AD217" s="192">
        <v>0</v>
      </c>
      <c r="AE217" s="192">
        <v>1</v>
      </c>
      <c r="AF217" s="193">
        <v>0</v>
      </c>
      <c r="AG217" s="193">
        <v>0</v>
      </c>
      <c r="AH217" s="193">
        <v>0</v>
      </c>
      <c r="AI217" s="193">
        <v>0</v>
      </c>
      <c r="AJ217" s="193">
        <v>0</v>
      </c>
      <c r="AK217" s="193">
        <v>0</v>
      </c>
      <c r="AL217" s="193">
        <v>0</v>
      </c>
      <c r="AM217" s="193">
        <v>0</v>
      </c>
      <c r="AN217" s="193">
        <v>0</v>
      </c>
      <c r="AO217" s="193">
        <v>0</v>
      </c>
      <c r="AP217" s="193">
        <v>0</v>
      </c>
      <c r="AQ217" s="193">
        <v>0</v>
      </c>
      <c r="AR217" s="193">
        <v>0</v>
      </c>
      <c r="AS217" s="193">
        <v>0</v>
      </c>
      <c r="AT217" s="193">
        <v>0</v>
      </c>
      <c r="AU217" s="193">
        <v>0</v>
      </c>
      <c r="AV217" s="193">
        <v>0</v>
      </c>
      <c r="AW217" s="193">
        <v>0</v>
      </c>
      <c r="AX217" s="193">
        <v>0</v>
      </c>
      <c r="AY217" s="193">
        <v>0</v>
      </c>
      <c r="AZ217" s="193">
        <v>0</v>
      </c>
      <c r="BA217" s="193">
        <v>0</v>
      </c>
      <c r="BB217" s="193">
        <v>0</v>
      </c>
      <c r="BC217" s="193">
        <v>2200000</v>
      </c>
      <c r="BD217" s="193">
        <v>0</v>
      </c>
      <c r="BE217" s="193">
        <v>0</v>
      </c>
      <c r="BF217" s="193">
        <v>0</v>
      </c>
      <c r="BG217" s="193">
        <v>2200000</v>
      </c>
      <c r="BH217" s="193">
        <v>2200000</v>
      </c>
    </row>
    <row r="218" spans="1:60" s="188" customFormat="1">
      <c r="A218" s="189">
        <v>-8</v>
      </c>
      <c r="B218" s="190" t="s">
        <v>1022</v>
      </c>
      <c r="C218" s="191">
        <v>130000</v>
      </c>
      <c r="D218" s="192">
        <v>0</v>
      </c>
      <c r="E218" s="192">
        <v>0</v>
      </c>
      <c r="F218" s="192">
        <v>0</v>
      </c>
      <c r="G218" s="192">
        <v>0</v>
      </c>
      <c r="H218" s="192">
        <v>0</v>
      </c>
      <c r="I218" s="192">
        <v>0</v>
      </c>
      <c r="J218" s="192">
        <v>0</v>
      </c>
      <c r="K218" s="192">
        <v>0</v>
      </c>
      <c r="L218" s="192">
        <v>0</v>
      </c>
      <c r="M218" s="192">
        <v>0</v>
      </c>
      <c r="N218" s="192">
        <v>0</v>
      </c>
      <c r="O218" s="192">
        <v>0</v>
      </c>
      <c r="P218" s="192">
        <v>0</v>
      </c>
      <c r="Q218" s="192">
        <v>0</v>
      </c>
      <c r="R218" s="192">
        <v>0</v>
      </c>
      <c r="S218" s="192">
        <v>0</v>
      </c>
      <c r="T218" s="192">
        <v>0</v>
      </c>
      <c r="U218" s="192">
        <v>0</v>
      </c>
      <c r="V218" s="192">
        <v>0</v>
      </c>
      <c r="W218" s="192">
        <v>0</v>
      </c>
      <c r="X218" s="192">
        <v>0</v>
      </c>
      <c r="Y218" s="192">
        <v>0</v>
      </c>
      <c r="Z218" s="192">
        <v>0</v>
      </c>
      <c r="AA218" s="192">
        <v>0</v>
      </c>
      <c r="AB218" s="192">
        <v>0</v>
      </c>
      <c r="AC218" s="192">
        <v>0</v>
      </c>
      <c r="AD218" s="192">
        <v>0</v>
      </c>
      <c r="AE218" s="192">
        <v>0</v>
      </c>
      <c r="AF218" s="193">
        <v>0</v>
      </c>
      <c r="AG218" s="193">
        <v>0</v>
      </c>
      <c r="AH218" s="193">
        <v>0</v>
      </c>
      <c r="AI218" s="193">
        <v>0</v>
      </c>
      <c r="AJ218" s="193">
        <v>0</v>
      </c>
      <c r="AK218" s="193">
        <v>0</v>
      </c>
      <c r="AL218" s="193">
        <v>0</v>
      </c>
      <c r="AM218" s="193">
        <v>0</v>
      </c>
      <c r="AN218" s="193">
        <v>0</v>
      </c>
      <c r="AO218" s="193">
        <v>0</v>
      </c>
      <c r="AP218" s="193">
        <v>0</v>
      </c>
      <c r="AQ218" s="193">
        <v>0</v>
      </c>
      <c r="AR218" s="193">
        <v>0</v>
      </c>
      <c r="AS218" s="193">
        <v>0</v>
      </c>
      <c r="AT218" s="193">
        <v>0</v>
      </c>
      <c r="AU218" s="193">
        <v>0</v>
      </c>
      <c r="AV218" s="193">
        <v>0</v>
      </c>
      <c r="AW218" s="193">
        <v>0</v>
      </c>
      <c r="AX218" s="193">
        <v>0</v>
      </c>
      <c r="AY218" s="193">
        <v>0</v>
      </c>
      <c r="AZ218" s="193">
        <v>0</v>
      </c>
      <c r="BA218" s="193">
        <v>0</v>
      </c>
      <c r="BB218" s="193">
        <v>0</v>
      </c>
      <c r="BC218" s="193">
        <v>0</v>
      </c>
      <c r="BD218" s="193">
        <v>0</v>
      </c>
      <c r="BE218" s="193">
        <v>0</v>
      </c>
      <c r="BF218" s="193">
        <v>0</v>
      </c>
      <c r="BG218" s="193">
        <v>0</v>
      </c>
      <c r="BH218" s="193">
        <v>0</v>
      </c>
    </row>
    <row r="219" spans="1:60" s="188" customFormat="1">
      <c r="A219" s="189">
        <v>-9</v>
      </c>
      <c r="B219" s="190" t="s">
        <v>1023</v>
      </c>
      <c r="C219" s="191">
        <v>140000</v>
      </c>
      <c r="D219" s="192">
        <v>0</v>
      </c>
      <c r="E219" s="192">
        <v>0</v>
      </c>
      <c r="F219" s="192">
        <v>0</v>
      </c>
      <c r="G219" s="192">
        <v>0</v>
      </c>
      <c r="H219" s="192">
        <v>0</v>
      </c>
      <c r="I219" s="192">
        <v>0</v>
      </c>
      <c r="J219" s="192">
        <v>0</v>
      </c>
      <c r="K219" s="192">
        <v>0</v>
      </c>
      <c r="L219" s="192">
        <v>0</v>
      </c>
      <c r="M219" s="192">
        <v>0</v>
      </c>
      <c r="N219" s="192">
        <v>0</v>
      </c>
      <c r="O219" s="192">
        <v>0</v>
      </c>
      <c r="P219" s="192">
        <v>0</v>
      </c>
      <c r="Q219" s="192">
        <v>0</v>
      </c>
      <c r="R219" s="192">
        <v>0</v>
      </c>
      <c r="S219" s="192">
        <v>0</v>
      </c>
      <c r="T219" s="192">
        <v>0</v>
      </c>
      <c r="U219" s="192">
        <v>0</v>
      </c>
      <c r="V219" s="192">
        <v>0</v>
      </c>
      <c r="W219" s="192">
        <v>0</v>
      </c>
      <c r="X219" s="192">
        <v>0</v>
      </c>
      <c r="Y219" s="192">
        <v>0</v>
      </c>
      <c r="Z219" s="192">
        <v>0</v>
      </c>
      <c r="AA219" s="192">
        <v>0</v>
      </c>
      <c r="AB219" s="192">
        <v>0</v>
      </c>
      <c r="AC219" s="192">
        <v>0</v>
      </c>
      <c r="AD219" s="192">
        <v>0</v>
      </c>
      <c r="AE219" s="192">
        <v>0</v>
      </c>
      <c r="AF219" s="193">
        <v>0</v>
      </c>
      <c r="AG219" s="193">
        <v>0</v>
      </c>
      <c r="AH219" s="193">
        <v>0</v>
      </c>
      <c r="AI219" s="193">
        <v>0</v>
      </c>
      <c r="AJ219" s="193">
        <v>0</v>
      </c>
      <c r="AK219" s="193">
        <v>0</v>
      </c>
      <c r="AL219" s="193">
        <v>0</v>
      </c>
      <c r="AM219" s="193">
        <v>0</v>
      </c>
      <c r="AN219" s="193">
        <v>0</v>
      </c>
      <c r="AO219" s="193">
        <v>0</v>
      </c>
      <c r="AP219" s="193">
        <v>0</v>
      </c>
      <c r="AQ219" s="193">
        <v>0</v>
      </c>
      <c r="AR219" s="193">
        <v>0</v>
      </c>
      <c r="AS219" s="193">
        <v>0</v>
      </c>
      <c r="AT219" s="193">
        <v>0</v>
      </c>
      <c r="AU219" s="193">
        <v>0</v>
      </c>
      <c r="AV219" s="193">
        <v>0</v>
      </c>
      <c r="AW219" s="193">
        <v>0</v>
      </c>
      <c r="AX219" s="193">
        <v>0</v>
      </c>
      <c r="AY219" s="193">
        <v>0</v>
      </c>
      <c r="AZ219" s="193">
        <v>0</v>
      </c>
      <c r="BA219" s="193">
        <v>0</v>
      </c>
      <c r="BB219" s="193">
        <v>0</v>
      </c>
      <c r="BC219" s="193">
        <v>0</v>
      </c>
      <c r="BD219" s="193">
        <v>0</v>
      </c>
      <c r="BE219" s="193">
        <v>0</v>
      </c>
      <c r="BF219" s="193">
        <v>0</v>
      </c>
      <c r="BG219" s="193">
        <v>0</v>
      </c>
      <c r="BH219" s="193">
        <v>0</v>
      </c>
    </row>
    <row r="220" spans="1:60" s="188" customFormat="1">
      <c r="A220" s="189">
        <v>-10</v>
      </c>
      <c r="B220" s="198" t="s">
        <v>1024</v>
      </c>
      <c r="C220" s="191">
        <v>150000</v>
      </c>
      <c r="D220" s="192">
        <v>0</v>
      </c>
      <c r="E220" s="192">
        <v>0</v>
      </c>
      <c r="F220" s="192">
        <v>0</v>
      </c>
      <c r="G220" s="192">
        <v>0</v>
      </c>
      <c r="H220" s="192">
        <v>0</v>
      </c>
      <c r="I220" s="192">
        <v>0</v>
      </c>
      <c r="J220" s="192">
        <v>0</v>
      </c>
      <c r="K220" s="192">
        <v>0</v>
      </c>
      <c r="L220" s="192">
        <v>0</v>
      </c>
      <c r="M220" s="192">
        <v>0</v>
      </c>
      <c r="N220" s="192">
        <v>0</v>
      </c>
      <c r="O220" s="192">
        <v>0</v>
      </c>
      <c r="P220" s="192">
        <v>0</v>
      </c>
      <c r="Q220" s="192">
        <v>0</v>
      </c>
      <c r="R220" s="192">
        <v>0</v>
      </c>
      <c r="S220" s="192">
        <v>0</v>
      </c>
      <c r="T220" s="192">
        <v>0</v>
      </c>
      <c r="U220" s="192">
        <v>0</v>
      </c>
      <c r="V220" s="192">
        <v>0</v>
      </c>
      <c r="W220" s="192">
        <v>0</v>
      </c>
      <c r="X220" s="192">
        <v>0</v>
      </c>
      <c r="Y220" s="192">
        <v>0</v>
      </c>
      <c r="Z220" s="192">
        <v>0</v>
      </c>
      <c r="AA220" s="192">
        <v>0</v>
      </c>
      <c r="AB220" s="192">
        <v>0</v>
      </c>
      <c r="AC220" s="192">
        <v>0</v>
      </c>
      <c r="AD220" s="192">
        <v>0</v>
      </c>
      <c r="AE220" s="192">
        <v>0</v>
      </c>
      <c r="AF220" s="193">
        <v>0</v>
      </c>
      <c r="AG220" s="193">
        <v>0</v>
      </c>
      <c r="AH220" s="193">
        <v>0</v>
      </c>
      <c r="AI220" s="193">
        <v>0</v>
      </c>
      <c r="AJ220" s="193">
        <v>0</v>
      </c>
      <c r="AK220" s="193">
        <v>0</v>
      </c>
      <c r="AL220" s="193">
        <v>0</v>
      </c>
      <c r="AM220" s="193">
        <v>0</v>
      </c>
      <c r="AN220" s="193">
        <v>0</v>
      </c>
      <c r="AO220" s="193">
        <v>0</v>
      </c>
      <c r="AP220" s="193">
        <v>0</v>
      </c>
      <c r="AQ220" s="193">
        <v>0</v>
      </c>
      <c r="AR220" s="193">
        <v>0</v>
      </c>
      <c r="AS220" s="193">
        <v>0</v>
      </c>
      <c r="AT220" s="193">
        <v>0</v>
      </c>
      <c r="AU220" s="193">
        <v>0</v>
      </c>
      <c r="AV220" s="193">
        <v>0</v>
      </c>
      <c r="AW220" s="193">
        <v>0</v>
      </c>
      <c r="AX220" s="193">
        <v>0</v>
      </c>
      <c r="AY220" s="193">
        <v>0</v>
      </c>
      <c r="AZ220" s="193">
        <v>0</v>
      </c>
      <c r="BA220" s="193">
        <v>0</v>
      </c>
      <c r="BB220" s="193">
        <v>0</v>
      </c>
      <c r="BC220" s="193">
        <v>0</v>
      </c>
      <c r="BD220" s="193">
        <v>0</v>
      </c>
      <c r="BE220" s="193">
        <v>0</v>
      </c>
      <c r="BF220" s="193">
        <v>0</v>
      </c>
      <c r="BG220" s="193">
        <v>0</v>
      </c>
      <c r="BH220" s="193">
        <v>0</v>
      </c>
    </row>
    <row r="221" spans="1:60" s="188" customFormat="1">
      <c r="A221" s="189">
        <v>-11</v>
      </c>
      <c r="B221" s="199" t="s">
        <v>1025</v>
      </c>
      <c r="C221" s="191">
        <v>170000</v>
      </c>
      <c r="D221" s="192">
        <v>0</v>
      </c>
      <c r="E221" s="192">
        <v>0</v>
      </c>
      <c r="F221" s="192">
        <v>0</v>
      </c>
      <c r="G221" s="192">
        <v>0</v>
      </c>
      <c r="H221" s="192">
        <v>0</v>
      </c>
      <c r="I221" s="192">
        <v>0</v>
      </c>
      <c r="J221" s="192">
        <v>0</v>
      </c>
      <c r="K221" s="192">
        <v>0</v>
      </c>
      <c r="L221" s="192">
        <v>0</v>
      </c>
      <c r="M221" s="192">
        <v>0</v>
      </c>
      <c r="N221" s="192">
        <v>0</v>
      </c>
      <c r="O221" s="192">
        <v>0</v>
      </c>
      <c r="P221" s="192">
        <v>0</v>
      </c>
      <c r="Q221" s="192">
        <v>0</v>
      </c>
      <c r="R221" s="192">
        <v>0</v>
      </c>
      <c r="S221" s="192">
        <v>0</v>
      </c>
      <c r="T221" s="192">
        <v>0</v>
      </c>
      <c r="U221" s="192">
        <v>0</v>
      </c>
      <c r="V221" s="192">
        <v>0</v>
      </c>
      <c r="W221" s="192">
        <v>0</v>
      </c>
      <c r="X221" s="192">
        <v>0</v>
      </c>
      <c r="Y221" s="192">
        <v>0</v>
      </c>
      <c r="Z221" s="192">
        <v>0</v>
      </c>
      <c r="AA221" s="192">
        <v>0</v>
      </c>
      <c r="AB221" s="192">
        <v>0</v>
      </c>
      <c r="AC221" s="192">
        <v>0</v>
      </c>
      <c r="AD221" s="192">
        <v>0</v>
      </c>
      <c r="AE221" s="192">
        <v>0</v>
      </c>
      <c r="AF221" s="193">
        <v>0</v>
      </c>
      <c r="AG221" s="193">
        <v>0</v>
      </c>
      <c r="AH221" s="193">
        <v>0</v>
      </c>
      <c r="AI221" s="193">
        <v>0</v>
      </c>
      <c r="AJ221" s="193">
        <v>0</v>
      </c>
      <c r="AK221" s="193">
        <v>0</v>
      </c>
      <c r="AL221" s="193">
        <v>0</v>
      </c>
      <c r="AM221" s="193">
        <v>0</v>
      </c>
      <c r="AN221" s="193">
        <v>0</v>
      </c>
      <c r="AO221" s="193">
        <v>0</v>
      </c>
      <c r="AP221" s="193">
        <v>0</v>
      </c>
      <c r="AQ221" s="193">
        <v>0</v>
      </c>
      <c r="AR221" s="193">
        <v>0</v>
      </c>
      <c r="AS221" s="193">
        <v>0</v>
      </c>
      <c r="AT221" s="193">
        <v>0</v>
      </c>
      <c r="AU221" s="193">
        <v>0</v>
      </c>
      <c r="AV221" s="193">
        <v>0</v>
      </c>
      <c r="AW221" s="193">
        <v>0</v>
      </c>
      <c r="AX221" s="193">
        <v>0</v>
      </c>
      <c r="AY221" s="193">
        <v>0</v>
      </c>
      <c r="AZ221" s="193">
        <v>0</v>
      </c>
      <c r="BA221" s="193">
        <v>0</v>
      </c>
      <c r="BB221" s="193">
        <v>0</v>
      </c>
      <c r="BC221" s="193">
        <v>0</v>
      </c>
      <c r="BD221" s="193">
        <v>0</v>
      </c>
      <c r="BE221" s="193">
        <v>0</v>
      </c>
      <c r="BF221" s="193">
        <v>0</v>
      </c>
      <c r="BG221" s="193">
        <v>0</v>
      </c>
      <c r="BH221" s="193">
        <v>0</v>
      </c>
    </row>
    <row r="222" spans="1:60" s="188" customFormat="1">
      <c r="A222" s="189">
        <v>-12</v>
      </c>
      <c r="B222" s="198" t="s">
        <v>928</v>
      </c>
      <c r="C222" s="191">
        <v>180000</v>
      </c>
      <c r="D222" s="192">
        <v>0</v>
      </c>
      <c r="E222" s="192">
        <v>0</v>
      </c>
      <c r="F222" s="192">
        <v>0</v>
      </c>
      <c r="G222" s="192">
        <v>0</v>
      </c>
      <c r="H222" s="192">
        <v>0</v>
      </c>
      <c r="I222" s="192">
        <v>0</v>
      </c>
      <c r="J222" s="192">
        <v>0</v>
      </c>
      <c r="K222" s="192">
        <v>0</v>
      </c>
      <c r="L222" s="192">
        <v>0</v>
      </c>
      <c r="M222" s="192">
        <v>0</v>
      </c>
      <c r="N222" s="192">
        <v>0</v>
      </c>
      <c r="O222" s="192">
        <v>0</v>
      </c>
      <c r="P222" s="192">
        <v>0</v>
      </c>
      <c r="Q222" s="192">
        <v>0</v>
      </c>
      <c r="R222" s="192">
        <v>0</v>
      </c>
      <c r="S222" s="192">
        <v>0</v>
      </c>
      <c r="T222" s="192">
        <v>0</v>
      </c>
      <c r="U222" s="192">
        <v>0</v>
      </c>
      <c r="V222" s="192">
        <v>0</v>
      </c>
      <c r="W222" s="192">
        <v>0</v>
      </c>
      <c r="X222" s="192">
        <v>0</v>
      </c>
      <c r="Y222" s="192">
        <v>0</v>
      </c>
      <c r="Z222" s="192">
        <v>0</v>
      </c>
      <c r="AA222" s="192">
        <v>2</v>
      </c>
      <c r="AB222" s="192">
        <v>0</v>
      </c>
      <c r="AC222" s="192">
        <v>0</v>
      </c>
      <c r="AD222" s="192">
        <v>0</v>
      </c>
      <c r="AE222" s="192">
        <v>2</v>
      </c>
      <c r="AF222" s="193">
        <v>0</v>
      </c>
      <c r="AG222" s="193">
        <v>0</v>
      </c>
      <c r="AH222" s="193">
        <v>0</v>
      </c>
      <c r="AI222" s="193">
        <v>0</v>
      </c>
      <c r="AJ222" s="193">
        <v>0</v>
      </c>
      <c r="AK222" s="193">
        <v>0</v>
      </c>
      <c r="AL222" s="193">
        <v>0</v>
      </c>
      <c r="AM222" s="193">
        <v>0</v>
      </c>
      <c r="AN222" s="193">
        <v>0</v>
      </c>
      <c r="AO222" s="193">
        <v>0</v>
      </c>
      <c r="AP222" s="193">
        <v>0</v>
      </c>
      <c r="AQ222" s="193">
        <v>0</v>
      </c>
      <c r="AR222" s="193">
        <v>0</v>
      </c>
      <c r="AS222" s="193">
        <v>0</v>
      </c>
      <c r="AT222" s="193">
        <v>0</v>
      </c>
      <c r="AU222" s="193">
        <v>0</v>
      </c>
      <c r="AV222" s="193">
        <v>0</v>
      </c>
      <c r="AW222" s="193">
        <v>0</v>
      </c>
      <c r="AX222" s="193">
        <v>0</v>
      </c>
      <c r="AY222" s="193">
        <v>0</v>
      </c>
      <c r="AZ222" s="193">
        <v>0</v>
      </c>
      <c r="BA222" s="193">
        <v>0</v>
      </c>
      <c r="BB222" s="193">
        <v>0</v>
      </c>
      <c r="BC222" s="193">
        <v>360000</v>
      </c>
      <c r="BD222" s="193">
        <v>0</v>
      </c>
      <c r="BE222" s="193">
        <v>0</v>
      </c>
      <c r="BF222" s="193">
        <v>0</v>
      </c>
      <c r="BG222" s="193">
        <v>360000</v>
      </c>
      <c r="BH222" s="193">
        <v>360000</v>
      </c>
    </row>
    <row r="223" spans="1:60" s="188" customFormat="1">
      <c r="A223" s="189">
        <v>-13</v>
      </c>
      <c r="B223" s="198" t="s">
        <v>887</v>
      </c>
      <c r="C223" s="191">
        <v>225000</v>
      </c>
      <c r="D223" s="192">
        <v>0</v>
      </c>
      <c r="E223" s="192">
        <v>0</v>
      </c>
      <c r="F223" s="192">
        <v>0</v>
      </c>
      <c r="G223" s="192">
        <v>0</v>
      </c>
      <c r="H223" s="192">
        <v>0</v>
      </c>
      <c r="I223" s="192">
        <v>0</v>
      </c>
      <c r="J223" s="192">
        <v>0</v>
      </c>
      <c r="K223" s="192">
        <v>0</v>
      </c>
      <c r="L223" s="192">
        <v>0</v>
      </c>
      <c r="M223" s="192">
        <v>0</v>
      </c>
      <c r="N223" s="192">
        <v>0</v>
      </c>
      <c r="O223" s="192">
        <v>0</v>
      </c>
      <c r="P223" s="192">
        <v>0</v>
      </c>
      <c r="Q223" s="192">
        <v>0</v>
      </c>
      <c r="R223" s="192">
        <v>0</v>
      </c>
      <c r="S223" s="192">
        <v>0</v>
      </c>
      <c r="T223" s="192">
        <v>0</v>
      </c>
      <c r="U223" s="192">
        <v>0</v>
      </c>
      <c r="V223" s="192">
        <v>0</v>
      </c>
      <c r="W223" s="192">
        <v>0</v>
      </c>
      <c r="X223" s="192">
        <v>0</v>
      </c>
      <c r="Y223" s="192">
        <v>0</v>
      </c>
      <c r="Z223" s="192">
        <v>0</v>
      </c>
      <c r="AA223" s="192">
        <v>0</v>
      </c>
      <c r="AB223" s="192">
        <v>0</v>
      </c>
      <c r="AC223" s="192">
        <v>0</v>
      </c>
      <c r="AD223" s="192">
        <v>0</v>
      </c>
      <c r="AE223" s="192">
        <v>0</v>
      </c>
      <c r="AF223" s="193">
        <v>0</v>
      </c>
      <c r="AG223" s="193">
        <v>0</v>
      </c>
      <c r="AH223" s="193">
        <v>0</v>
      </c>
      <c r="AI223" s="193">
        <v>0</v>
      </c>
      <c r="AJ223" s="193">
        <v>0</v>
      </c>
      <c r="AK223" s="193">
        <v>0</v>
      </c>
      <c r="AL223" s="193">
        <v>0</v>
      </c>
      <c r="AM223" s="193">
        <v>0</v>
      </c>
      <c r="AN223" s="193">
        <v>0</v>
      </c>
      <c r="AO223" s="193">
        <v>0</v>
      </c>
      <c r="AP223" s="193">
        <v>0</v>
      </c>
      <c r="AQ223" s="193">
        <v>0</v>
      </c>
      <c r="AR223" s="193">
        <v>0</v>
      </c>
      <c r="AS223" s="193">
        <v>0</v>
      </c>
      <c r="AT223" s="193">
        <v>0</v>
      </c>
      <c r="AU223" s="193">
        <v>0</v>
      </c>
      <c r="AV223" s="193">
        <v>0</v>
      </c>
      <c r="AW223" s="193">
        <v>0</v>
      </c>
      <c r="AX223" s="193">
        <v>0</v>
      </c>
      <c r="AY223" s="193">
        <v>0</v>
      </c>
      <c r="AZ223" s="193">
        <v>0</v>
      </c>
      <c r="BA223" s="193">
        <v>0</v>
      </c>
      <c r="BB223" s="193">
        <v>0</v>
      </c>
      <c r="BC223" s="193">
        <v>0</v>
      </c>
      <c r="BD223" s="193">
        <v>0</v>
      </c>
      <c r="BE223" s="193">
        <v>0</v>
      </c>
      <c r="BF223" s="193">
        <v>0</v>
      </c>
      <c r="BG223" s="193">
        <v>0</v>
      </c>
      <c r="BH223" s="193">
        <v>0</v>
      </c>
    </row>
    <row r="224" spans="1:60" s="188" customFormat="1">
      <c r="A224" s="189">
        <v>-14</v>
      </c>
      <c r="B224" s="198" t="s">
        <v>1026</v>
      </c>
      <c r="C224" s="191">
        <v>280000</v>
      </c>
      <c r="D224" s="192">
        <v>0</v>
      </c>
      <c r="E224" s="192">
        <v>0</v>
      </c>
      <c r="F224" s="192">
        <v>0</v>
      </c>
      <c r="G224" s="192">
        <v>0</v>
      </c>
      <c r="H224" s="192">
        <v>0</v>
      </c>
      <c r="I224" s="192">
        <v>0</v>
      </c>
      <c r="J224" s="192">
        <v>0</v>
      </c>
      <c r="K224" s="192">
        <v>0</v>
      </c>
      <c r="L224" s="192">
        <v>0</v>
      </c>
      <c r="M224" s="192">
        <v>0</v>
      </c>
      <c r="N224" s="192">
        <v>0</v>
      </c>
      <c r="O224" s="192">
        <v>0</v>
      </c>
      <c r="P224" s="192">
        <v>0</v>
      </c>
      <c r="Q224" s="192">
        <v>0</v>
      </c>
      <c r="R224" s="192">
        <v>0</v>
      </c>
      <c r="S224" s="192">
        <v>0</v>
      </c>
      <c r="T224" s="192">
        <v>0</v>
      </c>
      <c r="U224" s="192">
        <v>0</v>
      </c>
      <c r="V224" s="192">
        <v>0</v>
      </c>
      <c r="W224" s="192">
        <v>0</v>
      </c>
      <c r="X224" s="192">
        <v>0</v>
      </c>
      <c r="Y224" s="192">
        <v>0</v>
      </c>
      <c r="Z224" s="192">
        <v>0</v>
      </c>
      <c r="AA224" s="192">
        <v>0</v>
      </c>
      <c r="AB224" s="192">
        <v>0</v>
      </c>
      <c r="AC224" s="192">
        <v>0</v>
      </c>
      <c r="AD224" s="192">
        <v>0</v>
      </c>
      <c r="AE224" s="192">
        <v>0</v>
      </c>
      <c r="AF224" s="193">
        <v>0</v>
      </c>
      <c r="AG224" s="193">
        <v>0</v>
      </c>
      <c r="AH224" s="193">
        <v>0</v>
      </c>
      <c r="AI224" s="193">
        <v>0</v>
      </c>
      <c r="AJ224" s="193">
        <v>0</v>
      </c>
      <c r="AK224" s="193">
        <v>0</v>
      </c>
      <c r="AL224" s="193">
        <v>0</v>
      </c>
      <c r="AM224" s="193">
        <v>0</v>
      </c>
      <c r="AN224" s="193">
        <v>0</v>
      </c>
      <c r="AO224" s="193">
        <v>0</v>
      </c>
      <c r="AP224" s="193">
        <v>0</v>
      </c>
      <c r="AQ224" s="193">
        <v>0</v>
      </c>
      <c r="AR224" s="193">
        <v>0</v>
      </c>
      <c r="AS224" s="193">
        <v>0</v>
      </c>
      <c r="AT224" s="193">
        <v>0</v>
      </c>
      <c r="AU224" s="193">
        <v>0</v>
      </c>
      <c r="AV224" s="193">
        <v>0</v>
      </c>
      <c r="AW224" s="193">
        <v>0</v>
      </c>
      <c r="AX224" s="193">
        <v>0</v>
      </c>
      <c r="AY224" s="193">
        <v>0</v>
      </c>
      <c r="AZ224" s="193">
        <v>0</v>
      </c>
      <c r="BA224" s="193">
        <v>0</v>
      </c>
      <c r="BB224" s="193">
        <v>0</v>
      </c>
      <c r="BC224" s="193">
        <v>0</v>
      </c>
      <c r="BD224" s="193">
        <v>0</v>
      </c>
      <c r="BE224" s="193">
        <v>0</v>
      </c>
      <c r="BF224" s="193">
        <v>0</v>
      </c>
      <c r="BG224" s="193">
        <v>0</v>
      </c>
      <c r="BH224" s="193">
        <v>0</v>
      </c>
    </row>
    <row r="225" spans="1:60" s="188" customFormat="1">
      <c r="A225" s="189">
        <v>-15</v>
      </c>
      <c r="B225" s="199" t="s">
        <v>853</v>
      </c>
      <c r="C225" s="191">
        <v>300000</v>
      </c>
      <c r="D225" s="192">
        <v>0</v>
      </c>
      <c r="E225" s="192">
        <v>0</v>
      </c>
      <c r="F225" s="192">
        <v>0</v>
      </c>
      <c r="G225" s="192">
        <v>0</v>
      </c>
      <c r="H225" s="192">
        <v>0</v>
      </c>
      <c r="I225" s="192">
        <v>0</v>
      </c>
      <c r="J225" s="192">
        <v>0</v>
      </c>
      <c r="K225" s="192">
        <v>0</v>
      </c>
      <c r="L225" s="192">
        <v>0</v>
      </c>
      <c r="M225" s="192">
        <v>0</v>
      </c>
      <c r="N225" s="192">
        <v>0</v>
      </c>
      <c r="O225" s="192">
        <v>0</v>
      </c>
      <c r="P225" s="192">
        <v>0</v>
      </c>
      <c r="Q225" s="192">
        <v>0</v>
      </c>
      <c r="R225" s="192">
        <v>0</v>
      </c>
      <c r="S225" s="192">
        <v>0</v>
      </c>
      <c r="T225" s="192">
        <v>0</v>
      </c>
      <c r="U225" s="192">
        <v>0</v>
      </c>
      <c r="V225" s="192">
        <v>0</v>
      </c>
      <c r="W225" s="192">
        <v>0</v>
      </c>
      <c r="X225" s="192">
        <v>0</v>
      </c>
      <c r="Y225" s="192">
        <v>0</v>
      </c>
      <c r="Z225" s="192">
        <v>0</v>
      </c>
      <c r="AA225" s="192">
        <v>0</v>
      </c>
      <c r="AB225" s="192">
        <v>0</v>
      </c>
      <c r="AC225" s="192">
        <v>0</v>
      </c>
      <c r="AD225" s="192">
        <v>0</v>
      </c>
      <c r="AE225" s="192">
        <v>0</v>
      </c>
      <c r="AF225" s="193">
        <v>0</v>
      </c>
      <c r="AG225" s="193">
        <v>0</v>
      </c>
      <c r="AH225" s="193">
        <v>0</v>
      </c>
      <c r="AI225" s="193">
        <v>0</v>
      </c>
      <c r="AJ225" s="193">
        <v>0</v>
      </c>
      <c r="AK225" s="193">
        <v>0</v>
      </c>
      <c r="AL225" s="193">
        <v>0</v>
      </c>
      <c r="AM225" s="193">
        <v>0</v>
      </c>
      <c r="AN225" s="193">
        <v>0</v>
      </c>
      <c r="AO225" s="193">
        <v>0</v>
      </c>
      <c r="AP225" s="193">
        <v>0</v>
      </c>
      <c r="AQ225" s="193">
        <v>0</v>
      </c>
      <c r="AR225" s="193">
        <v>0</v>
      </c>
      <c r="AS225" s="193">
        <v>0</v>
      </c>
      <c r="AT225" s="193">
        <v>0</v>
      </c>
      <c r="AU225" s="193">
        <v>0</v>
      </c>
      <c r="AV225" s="193">
        <v>0</v>
      </c>
      <c r="AW225" s="193">
        <v>0</v>
      </c>
      <c r="AX225" s="193">
        <v>0</v>
      </c>
      <c r="AY225" s="193">
        <v>0</v>
      </c>
      <c r="AZ225" s="193">
        <v>0</v>
      </c>
      <c r="BA225" s="193">
        <v>0</v>
      </c>
      <c r="BB225" s="193">
        <v>0</v>
      </c>
      <c r="BC225" s="193">
        <v>0</v>
      </c>
      <c r="BD225" s="193">
        <v>0</v>
      </c>
      <c r="BE225" s="193">
        <v>0</v>
      </c>
      <c r="BF225" s="193">
        <v>0</v>
      </c>
      <c r="BG225" s="193">
        <v>0</v>
      </c>
      <c r="BH225" s="193">
        <v>0</v>
      </c>
    </row>
    <row r="226" spans="1:60" s="188" customFormat="1">
      <c r="A226" s="189">
        <v>-16</v>
      </c>
      <c r="B226" s="199" t="s">
        <v>1027</v>
      </c>
      <c r="C226" s="191">
        <v>310000</v>
      </c>
      <c r="D226" s="192">
        <v>0</v>
      </c>
      <c r="E226" s="192">
        <v>0</v>
      </c>
      <c r="F226" s="192">
        <v>0</v>
      </c>
      <c r="G226" s="192">
        <v>0</v>
      </c>
      <c r="H226" s="192">
        <v>0</v>
      </c>
      <c r="I226" s="192">
        <v>0</v>
      </c>
      <c r="J226" s="192">
        <v>0</v>
      </c>
      <c r="K226" s="192">
        <v>0</v>
      </c>
      <c r="L226" s="192">
        <v>0</v>
      </c>
      <c r="M226" s="192">
        <v>0</v>
      </c>
      <c r="N226" s="192">
        <v>0</v>
      </c>
      <c r="O226" s="192">
        <v>0</v>
      </c>
      <c r="P226" s="192">
        <v>0</v>
      </c>
      <c r="Q226" s="192">
        <v>0</v>
      </c>
      <c r="R226" s="192">
        <v>0</v>
      </c>
      <c r="S226" s="192">
        <v>0</v>
      </c>
      <c r="T226" s="192">
        <v>0</v>
      </c>
      <c r="U226" s="192">
        <v>0</v>
      </c>
      <c r="V226" s="192">
        <v>0</v>
      </c>
      <c r="W226" s="192">
        <v>0</v>
      </c>
      <c r="X226" s="192">
        <v>0</v>
      </c>
      <c r="Y226" s="192">
        <v>0</v>
      </c>
      <c r="Z226" s="192">
        <v>0</v>
      </c>
      <c r="AA226" s="192">
        <v>1</v>
      </c>
      <c r="AB226" s="192">
        <v>0</v>
      </c>
      <c r="AC226" s="192">
        <v>0</v>
      </c>
      <c r="AD226" s="192">
        <v>0</v>
      </c>
      <c r="AE226" s="192">
        <v>1</v>
      </c>
      <c r="AF226" s="193">
        <v>0</v>
      </c>
      <c r="AG226" s="193">
        <v>0</v>
      </c>
      <c r="AH226" s="193">
        <v>0</v>
      </c>
      <c r="AI226" s="193">
        <v>0</v>
      </c>
      <c r="AJ226" s="193">
        <v>0</v>
      </c>
      <c r="AK226" s="193">
        <v>0</v>
      </c>
      <c r="AL226" s="193">
        <v>0</v>
      </c>
      <c r="AM226" s="193">
        <v>0</v>
      </c>
      <c r="AN226" s="193">
        <v>0</v>
      </c>
      <c r="AO226" s="193">
        <v>0</v>
      </c>
      <c r="AP226" s="193">
        <v>0</v>
      </c>
      <c r="AQ226" s="193">
        <v>0</v>
      </c>
      <c r="AR226" s="193">
        <v>0</v>
      </c>
      <c r="AS226" s="193">
        <v>0</v>
      </c>
      <c r="AT226" s="193">
        <v>0</v>
      </c>
      <c r="AU226" s="193">
        <v>0</v>
      </c>
      <c r="AV226" s="193">
        <v>0</v>
      </c>
      <c r="AW226" s="193">
        <v>0</v>
      </c>
      <c r="AX226" s="193">
        <v>0</v>
      </c>
      <c r="AY226" s="193">
        <v>0</v>
      </c>
      <c r="AZ226" s="193">
        <v>0</v>
      </c>
      <c r="BA226" s="193">
        <v>0</v>
      </c>
      <c r="BB226" s="193">
        <v>0</v>
      </c>
      <c r="BC226" s="193">
        <v>310000</v>
      </c>
      <c r="BD226" s="193">
        <v>0</v>
      </c>
      <c r="BE226" s="193">
        <v>0</v>
      </c>
      <c r="BF226" s="193">
        <v>0</v>
      </c>
      <c r="BG226" s="193">
        <v>310000</v>
      </c>
      <c r="BH226" s="193">
        <v>310000</v>
      </c>
    </row>
    <row r="227" spans="1:60" collapsed="1">
      <c r="A227" s="196"/>
      <c r="B227" s="190" t="s">
        <v>1028</v>
      </c>
      <c r="C227" s="196"/>
      <c r="D227" s="192">
        <v>0</v>
      </c>
      <c r="E227" s="192">
        <v>0</v>
      </c>
      <c r="F227" s="192">
        <v>0</v>
      </c>
      <c r="G227" s="192">
        <v>0</v>
      </c>
      <c r="H227" s="192">
        <v>0</v>
      </c>
      <c r="I227" s="192">
        <v>0</v>
      </c>
      <c r="J227" s="192">
        <v>0</v>
      </c>
      <c r="K227" s="192">
        <v>0</v>
      </c>
      <c r="L227" s="192">
        <v>0</v>
      </c>
      <c r="M227" s="192">
        <v>0</v>
      </c>
      <c r="N227" s="192">
        <v>0</v>
      </c>
      <c r="O227" s="192">
        <v>0</v>
      </c>
      <c r="P227" s="192">
        <v>0</v>
      </c>
      <c r="Q227" s="192">
        <v>0</v>
      </c>
      <c r="R227" s="192">
        <v>0</v>
      </c>
      <c r="S227" s="192">
        <v>0</v>
      </c>
      <c r="T227" s="192">
        <v>0</v>
      </c>
      <c r="U227" s="192">
        <v>0</v>
      </c>
      <c r="V227" s="192">
        <v>0</v>
      </c>
      <c r="W227" s="192">
        <v>0</v>
      </c>
      <c r="X227" s="192">
        <v>0</v>
      </c>
      <c r="Y227" s="192">
        <v>0</v>
      </c>
      <c r="Z227" s="192">
        <v>0</v>
      </c>
      <c r="AA227" s="192">
        <v>5</v>
      </c>
      <c r="AB227" s="192">
        <v>0</v>
      </c>
      <c r="AC227" s="192">
        <v>0</v>
      </c>
      <c r="AD227" s="192">
        <v>0</v>
      </c>
      <c r="AE227" s="192">
        <v>5</v>
      </c>
      <c r="AF227" s="193">
        <v>0</v>
      </c>
      <c r="AG227" s="193">
        <v>0</v>
      </c>
      <c r="AH227" s="193">
        <v>0</v>
      </c>
      <c r="AI227" s="193">
        <v>0</v>
      </c>
      <c r="AJ227" s="193">
        <v>0</v>
      </c>
      <c r="AK227" s="193">
        <v>0</v>
      </c>
      <c r="AL227" s="193">
        <v>0</v>
      </c>
      <c r="AM227" s="193">
        <v>0</v>
      </c>
      <c r="AN227" s="193">
        <v>0</v>
      </c>
      <c r="AO227" s="193">
        <v>0</v>
      </c>
      <c r="AP227" s="193">
        <v>0</v>
      </c>
      <c r="AQ227" s="193">
        <v>0</v>
      </c>
      <c r="AR227" s="193">
        <v>0</v>
      </c>
      <c r="AS227" s="193">
        <v>0</v>
      </c>
      <c r="AT227" s="193">
        <v>0</v>
      </c>
      <c r="AU227" s="193">
        <v>0</v>
      </c>
      <c r="AV227" s="193">
        <v>0</v>
      </c>
      <c r="AW227" s="193">
        <v>0</v>
      </c>
      <c r="AX227" s="193">
        <v>0</v>
      </c>
      <c r="AY227" s="193">
        <v>0</v>
      </c>
      <c r="AZ227" s="193">
        <v>0</v>
      </c>
      <c r="BA227" s="193">
        <v>0</v>
      </c>
      <c r="BB227" s="193">
        <v>0</v>
      </c>
      <c r="BC227" s="193">
        <v>3970000</v>
      </c>
      <c r="BD227" s="193">
        <v>0</v>
      </c>
      <c r="BE227" s="193">
        <v>0</v>
      </c>
      <c r="BF227" s="193">
        <v>0</v>
      </c>
      <c r="BG227" s="193">
        <v>3970000</v>
      </c>
      <c r="BH227" s="193">
        <v>3970000</v>
      </c>
    </row>
    <row r="228" spans="1:60" s="188" customFormat="1">
      <c r="A228" s="184">
        <v>10</v>
      </c>
      <c r="B228" s="185" t="s">
        <v>1029</v>
      </c>
      <c r="C228" s="197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6"/>
      <c r="AG228" s="206"/>
      <c r="AH228" s="206"/>
      <c r="AI228" s="206"/>
      <c r="AJ228" s="206"/>
      <c r="AK228" s="206"/>
      <c r="AL228" s="206"/>
      <c r="AM228" s="206"/>
      <c r="AN228" s="206"/>
      <c r="AO228" s="206"/>
      <c r="AP228" s="206"/>
      <c r="AQ228" s="206"/>
      <c r="AR228" s="206"/>
      <c r="AS228" s="206"/>
      <c r="AT228" s="206"/>
      <c r="AU228" s="206"/>
      <c r="AV228" s="206"/>
      <c r="AW228" s="206"/>
      <c r="AX228" s="206"/>
      <c r="AY228" s="206"/>
      <c r="AZ228" s="206"/>
      <c r="BA228" s="206"/>
      <c r="BB228" s="206"/>
      <c r="BC228" s="206"/>
      <c r="BD228" s="206"/>
      <c r="BE228" s="206"/>
      <c r="BF228" s="206"/>
      <c r="BG228" s="206"/>
      <c r="BH228" s="206"/>
    </row>
    <row r="229" spans="1:60" s="188" customFormat="1">
      <c r="A229" s="189">
        <v>-1</v>
      </c>
      <c r="B229" s="195" t="s">
        <v>1030</v>
      </c>
      <c r="C229" s="214">
        <v>160000</v>
      </c>
      <c r="D229" s="192">
        <v>0</v>
      </c>
      <c r="E229" s="192">
        <v>0</v>
      </c>
      <c r="F229" s="192">
        <v>0</v>
      </c>
      <c r="G229" s="192">
        <v>0</v>
      </c>
      <c r="H229" s="192">
        <v>0</v>
      </c>
      <c r="I229" s="192">
        <v>0</v>
      </c>
      <c r="J229" s="192">
        <v>0</v>
      </c>
      <c r="K229" s="192">
        <v>0</v>
      </c>
      <c r="L229" s="192">
        <v>0</v>
      </c>
      <c r="M229" s="192">
        <v>0</v>
      </c>
      <c r="N229" s="192">
        <v>0</v>
      </c>
      <c r="O229" s="192">
        <v>0</v>
      </c>
      <c r="P229" s="192">
        <v>0</v>
      </c>
      <c r="Q229" s="192">
        <v>0</v>
      </c>
      <c r="R229" s="192">
        <v>0</v>
      </c>
      <c r="S229" s="192">
        <v>0</v>
      </c>
      <c r="T229" s="192">
        <v>0</v>
      </c>
      <c r="U229" s="192">
        <v>0</v>
      </c>
      <c r="V229" s="192">
        <v>0</v>
      </c>
      <c r="W229" s="192">
        <v>0</v>
      </c>
      <c r="X229" s="192">
        <v>0</v>
      </c>
      <c r="Y229" s="192">
        <v>0</v>
      </c>
      <c r="Z229" s="192">
        <v>0</v>
      </c>
      <c r="AA229" s="192">
        <v>0</v>
      </c>
      <c r="AB229" s="192">
        <v>0</v>
      </c>
      <c r="AC229" s="192">
        <v>0</v>
      </c>
      <c r="AD229" s="192">
        <v>0</v>
      </c>
      <c r="AE229" s="192">
        <v>0</v>
      </c>
      <c r="AF229" s="193">
        <v>0</v>
      </c>
      <c r="AG229" s="193">
        <v>0</v>
      </c>
      <c r="AH229" s="193">
        <v>0</v>
      </c>
      <c r="AI229" s="193">
        <v>0</v>
      </c>
      <c r="AJ229" s="193">
        <v>0</v>
      </c>
      <c r="AK229" s="193">
        <v>0</v>
      </c>
      <c r="AL229" s="193">
        <v>0</v>
      </c>
      <c r="AM229" s="193">
        <v>0</v>
      </c>
      <c r="AN229" s="193">
        <v>0</v>
      </c>
      <c r="AO229" s="193">
        <v>0</v>
      </c>
      <c r="AP229" s="193">
        <v>0</v>
      </c>
      <c r="AQ229" s="193">
        <v>0</v>
      </c>
      <c r="AR229" s="193">
        <v>0</v>
      </c>
      <c r="AS229" s="193">
        <v>0</v>
      </c>
      <c r="AT229" s="193">
        <v>0</v>
      </c>
      <c r="AU229" s="193">
        <v>0</v>
      </c>
      <c r="AV229" s="193">
        <v>0</v>
      </c>
      <c r="AW229" s="193">
        <v>0</v>
      </c>
      <c r="AX229" s="193">
        <v>0</v>
      </c>
      <c r="AY229" s="193">
        <v>0</v>
      </c>
      <c r="AZ229" s="193">
        <v>0</v>
      </c>
      <c r="BA229" s="193">
        <v>0</v>
      </c>
      <c r="BB229" s="193">
        <v>0</v>
      </c>
      <c r="BC229" s="193">
        <v>0</v>
      </c>
      <c r="BD229" s="193">
        <v>0</v>
      </c>
      <c r="BE229" s="193">
        <v>0</v>
      </c>
      <c r="BF229" s="193">
        <v>0</v>
      </c>
      <c r="BG229" s="193">
        <v>0</v>
      </c>
      <c r="BH229" s="193">
        <v>0</v>
      </c>
    </row>
    <row r="230" spans="1:60" s="188" customFormat="1">
      <c r="A230" s="215">
        <v>-2</v>
      </c>
      <c r="B230" s="199" t="s">
        <v>1031</v>
      </c>
      <c r="C230" s="191">
        <v>200000</v>
      </c>
      <c r="D230" s="192">
        <v>0</v>
      </c>
      <c r="E230" s="192">
        <v>0</v>
      </c>
      <c r="F230" s="192">
        <v>0</v>
      </c>
      <c r="G230" s="192">
        <v>0</v>
      </c>
      <c r="H230" s="192">
        <v>0</v>
      </c>
      <c r="I230" s="192">
        <v>3</v>
      </c>
      <c r="J230" s="192">
        <v>0</v>
      </c>
      <c r="K230" s="192">
        <v>0</v>
      </c>
      <c r="L230" s="192">
        <v>0</v>
      </c>
      <c r="M230" s="192">
        <v>0</v>
      </c>
      <c r="N230" s="192">
        <v>0</v>
      </c>
      <c r="O230" s="192">
        <v>0</v>
      </c>
      <c r="P230" s="192">
        <v>0</v>
      </c>
      <c r="Q230" s="192">
        <v>0</v>
      </c>
      <c r="R230" s="192">
        <v>0</v>
      </c>
      <c r="S230" s="192">
        <v>0</v>
      </c>
      <c r="T230" s="192">
        <v>0</v>
      </c>
      <c r="U230" s="192">
        <v>0</v>
      </c>
      <c r="V230" s="192">
        <v>0</v>
      </c>
      <c r="W230" s="192">
        <v>0</v>
      </c>
      <c r="X230" s="192">
        <v>0</v>
      </c>
      <c r="Y230" s="192">
        <v>0</v>
      </c>
      <c r="Z230" s="192">
        <v>0</v>
      </c>
      <c r="AA230" s="192">
        <v>0</v>
      </c>
      <c r="AB230" s="192">
        <v>0</v>
      </c>
      <c r="AC230" s="192">
        <v>0</v>
      </c>
      <c r="AD230" s="192">
        <v>0</v>
      </c>
      <c r="AE230" s="192">
        <v>3</v>
      </c>
      <c r="AF230" s="193">
        <v>0</v>
      </c>
      <c r="AG230" s="193">
        <v>0</v>
      </c>
      <c r="AH230" s="193">
        <v>0</v>
      </c>
      <c r="AI230" s="193">
        <v>0</v>
      </c>
      <c r="AJ230" s="193">
        <v>0</v>
      </c>
      <c r="AK230" s="193">
        <v>600000</v>
      </c>
      <c r="AL230" s="193">
        <v>0</v>
      </c>
      <c r="AM230" s="193">
        <v>0</v>
      </c>
      <c r="AN230" s="193">
        <v>0</v>
      </c>
      <c r="AO230" s="193">
        <v>0</v>
      </c>
      <c r="AP230" s="193">
        <v>0</v>
      </c>
      <c r="AQ230" s="193">
        <v>0</v>
      </c>
      <c r="AR230" s="193">
        <v>0</v>
      </c>
      <c r="AS230" s="193">
        <v>0</v>
      </c>
      <c r="AT230" s="193">
        <v>0</v>
      </c>
      <c r="AU230" s="193">
        <v>0</v>
      </c>
      <c r="AV230" s="193">
        <v>0</v>
      </c>
      <c r="AW230" s="193">
        <v>0</v>
      </c>
      <c r="AX230" s="193">
        <v>0</v>
      </c>
      <c r="AY230" s="193">
        <v>0</v>
      </c>
      <c r="AZ230" s="193">
        <v>0</v>
      </c>
      <c r="BA230" s="193">
        <v>0</v>
      </c>
      <c r="BB230" s="193">
        <v>0</v>
      </c>
      <c r="BC230" s="193">
        <v>0</v>
      </c>
      <c r="BD230" s="193">
        <v>0</v>
      </c>
      <c r="BE230" s="193">
        <v>0</v>
      </c>
      <c r="BF230" s="193">
        <v>0</v>
      </c>
      <c r="BG230" s="193">
        <v>600000</v>
      </c>
      <c r="BH230" s="193">
        <v>600000</v>
      </c>
    </row>
    <row r="231" spans="1:60" s="188" customFormat="1">
      <c r="A231" s="189">
        <v>-3</v>
      </c>
      <c r="B231" s="199" t="s">
        <v>1032</v>
      </c>
      <c r="C231" s="191">
        <v>220000</v>
      </c>
      <c r="D231" s="192">
        <v>0</v>
      </c>
      <c r="E231" s="192">
        <v>0</v>
      </c>
      <c r="F231" s="192">
        <v>0</v>
      </c>
      <c r="G231" s="192">
        <v>0</v>
      </c>
      <c r="H231" s="192">
        <v>0</v>
      </c>
      <c r="I231" s="192">
        <v>0</v>
      </c>
      <c r="J231" s="192">
        <v>0</v>
      </c>
      <c r="K231" s="192">
        <v>0</v>
      </c>
      <c r="L231" s="192">
        <v>0</v>
      </c>
      <c r="M231" s="192">
        <v>0</v>
      </c>
      <c r="N231" s="192">
        <v>0</v>
      </c>
      <c r="O231" s="192">
        <v>0</v>
      </c>
      <c r="P231" s="192">
        <v>0</v>
      </c>
      <c r="Q231" s="192">
        <v>0</v>
      </c>
      <c r="R231" s="192">
        <v>0</v>
      </c>
      <c r="S231" s="192">
        <v>0</v>
      </c>
      <c r="T231" s="192">
        <v>0</v>
      </c>
      <c r="U231" s="192">
        <v>0</v>
      </c>
      <c r="V231" s="192">
        <v>0</v>
      </c>
      <c r="W231" s="192">
        <v>0</v>
      </c>
      <c r="X231" s="192">
        <v>0</v>
      </c>
      <c r="Y231" s="192">
        <v>0</v>
      </c>
      <c r="Z231" s="192">
        <v>0</v>
      </c>
      <c r="AA231" s="192">
        <v>0</v>
      </c>
      <c r="AB231" s="192">
        <v>0</v>
      </c>
      <c r="AC231" s="192">
        <v>0</v>
      </c>
      <c r="AD231" s="192">
        <v>0</v>
      </c>
      <c r="AE231" s="192">
        <v>0</v>
      </c>
      <c r="AF231" s="193">
        <v>0</v>
      </c>
      <c r="AG231" s="193">
        <v>0</v>
      </c>
      <c r="AH231" s="193">
        <v>0</v>
      </c>
      <c r="AI231" s="193">
        <v>0</v>
      </c>
      <c r="AJ231" s="193">
        <v>0</v>
      </c>
      <c r="AK231" s="193">
        <v>0</v>
      </c>
      <c r="AL231" s="193">
        <v>0</v>
      </c>
      <c r="AM231" s="193">
        <v>0</v>
      </c>
      <c r="AN231" s="193">
        <v>0</v>
      </c>
      <c r="AO231" s="193">
        <v>0</v>
      </c>
      <c r="AP231" s="193">
        <v>0</v>
      </c>
      <c r="AQ231" s="193">
        <v>0</v>
      </c>
      <c r="AR231" s="193">
        <v>0</v>
      </c>
      <c r="AS231" s="193">
        <v>0</v>
      </c>
      <c r="AT231" s="193">
        <v>0</v>
      </c>
      <c r="AU231" s="193">
        <v>0</v>
      </c>
      <c r="AV231" s="193">
        <v>0</v>
      </c>
      <c r="AW231" s="193">
        <v>0</v>
      </c>
      <c r="AX231" s="193">
        <v>0</v>
      </c>
      <c r="AY231" s="193">
        <v>0</v>
      </c>
      <c r="AZ231" s="193">
        <v>0</v>
      </c>
      <c r="BA231" s="193">
        <v>0</v>
      </c>
      <c r="BB231" s="193">
        <v>0</v>
      </c>
      <c r="BC231" s="193">
        <v>0</v>
      </c>
      <c r="BD231" s="193">
        <v>0</v>
      </c>
      <c r="BE231" s="193">
        <v>0</v>
      </c>
      <c r="BF231" s="193">
        <v>0</v>
      </c>
      <c r="BG231" s="193">
        <v>0</v>
      </c>
      <c r="BH231" s="193">
        <v>0</v>
      </c>
    </row>
    <row r="232" spans="1:60" s="188" customFormat="1">
      <c r="A232" s="215">
        <v>-4</v>
      </c>
      <c r="B232" s="199" t="s">
        <v>1033</v>
      </c>
      <c r="C232" s="191">
        <v>250000</v>
      </c>
      <c r="D232" s="192">
        <v>0</v>
      </c>
      <c r="E232" s="192">
        <v>0</v>
      </c>
      <c r="F232" s="192">
        <v>0</v>
      </c>
      <c r="G232" s="192">
        <v>0</v>
      </c>
      <c r="H232" s="192">
        <v>7</v>
      </c>
      <c r="I232" s="192">
        <v>0</v>
      </c>
      <c r="J232" s="192">
        <v>0</v>
      </c>
      <c r="K232" s="192">
        <v>0</v>
      </c>
      <c r="L232" s="192">
        <v>0</v>
      </c>
      <c r="M232" s="192">
        <v>0</v>
      </c>
      <c r="N232" s="192">
        <v>0</v>
      </c>
      <c r="O232" s="192">
        <v>0</v>
      </c>
      <c r="P232" s="192">
        <v>0</v>
      </c>
      <c r="Q232" s="192">
        <v>0</v>
      </c>
      <c r="R232" s="192">
        <v>0</v>
      </c>
      <c r="S232" s="192">
        <v>0</v>
      </c>
      <c r="T232" s="192">
        <v>0</v>
      </c>
      <c r="U232" s="192">
        <v>0</v>
      </c>
      <c r="V232" s="192">
        <v>0</v>
      </c>
      <c r="W232" s="192">
        <v>0</v>
      </c>
      <c r="X232" s="192">
        <v>0</v>
      </c>
      <c r="Y232" s="192">
        <v>0</v>
      </c>
      <c r="Z232" s="192">
        <v>0</v>
      </c>
      <c r="AA232" s="192">
        <v>0</v>
      </c>
      <c r="AB232" s="192">
        <v>0</v>
      </c>
      <c r="AC232" s="192">
        <v>0</v>
      </c>
      <c r="AD232" s="192">
        <v>7</v>
      </c>
      <c r="AE232" s="192">
        <v>0</v>
      </c>
      <c r="AF232" s="193">
        <v>0</v>
      </c>
      <c r="AG232" s="193">
        <v>0</v>
      </c>
      <c r="AH232" s="193">
        <v>0</v>
      </c>
      <c r="AI232" s="193">
        <v>0</v>
      </c>
      <c r="AJ232" s="193">
        <v>1750000</v>
      </c>
      <c r="AK232" s="193">
        <v>0</v>
      </c>
      <c r="AL232" s="193">
        <v>0</v>
      </c>
      <c r="AM232" s="193">
        <v>0</v>
      </c>
      <c r="AN232" s="193">
        <v>0</v>
      </c>
      <c r="AO232" s="193">
        <v>0</v>
      </c>
      <c r="AP232" s="193">
        <v>0</v>
      </c>
      <c r="AQ232" s="193">
        <v>0</v>
      </c>
      <c r="AR232" s="193">
        <v>0</v>
      </c>
      <c r="AS232" s="193">
        <v>0</v>
      </c>
      <c r="AT232" s="193">
        <v>0</v>
      </c>
      <c r="AU232" s="193">
        <v>0</v>
      </c>
      <c r="AV232" s="193">
        <v>0</v>
      </c>
      <c r="AW232" s="193">
        <v>0</v>
      </c>
      <c r="AX232" s="193">
        <v>0</v>
      </c>
      <c r="AY232" s="193">
        <v>0</v>
      </c>
      <c r="AZ232" s="193">
        <v>0</v>
      </c>
      <c r="BA232" s="193">
        <v>0</v>
      </c>
      <c r="BB232" s="193">
        <v>0</v>
      </c>
      <c r="BC232" s="193">
        <v>0</v>
      </c>
      <c r="BD232" s="193">
        <v>0</v>
      </c>
      <c r="BE232" s="193">
        <v>0</v>
      </c>
      <c r="BF232" s="193">
        <v>1750000</v>
      </c>
      <c r="BG232" s="193">
        <v>0</v>
      </c>
      <c r="BH232" s="193">
        <v>1750000</v>
      </c>
    </row>
    <row r="233" spans="1:60" s="188" customFormat="1">
      <c r="A233" s="189">
        <v>-5</v>
      </c>
      <c r="B233" s="199" t="s">
        <v>1034</v>
      </c>
      <c r="C233" s="191">
        <v>340000</v>
      </c>
      <c r="D233" s="192">
        <v>0</v>
      </c>
      <c r="E233" s="192">
        <v>0</v>
      </c>
      <c r="F233" s="192">
        <v>0</v>
      </c>
      <c r="G233" s="192">
        <v>0</v>
      </c>
      <c r="H233" s="192">
        <v>0</v>
      </c>
      <c r="I233" s="192">
        <v>0</v>
      </c>
      <c r="J233" s="192">
        <v>0</v>
      </c>
      <c r="K233" s="192">
        <v>0</v>
      </c>
      <c r="L233" s="192">
        <v>0</v>
      </c>
      <c r="M233" s="192">
        <v>0</v>
      </c>
      <c r="N233" s="192">
        <v>0</v>
      </c>
      <c r="O233" s="192">
        <v>0</v>
      </c>
      <c r="P233" s="192">
        <v>0</v>
      </c>
      <c r="Q233" s="192">
        <v>0</v>
      </c>
      <c r="R233" s="192">
        <v>0</v>
      </c>
      <c r="S233" s="192">
        <v>0</v>
      </c>
      <c r="T233" s="192">
        <v>0</v>
      </c>
      <c r="U233" s="192">
        <v>0</v>
      </c>
      <c r="V233" s="192">
        <v>0</v>
      </c>
      <c r="W233" s="192">
        <v>0</v>
      </c>
      <c r="X233" s="192">
        <v>0</v>
      </c>
      <c r="Y233" s="192">
        <v>0</v>
      </c>
      <c r="Z233" s="192">
        <v>0</v>
      </c>
      <c r="AA233" s="192">
        <v>0</v>
      </c>
      <c r="AB233" s="192">
        <v>0</v>
      </c>
      <c r="AC233" s="192">
        <v>0</v>
      </c>
      <c r="AD233" s="192">
        <v>0</v>
      </c>
      <c r="AE233" s="192">
        <v>0</v>
      </c>
      <c r="AF233" s="193">
        <v>0</v>
      </c>
      <c r="AG233" s="193">
        <v>0</v>
      </c>
      <c r="AH233" s="193">
        <v>0</v>
      </c>
      <c r="AI233" s="193">
        <v>0</v>
      </c>
      <c r="AJ233" s="193">
        <v>0</v>
      </c>
      <c r="AK233" s="193">
        <v>0</v>
      </c>
      <c r="AL233" s="193">
        <v>0</v>
      </c>
      <c r="AM233" s="193">
        <v>0</v>
      </c>
      <c r="AN233" s="193">
        <v>0</v>
      </c>
      <c r="AO233" s="193">
        <v>0</v>
      </c>
      <c r="AP233" s="193">
        <v>0</v>
      </c>
      <c r="AQ233" s="193">
        <v>0</v>
      </c>
      <c r="AR233" s="193">
        <v>0</v>
      </c>
      <c r="AS233" s="193">
        <v>0</v>
      </c>
      <c r="AT233" s="193">
        <v>0</v>
      </c>
      <c r="AU233" s="193">
        <v>0</v>
      </c>
      <c r="AV233" s="193">
        <v>0</v>
      </c>
      <c r="AW233" s="193">
        <v>0</v>
      </c>
      <c r="AX233" s="193">
        <v>0</v>
      </c>
      <c r="AY233" s="193">
        <v>0</v>
      </c>
      <c r="AZ233" s="193">
        <v>0</v>
      </c>
      <c r="BA233" s="193">
        <v>0</v>
      </c>
      <c r="BB233" s="193">
        <v>0</v>
      </c>
      <c r="BC233" s="193">
        <v>0</v>
      </c>
      <c r="BD233" s="193">
        <v>0</v>
      </c>
      <c r="BE233" s="193">
        <v>0</v>
      </c>
      <c r="BF233" s="193">
        <v>0</v>
      </c>
      <c r="BG233" s="193">
        <v>0</v>
      </c>
      <c r="BH233" s="193">
        <v>0</v>
      </c>
    </row>
    <row r="234" spans="1:60" s="188" customFormat="1">
      <c r="A234" s="215">
        <v>-6</v>
      </c>
      <c r="B234" s="199" t="s">
        <v>1035</v>
      </c>
      <c r="C234" s="191">
        <v>460000</v>
      </c>
      <c r="D234" s="192">
        <v>0</v>
      </c>
      <c r="E234" s="192">
        <v>0</v>
      </c>
      <c r="F234" s="192">
        <v>0</v>
      </c>
      <c r="G234" s="192">
        <v>0</v>
      </c>
      <c r="H234" s="192">
        <v>1</v>
      </c>
      <c r="I234" s="192">
        <v>0</v>
      </c>
      <c r="J234" s="192">
        <v>0</v>
      </c>
      <c r="K234" s="192">
        <v>0</v>
      </c>
      <c r="L234" s="192">
        <v>0</v>
      </c>
      <c r="M234" s="192">
        <v>0</v>
      </c>
      <c r="N234" s="192">
        <v>0</v>
      </c>
      <c r="O234" s="192">
        <v>0</v>
      </c>
      <c r="P234" s="192">
        <v>0</v>
      </c>
      <c r="Q234" s="192">
        <v>0</v>
      </c>
      <c r="R234" s="192">
        <v>0</v>
      </c>
      <c r="S234" s="192">
        <v>0</v>
      </c>
      <c r="T234" s="192">
        <v>0</v>
      </c>
      <c r="U234" s="192">
        <v>0</v>
      </c>
      <c r="V234" s="192">
        <v>0</v>
      </c>
      <c r="W234" s="192">
        <v>0</v>
      </c>
      <c r="X234" s="192">
        <v>0</v>
      </c>
      <c r="Y234" s="192">
        <v>0</v>
      </c>
      <c r="Z234" s="192">
        <v>0</v>
      </c>
      <c r="AA234" s="192">
        <v>0</v>
      </c>
      <c r="AB234" s="192">
        <v>0</v>
      </c>
      <c r="AC234" s="192">
        <v>0</v>
      </c>
      <c r="AD234" s="192">
        <v>1</v>
      </c>
      <c r="AE234" s="192">
        <v>0</v>
      </c>
      <c r="AF234" s="193">
        <v>0</v>
      </c>
      <c r="AG234" s="193">
        <v>0</v>
      </c>
      <c r="AH234" s="193">
        <v>0</v>
      </c>
      <c r="AI234" s="193">
        <v>0</v>
      </c>
      <c r="AJ234" s="193">
        <v>460000</v>
      </c>
      <c r="AK234" s="193">
        <v>0</v>
      </c>
      <c r="AL234" s="193">
        <v>0</v>
      </c>
      <c r="AM234" s="193">
        <v>0</v>
      </c>
      <c r="AN234" s="193">
        <v>0</v>
      </c>
      <c r="AO234" s="193">
        <v>0</v>
      </c>
      <c r="AP234" s="193">
        <v>0</v>
      </c>
      <c r="AQ234" s="193">
        <v>0</v>
      </c>
      <c r="AR234" s="193">
        <v>0</v>
      </c>
      <c r="AS234" s="193">
        <v>0</v>
      </c>
      <c r="AT234" s="193">
        <v>0</v>
      </c>
      <c r="AU234" s="193">
        <v>0</v>
      </c>
      <c r="AV234" s="193">
        <v>0</v>
      </c>
      <c r="AW234" s="193">
        <v>0</v>
      </c>
      <c r="AX234" s="193">
        <v>0</v>
      </c>
      <c r="AY234" s="193">
        <v>0</v>
      </c>
      <c r="AZ234" s="193">
        <v>0</v>
      </c>
      <c r="BA234" s="193">
        <v>0</v>
      </c>
      <c r="BB234" s="193">
        <v>0</v>
      </c>
      <c r="BC234" s="193">
        <v>0</v>
      </c>
      <c r="BD234" s="193">
        <v>0</v>
      </c>
      <c r="BE234" s="193">
        <v>0</v>
      </c>
      <c r="BF234" s="193">
        <v>460000</v>
      </c>
      <c r="BG234" s="193">
        <v>0</v>
      </c>
      <c r="BH234" s="193">
        <v>460000</v>
      </c>
    </row>
    <row r="235" spans="1:60" s="188" customFormat="1">
      <c r="A235" s="189">
        <v>-7</v>
      </c>
      <c r="B235" s="216" t="s">
        <v>1036</v>
      </c>
      <c r="C235" s="214">
        <v>540000</v>
      </c>
      <c r="D235" s="192">
        <v>0</v>
      </c>
      <c r="E235" s="192">
        <v>0</v>
      </c>
      <c r="F235" s="192">
        <v>0</v>
      </c>
      <c r="G235" s="192">
        <v>0</v>
      </c>
      <c r="H235" s="192">
        <v>0</v>
      </c>
      <c r="I235" s="192">
        <v>0</v>
      </c>
      <c r="J235" s="192">
        <v>0</v>
      </c>
      <c r="K235" s="192">
        <v>0</v>
      </c>
      <c r="L235" s="192">
        <v>0</v>
      </c>
      <c r="M235" s="192">
        <v>0</v>
      </c>
      <c r="N235" s="192">
        <v>0</v>
      </c>
      <c r="O235" s="192">
        <v>0</v>
      </c>
      <c r="P235" s="192">
        <v>0</v>
      </c>
      <c r="Q235" s="192">
        <v>0</v>
      </c>
      <c r="R235" s="192">
        <v>0</v>
      </c>
      <c r="S235" s="192">
        <v>0</v>
      </c>
      <c r="T235" s="192">
        <v>0</v>
      </c>
      <c r="U235" s="192">
        <v>0</v>
      </c>
      <c r="V235" s="192">
        <v>0</v>
      </c>
      <c r="W235" s="192">
        <v>0</v>
      </c>
      <c r="X235" s="192">
        <v>0</v>
      </c>
      <c r="Y235" s="192">
        <v>0</v>
      </c>
      <c r="Z235" s="192">
        <v>0</v>
      </c>
      <c r="AA235" s="192">
        <v>0</v>
      </c>
      <c r="AB235" s="192">
        <v>0</v>
      </c>
      <c r="AC235" s="192">
        <v>0</v>
      </c>
      <c r="AD235" s="192">
        <v>0</v>
      </c>
      <c r="AE235" s="192">
        <v>0</v>
      </c>
      <c r="AF235" s="193">
        <v>0</v>
      </c>
      <c r="AG235" s="193">
        <v>0</v>
      </c>
      <c r="AH235" s="193">
        <v>0</v>
      </c>
      <c r="AI235" s="193">
        <v>0</v>
      </c>
      <c r="AJ235" s="193">
        <v>0</v>
      </c>
      <c r="AK235" s="193">
        <v>0</v>
      </c>
      <c r="AL235" s="193">
        <v>0</v>
      </c>
      <c r="AM235" s="193">
        <v>0</v>
      </c>
      <c r="AN235" s="193">
        <v>0</v>
      </c>
      <c r="AO235" s="193">
        <v>0</v>
      </c>
      <c r="AP235" s="193">
        <v>0</v>
      </c>
      <c r="AQ235" s="193">
        <v>0</v>
      </c>
      <c r="AR235" s="193">
        <v>0</v>
      </c>
      <c r="AS235" s="193">
        <v>0</v>
      </c>
      <c r="AT235" s="193">
        <v>0</v>
      </c>
      <c r="AU235" s="193">
        <v>0</v>
      </c>
      <c r="AV235" s="193">
        <v>0</v>
      </c>
      <c r="AW235" s="193">
        <v>0</v>
      </c>
      <c r="AX235" s="193">
        <v>0</v>
      </c>
      <c r="AY235" s="193">
        <v>0</v>
      </c>
      <c r="AZ235" s="193">
        <v>0</v>
      </c>
      <c r="BA235" s="193">
        <v>0</v>
      </c>
      <c r="BB235" s="193">
        <v>0</v>
      </c>
      <c r="BC235" s="193">
        <v>0</v>
      </c>
      <c r="BD235" s="193">
        <v>0</v>
      </c>
      <c r="BE235" s="193">
        <v>0</v>
      </c>
      <c r="BF235" s="193">
        <v>0</v>
      </c>
      <c r="BG235" s="193">
        <v>0</v>
      </c>
      <c r="BH235" s="193">
        <v>0</v>
      </c>
    </row>
    <row r="236" spans="1:60" s="188" customFormat="1">
      <c r="A236" s="215">
        <v>-8</v>
      </c>
      <c r="B236" s="199" t="s">
        <v>1037</v>
      </c>
      <c r="C236" s="191">
        <v>560000</v>
      </c>
      <c r="D236" s="192">
        <v>0</v>
      </c>
      <c r="E236" s="192">
        <v>0</v>
      </c>
      <c r="F236" s="192">
        <v>0</v>
      </c>
      <c r="G236" s="192">
        <v>0</v>
      </c>
      <c r="H236" s="192">
        <v>1</v>
      </c>
      <c r="I236" s="192">
        <v>0</v>
      </c>
      <c r="J236" s="192">
        <v>0</v>
      </c>
      <c r="K236" s="192">
        <v>0</v>
      </c>
      <c r="L236" s="192">
        <v>0</v>
      </c>
      <c r="M236" s="192">
        <v>0</v>
      </c>
      <c r="N236" s="192">
        <v>0</v>
      </c>
      <c r="O236" s="192">
        <v>0</v>
      </c>
      <c r="P236" s="192">
        <v>0</v>
      </c>
      <c r="Q236" s="192">
        <v>0</v>
      </c>
      <c r="R236" s="192">
        <v>0</v>
      </c>
      <c r="S236" s="192">
        <v>0</v>
      </c>
      <c r="T236" s="192">
        <v>0</v>
      </c>
      <c r="U236" s="192">
        <v>0</v>
      </c>
      <c r="V236" s="192">
        <v>0</v>
      </c>
      <c r="W236" s="192">
        <v>0</v>
      </c>
      <c r="X236" s="192">
        <v>0</v>
      </c>
      <c r="Y236" s="192">
        <v>0</v>
      </c>
      <c r="Z236" s="192">
        <v>0</v>
      </c>
      <c r="AA236" s="192">
        <v>0</v>
      </c>
      <c r="AB236" s="192">
        <v>0</v>
      </c>
      <c r="AC236" s="192">
        <v>0</v>
      </c>
      <c r="AD236" s="192">
        <v>1</v>
      </c>
      <c r="AE236" s="192">
        <v>0</v>
      </c>
      <c r="AF236" s="193">
        <v>0</v>
      </c>
      <c r="AG236" s="193">
        <v>0</v>
      </c>
      <c r="AH236" s="193">
        <v>0</v>
      </c>
      <c r="AI236" s="193">
        <v>0</v>
      </c>
      <c r="AJ236" s="193">
        <v>560000</v>
      </c>
      <c r="AK236" s="193">
        <v>0</v>
      </c>
      <c r="AL236" s="193">
        <v>0</v>
      </c>
      <c r="AM236" s="193">
        <v>0</v>
      </c>
      <c r="AN236" s="193">
        <v>0</v>
      </c>
      <c r="AO236" s="193">
        <v>0</v>
      </c>
      <c r="AP236" s="193">
        <v>0</v>
      </c>
      <c r="AQ236" s="193">
        <v>0</v>
      </c>
      <c r="AR236" s="193">
        <v>0</v>
      </c>
      <c r="AS236" s="193">
        <v>0</v>
      </c>
      <c r="AT236" s="193">
        <v>0</v>
      </c>
      <c r="AU236" s="193">
        <v>0</v>
      </c>
      <c r="AV236" s="193">
        <v>0</v>
      </c>
      <c r="AW236" s="193">
        <v>0</v>
      </c>
      <c r="AX236" s="193">
        <v>0</v>
      </c>
      <c r="AY236" s="193">
        <v>0</v>
      </c>
      <c r="AZ236" s="193">
        <v>0</v>
      </c>
      <c r="BA236" s="193">
        <v>0</v>
      </c>
      <c r="BB236" s="193">
        <v>0</v>
      </c>
      <c r="BC236" s="193">
        <v>0</v>
      </c>
      <c r="BD236" s="193">
        <v>0</v>
      </c>
      <c r="BE236" s="193">
        <v>0</v>
      </c>
      <c r="BF236" s="193">
        <v>560000</v>
      </c>
      <c r="BG236" s="193">
        <v>0</v>
      </c>
      <c r="BH236" s="193">
        <v>560000</v>
      </c>
    </row>
    <row r="237" spans="1:60" s="188" customFormat="1">
      <c r="A237" s="189">
        <v>-9</v>
      </c>
      <c r="B237" s="216" t="s">
        <v>1038</v>
      </c>
      <c r="C237" s="214">
        <v>610000</v>
      </c>
      <c r="D237" s="192">
        <v>0</v>
      </c>
      <c r="E237" s="192">
        <v>0</v>
      </c>
      <c r="F237" s="192">
        <v>0</v>
      </c>
      <c r="G237" s="192">
        <v>0</v>
      </c>
      <c r="H237" s="192">
        <v>0</v>
      </c>
      <c r="I237" s="192">
        <v>0</v>
      </c>
      <c r="J237" s="192">
        <v>0</v>
      </c>
      <c r="K237" s="192">
        <v>0</v>
      </c>
      <c r="L237" s="192">
        <v>0</v>
      </c>
      <c r="M237" s="192">
        <v>0</v>
      </c>
      <c r="N237" s="192">
        <v>0</v>
      </c>
      <c r="O237" s="192">
        <v>0</v>
      </c>
      <c r="P237" s="192">
        <v>0</v>
      </c>
      <c r="Q237" s="192">
        <v>0</v>
      </c>
      <c r="R237" s="192">
        <v>0</v>
      </c>
      <c r="S237" s="192">
        <v>0</v>
      </c>
      <c r="T237" s="192">
        <v>0</v>
      </c>
      <c r="U237" s="192">
        <v>0</v>
      </c>
      <c r="V237" s="192">
        <v>0</v>
      </c>
      <c r="W237" s="192">
        <v>0</v>
      </c>
      <c r="X237" s="192">
        <v>0</v>
      </c>
      <c r="Y237" s="192">
        <v>0</v>
      </c>
      <c r="Z237" s="192">
        <v>0</v>
      </c>
      <c r="AA237" s="192">
        <v>0</v>
      </c>
      <c r="AB237" s="192">
        <v>0</v>
      </c>
      <c r="AC237" s="192">
        <v>0</v>
      </c>
      <c r="AD237" s="192">
        <v>0</v>
      </c>
      <c r="AE237" s="192">
        <v>0</v>
      </c>
      <c r="AF237" s="193">
        <v>0</v>
      </c>
      <c r="AG237" s="193">
        <v>0</v>
      </c>
      <c r="AH237" s="193">
        <v>0</v>
      </c>
      <c r="AI237" s="193">
        <v>0</v>
      </c>
      <c r="AJ237" s="193">
        <v>0</v>
      </c>
      <c r="AK237" s="193">
        <v>0</v>
      </c>
      <c r="AL237" s="193">
        <v>0</v>
      </c>
      <c r="AM237" s="193">
        <v>0</v>
      </c>
      <c r="AN237" s="193">
        <v>0</v>
      </c>
      <c r="AO237" s="193">
        <v>0</v>
      </c>
      <c r="AP237" s="193">
        <v>0</v>
      </c>
      <c r="AQ237" s="193">
        <v>0</v>
      </c>
      <c r="AR237" s="193">
        <v>0</v>
      </c>
      <c r="AS237" s="193">
        <v>0</v>
      </c>
      <c r="AT237" s="193">
        <v>0</v>
      </c>
      <c r="AU237" s="193">
        <v>0</v>
      </c>
      <c r="AV237" s="193">
        <v>0</v>
      </c>
      <c r="AW237" s="193">
        <v>0</v>
      </c>
      <c r="AX237" s="193">
        <v>0</v>
      </c>
      <c r="AY237" s="193">
        <v>0</v>
      </c>
      <c r="AZ237" s="193">
        <v>0</v>
      </c>
      <c r="BA237" s="193">
        <v>0</v>
      </c>
      <c r="BB237" s="193">
        <v>0</v>
      </c>
      <c r="BC237" s="193">
        <v>0</v>
      </c>
      <c r="BD237" s="193">
        <v>0</v>
      </c>
      <c r="BE237" s="193">
        <v>0</v>
      </c>
      <c r="BF237" s="193">
        <v>0</v>
      </c>
      <c r="BG237" s="193">
        <v>0</v>
      </c>
      <c r="BH237" s="193">
        <v>0</v>
      </c>
    </row>
    <row r="238" spans="1:60" s="188" customFormat="1">
      <c r="A238" s="215">
        <v>-10</v>
      </c>
      <c r="B238" s="216" t="s">
        <v>1039</v>
      </c>
      <c r="C238" s="214">
        <v>100000</v>
      </c>
      <c r="D238" s="192">
        <v>0</v>
      </c>
      <c r="E238" s="192">
        <v>0</v>
      </c>
      <c r="F238" s="192">
        <v>0</v>
      </c>
      <c r="G238" s="192">
        <v>0</v>
      </c>
      <c r="H238" s="192">
        <v>1</v>
      </c>
      <c r="I238" s="192">
        <v>0</v>
      </c>
      <c r="J238" s="192">
        <v>0</v>
      </c>
      <c r="K238" s="192">
        <v>0</v>
      </c>
      <c r="L238" s="192">
        <v>0</v>
      </c>
      <c r="M238" s="192">
        <v>0</v>
      </c>
      <c r="N238" s="192">
        <v>0</v>
      </c>
      <c r="O238" s="192">
        <v>0</v>
      </c>
      <c r="P238" s="192">
        <v>0</v>
      </c>
      <c r="Q238" s="192">
        <v>0</v>
      </c>
      <c r="R238" s="192">
        <v>0</v>
      </c>
      <c r="S238" s="192">
        <v>0</v>
      </c>
      <c r="T238" s="192">
        <v>0</v>
      </c>
      <c r="U238" s="192">
        <v>0</v>
      </c>
      <c r="V238" s="192">
        <v>0</v>
      </c>
      <c r="W238" s="192">
        <v>0</v>
      </c>
      <c r="X238" s="192">
        <v>0</v>
      </c>
      <c r="Y238" s="192">
        <v>0</v>
      </c>
      <c r="Z238" s="192">
        <v>0</v>
      </c>
      <c r="AA238" s="192">
        <v>0</v>
      </c>
      <c r="AB238" s="192">
        <v>0</v>
      </c>
      <c r="AC238" s="192">
        <v>0</v>
      </c>
      <c r="AD238" s="192">
        <v>1</v>
      </c>
      <c r="AE238" s="192">
        <v>0</v>
      </c>
      <c r="AF238" s="193">
        <v>0</v>
      </c>
      <c r="AG238" s="193">
        <v>0</v>
      </c>
      <c r="AH238" s="193">
        <v>0</v>
      </c>
      <c r="AI238" s="193">
        <v>0</v>
      </c>
      <c r="AJ238" s="193">
        <v>100000</v>
      </c>
      <c r="AK238" s="193">
        <v>0</v>
      </c>
      <c r="AL238" s="193">
        <v>0</v>
      </c>
      <c r="AM238" s="193">
        <v>0</v>
      </c>
      <c r="AN238" s="193">
        <v>0</v>
      </c>
      <c r="AO238" s="193">
        <v>0</v>
      </c>
      <c r="AP238" s="193">
        <v>0</v>
      </c>
      <c r="AQ238" s="193">
        <v>0</v>
      </c>
      <c r="AR238" s="193">
        <v>0</v>
      </c>
      <c r="AS238" s="193">
        <v>0</v>
      </c>
      <c r="AT238" s="193">
        <v>0</v>
      </c>
      <c r="AU238" s="193">
        <v>0</v>
      </c>
      <c r="AV238" s="193">
        <v>0</v>
      </c>
      <c r="AW238" s="193">
        <v>0</v>
      </c>
      <c r="AX238" s="193">
        <v>0</v>
      </c>
      <c r="AY238" s="193">
        <v>0</v>
      </c>
      <c r="AZ238" s="193">
        <v>0</v>
      </c>
      <c r="BA238" s="193">
        <v>0</v>
      </c>
      <c r="BB238" s="193">
        <v>0</v>
      </c>
      <c r="BC238" s="193">
        <v>0</v>
      </c>
      <c r="BD238" s="193">
        <v>0</v>
      </c>
      <c r="BE238" s="193">
        <v>0</v>
      </c>
      <c r="BF238" s="193">
        <v>100000</v>
      </c>
      <c r="BG238" s="193">
        <v>0</v>
      </c>
      <c r="BH238" s="193">
        <v>100000</v>
      </c>
    </row>
    <row r="239" spans="1:60" s="188" customFormat="1">
      <c r="A239" s="189">
        <v>-11</v>
      </c>
      <c r="B239" s="216" t="s">
        <v>1040</v>
      </c>
      <c r="C239" s="214">
        <v>100000</v>
      </c>
      <c r="D239" s="192">
        <v>0</v>
      </c>
      <c r="E239" s="192">
        <v>0</v>
      </c>
      <c r="F239" s="192">
        <v>0</v>
      </c>
      <c r="G239" s="192">
        <v>0</v>
      </c>
      <c r="H239" s="192">
        <v>0</v>
      </c>
      <c r="I239" s="192">
        <v>0</v>
      </c>
      <c r="J239" s="192">
        <v>0</v>
      </c>
      <c r="K239" s="192">
        <v>0</v>
      </c>
      <c r="L239" s="192">
        <v>0</v>
      </c>
      <c r="M239" s="192">
        <v>0</v>
      </c>
      <c r="N239" s="192">
        <v>0</v>
      </c>
      <c r="O239" s="192">
        <v>0</v>
      </c>
      <c r="P239" s="192">
        <v>0</v>
      </c>
      <c r="Q239" s="192">
        <v>0</v>
      </c>
      <c r="R239" s="192">
        <v>0</v>
      </c>
      <c r="S239" s="192">
        <v>0</v>
      </c>
      <c r="T239" s="192">
        <v>0</v>
      </c>
      <c r="U239" s="192">
        <v>0</v>
      </c>
      <c r="V239" s="192">
        <v>0</v>
      </c>
      <c r="W239" s="192">
        <v>0</v>
      </c>
      <c r="X239" s="192">
        <v>0</v>
      </c>
      <c r="Y239" s="192">
        <v>0</v>
      </c>
      <c r="Z239" s="192">
        <v>0</v>
      </c>
      <c r="AA239" s="192">
        <v>0</v>
      </c>
      <c r="AB239" s="192">
        <v>0</v>
      </c>
      <c r="AC239" s="192">
        <v>0</v>
      </c>
      <c r="AD239" s="192">
        <v>0</v>
      </c>
      <c r="AE239" s="192">
        <v>0</v>
      </c>
      <c r="AF239" s="193">
        <v>0</v>
      </c>
      <c r="AG239" s="193">
        <v>0</v>
      </c>
      <c r="AH239" s="193">
        <v>0</v>
      </c>
      <c r="AI239" s="193">
        <v>0</v>
      </c>
      <c r="AJ239" s="193">
        <v>0</v>
      </c>
      <c r="AK239" s="193">
        <v>0</v>
      </c>
      <c r="AL239" s="193">
        <v>0</v>
      </c>
      <c r="AM239" s="193">
        <v>0</v>
      </c>
      <c r="AN239" s="193">
        <v>0</v>
      </c>
      <c r="AO239" s="193">
        <v>0</v>
      </c>
      <c r="AP239" s="193">
        <v>0</v>
      </c>
      <c r="AQ239" s="193">
        <v>0</v>
      </c>
      <c r="AR239" s="193">
        <v>0</v>
      </c>
      <c r="AS239" s="193">
        <v>0</v>
      </c>
      <c r="AT239" s="193">
        <v>0</v>
      </c>
      <c r="AU239" s="193">
        <v>0</v>
      </c>
      <c r="AV239" s="193">
        <v>0</v>
      </c>
      <c r="AW239" s="193">
        <v>0</v>
      </c>
      <c r="AX239" s="193">
        <v>0</v>
      </c>
      <c r="AY239" s="193">
        <v>0</v>
      </c>
      <c r="AZ239" s="193">
        <v>0</v>
      </c>
      <c r="BA239" s="193">
        <v>0</v>
      </c>
      <c r="BB239" s="193">
        <v>0</v>
      </c>
      <c r="BC239" s="193">
        <v>0</v>
      </c>
      <c r="BD239" s="193">
        <v>0</v>
      </c>
      <c r="BE239" s="193">
        <v>0</v>
      </c>
      <c r="BF239" s="193">
        <v>0</v>
      </c>
      <c r="BG239" s="193">
        <v>0</v>
      </c>
      <c r="BH239" s="193">
        <v>0</v>
      </c>
    </row>
    <row r="240" spans="1:60" s="188" customFormat="1">
      <c r="A240" s="215">
        <v>-12</v>
      </c>
      <c r="B240" s="216" t="s">
        <v>1041</v>
      </c>
      <c r="C240" s="214">
        <v>125000</v>
      </c>
      <c r="D240" s="192">
        <v>0</v>
      </c>
      <c r="E240" s="192">
        <v>0</v>
      </c>
      <c r="F240" s="192">
        <v>0</v>
      </c>
      <c r="G240" s="192">
        <v>0</v>
      </c>
      <c r="H240" s="192">
        <v>0</v>
      </c>
      <c r="I240" s="192">
        <v>0</v>
      </c>
      <c r="J240" s="192">
        <v>0</v>
      </c>
      <c r="K240" s="192">
        <v>0</v>
      </c>
      <c r="L240" s="192">
        <v>0</v>
      </c>
      <c r="M240" s="192">
        <v>0</v>
      </c>
      <c r="N240" s="192">
        <v>0</v>
      </c>
      <c r="O240" s="192">
        <v>0</v>
      </c>
      <c r="P240" s="192">
        <v>0</v>
      </c>
      <c r="Q240" s="192">
        <v>0</v>
      </c>
      <c r="R240" s="192">
        <v>0</v>
      </c>
      <c r="S240" s="192">
        <v>0</v>
      </c>
      <c r="T240" s="192">
        <v>0</v>
      </c>
      <c r="U240" s="192">
        <v>0</v>
      </c>
      <c r="V240" s="192">
        <v>0</v>
      </c>
      <c r="W240" s="192">
        <v>0</v>
      </c>
      <c r="X240" s="192">
        <v>0</v>
      </c>
      <c r="Y240" s="192">
        <v>0</v>
      </c>
      <c r="Z240" s="192">
        <v>0</v>
      </c>
      <c r="AA240" s="192">
        <v>0</v>
      </c>
      <c r="AB240" s="192">
        <v>0</v>
      </c>
      <c r="AC240" s="192">
        <v>0</v>
      </c>
      <c r="AD240" s="192">
        <v>0</v>
      </c>
      <c r="AE240" s="192">
        <v>0</v>
      </c>
      <c r="AF240" s="193">
        <v>0</v>
      </c>
      <c r="AG240" s="193">
        <v>0</v>
      </c>
      <c r="AH240" s="193">
        <v>0</v>
      </c>
      <c r="AI240" s="193">
        <v>0</v>
      </c>
      <c r="AJ240" s="193">
        <v>0</v>
      </c>
      <c r="AK240" s="193">
        <v>0</v>
      </c>
      <c r="AL240" s="193">
        <v>0</v>
      </c>
      <c r="AM240" s="193">
        <v>0</v>
      </c>
      <c r="AN240" s="193">
        <v>0</v>
      </c>
      <c r="AO240" s="193">
        <v>0</v>
      </c>
      <c r="AP240" s="193">
        <v>0</v>
      </c>
      <c r="AQ240" s="193">
        <v>0</v>
      </c>
      <c r="AR240" s="193">
        <v>0</v>
      </c>
      <c r="AS240" s="193">
        <v>0</v>
      </c>
      <c r="AT240" s="193">
        <v>0</v>
      </c>
      <c r="AU240" s="193">
        <v>0</v>
      </c>
      <c r="AV240" s="193">
        <v>0</v>
      </c>
      <c r="AW240" s="193">
        <v>0</v>
      </c>
      <c r="AX240" s="193">
        <v>0</v>
      </c>
      <c r="AY240" s="193">
        <v>0</v>
      </c>
      <c r="AZ240" s="193">
        <v>0</v>
      </c>
      <c r="BA240" s="193">
        <v>0</v>
      </c>
      <c r="BB240" s="193">
        <v>0</v>
      </c>
      <c r="BC240" s="193">
        <v>0</v>
      </c>
      <c r="BD240" s="193">
        <v>0</v>
      </c>
      <c r="BE240" s="193">
        <v>0</v>
      </c>
      <c r="BF240" s="193">
        <v>0</v>
      </c>
      <c r="BG240" s="193">
        <v>0</v>
      </c>
      <c r="BH240" s="193">
        <v>0</v>
      </c>
    </row>
    <row r="241" spans="1:60" s="188" customFormat="1">
      <c r="A241" s="189">
        <v>-13</v>
      </c>
      <c r="B241" s="216" t="s">
        <v>1042</v>
      </c>
      <c r="C241" s="214">
        <v>126000</v>
      </c>
      <c r="D241" s="192">
        <v>0</v>
      </c>
      <c r="E241" s="192">
        <v>0</v>
      </c>
      <c r="F241" s="192">
        <v>0</v>
      </c>
      <c r="G241" s="192">
        <v>0</v>
      </c>
      <c r="H241" s="192">
        <v>0</v>
      </c>
      <c r="I241" s="192">
        <v>0</v>
      </c>
      <c r="J241" s="192">
        <v>0</v>
      </c>
      <c r="K241" s="192">
        <v>0</v>
      </c>
      <c r="L241" s="192">
        <v>0</v>
      </c>
      <c r="M241" s="192">
        <v>0</v>
      </c>
      <c r="N241" s="192">
        <v>0</v>
      </c>
      <c r="O241" s="192">
        <v>0</v>
      </c>
      <c r="P241" s="192">
        <v>0</v>
      </c>
      <c r="Q241" s="192">
        <v>0</v>
      </c>
      <c r="R241" s="192">
        <v>0</v>
      </c>
      <c r="S241" s="192">
        <v>0</v>
      </c>
      <c r="T241" s="192">
        <v>0</v>
      </c>
      <c r="U241" s="192">
        <v>0</v>
      </c>
      <c r="V241" s="192">
        <v>0</v>
      </c>
      <c r="W241" s="192">
        <v>0</v>
      </c>
      <c r="X241" s="192">
        <v>0</v>
      </c>
      <c r="Y241" s="192">
        <v>0</v>
      </c>
      <c r="Z241" s="192">
        <v>0</v>
      </c>
      <c r="AA241" s="192">
        <v>0</v>
      </c>
      <c r="AB241" s="192">
        <v>0</v>
      </c>
      <c r="AC241" s="192">
        <v>0</v>
      </c>
      <c r="AD241" s="192">
        <v>0</v>
      </c>
      <c r="AE241" s="192">
        <v>0</v>
      </c>
      <c r="AF241" s="193">
        <v>0</v>
      </c>
      <c r="AG241" s="193">
        <v>0</v>
      </c>
      <c r="AH241" s="193">
        <v>0</v>
      </c>
      <c r="AI241" s="193">
        <v>0</v>
      </c>
      <c r="AJ241" s="193">
        <v>0</v>
      </c>
      <c r="AK241" s="193">
        <v>0</v>
      </c>
      <c r="AL241" s="193">
        <v>0</v>
      </c>
      <c r="AM241" s="193">
        <v>0</v>
      </c>
      <c r="AN241" s="193">
        <v>0</v>
      </c>
      <c r="AO241" s="193">
        <v>0</v>
      </c>
      <c r="AP241" s="193">
        <v>0</v>
      </c>
      <c r="AQ241" s="193">
        <v>0</v>
      </c>
      <c r="AR241" s="193">
        <v>0</v>
      </c>
      <c r="AS241" s="193">
        <v>0</v>
      </c>
      <c r="AT241" s="193">
        <v>0</v>
      </c>
      <c r="AU241" s="193">
        <v>0</v>
      </c>
      <c r="AV241" s="193">
        <v>0</v>
      </c>
      <c r="AW241" s="193">
        <v>0</v>
      </c>
      <c r="AX241" s="193">
        <v>0</v>
      </c>
      <c r="AY241" s="193">
        <v>0</v>
      </c>
      <c r="AZ241" s="193">
        <v>0</v>
      </c>
      <c r="BA241" s="193">
        <v>0</v>
      </c>
      <c r="BB241" s="193">
        <v>0</v>
      </c>
      <c r="BC241" s="193">
        <v>0</v>
      </c>
      <c r="BD241" s="193">
        <v>0</v>
      </c>
      <c r="BE241" s="193">
        <v>0</v>
      </c>
      <c r="BF241" s="193">
        <v>0</v>
      </c>
      <c r="BG241" s="193">
        <v>0</v>
      </c>
      <c r="BH241" s="193">
        <v>0</v>
      </c>
    </row>
    <row r="242" spans="1:60" s="188" customFormat="1">
      <c r="A242" s="215">
        <v>-14</v>
      </c>
      <c r="B242" s="216" t="s">
        <v>1043</v>
      </c>
      <c r="C242" s="214">
        <v>150000</v>
      </c>
      <c r="D242" s="192">
        <v>0</v>
      </c>
      <c r="E242" s="192">
        <v>0</v>
      </c>
      <c r="F242" s="192">
        <v>0</v>
      </c>
      <c r="G242" s="192">
        <v>0</v>
      </c>
      <c r="H242" s="192">
        <v>5</v>
      </c>
      <c r="I242" s="192">
        <v>1</v>
      </c>
      <c r="J242" s="192">
        <v>0</v>
      </c>
      <c r="K242" s="192">
        <v>0</v>
      </c>
      <c r="L242" s="192">
        <v>0</v>
      </c>
      <c r="M242" s="192">
        <v>0</v>
      </c>
      <c r="N242" s="192">
        <v>0</v>
      </c>
      <c r="O242" s="192">
        <v>0</v>
      </c>
      <c r="P242" s="192">
        <v>0</v>
      </c>
      <c r="Q242" s="192">
        <v>0</v>
      </c>
      <c r="R242" s="192">
        <v>0</v>
      </c>
      <c r="S242" s="192">
        <v>0</v>
      </c>
      <c r="T242" s="192">
        <v>0</v>
      </c>
      <c r="U242" s="192">
        <v>0</v>
      </c>
      <c r="V242" s="192">
        <v>0</v>
      </c>
      <c r="W242" s="192">
        <v>0</v>
      </c>
      <c r="X242" s="192">
        <v>0</v>
      </c>
      <c r="Y242" s="192">
        <v>0</v>
      </c>
      <c r="Z242" s="192">
        <v>0</v>
      </c>
      <c r="AA242" s="192">
        <v>0</v>
      </c>
      <c r="AB242" s="192">
        <v>0</v>
      </c>
      <c r="AC242" s="192">
        <v>0</v>
      </c>
      <c r="AD242" s="192">
        <v>5</v>
      </c>
      <c r="AE242" s="192">
        <v>1</v>
      </c>
      <c r="AF242" s="193">
        <v>0</v>
      </c>
      <c r="AG242" s="193">
        <v>0</v>
      </c>
      <c r="AH242" s="193">
        <v>0</v>
      </c>
      <c r="AI242" s="193">
        <v>0</v>
      </c>
      <c r="AJ242" s="193">
        <v>750000</v>
      </c>
      <c r="AK242" s="193">
        <v>150000</v>
      </c>
      <c r="AL242" s="193">
        <v>0</v>
      </c>
      <c r="AM242" s="193">
        <v>0</v>
      </c>
      <c r="AN242" s="193">
        <v>0</v>
      </c>
      <c r="AO242" s="193">
        <v>0</v>
      </c>
      <c r="AP242" s="193">
        <v>0</v>
      </c>
      <c r="AQ242" s="193">
        <v>0</v>
      </c>
      <c r="AR242" s="193">
        <v>0</v>
      </c>
      <c r="AS242" s="193">
        <v>0</v>
      </c>
      <c r="AT242" s="193">
        <v>0</v>
      </c>
      <c r="AU242" s="193">
        <v>0</v>
      </c>
      <c r="AV242" s="193">
        <v>0</v>
      </c>
      <c r="AW242" s="193">
        <v>0</v>
      </c>
      <c r="AX242" s="193">
        <v>0</v>
      </c>
      <c r="AY242" s="193">
        <v>0</v>
      </c>
      <c r="AZ242" s="193">
        <v>0</v>
      </c>
      <c r="BA242" s="193">
        <v>0</v>
      </c>
      <c r="BB242" s="193">
        <v>0</v>
      </c>
      <c r="BC242" s="193">
        <v>0</v>
      </c>
      <c r="BD242" s="193">
        <v>0</v>
      </c>
      <c r="BE242" s="193">
        <v>0</v>
      </c>
      <c r="BF242" s="193">
        <v>750000</v>
      </c>
      <c r="BG242" s="193">
        <v>150000</v>
      </c>
      <c r="BH242" s="193">
        <v>900000</v>
      </c>
    </row>
    <row r="243" spans="1:60" s="188" customFormat="1">
      <c r="A243" s="189">
        <v>-15</v>
      </c>
      <c r="B243" s="199" t="s">
        <v>1044</v>
      </c>
      <c r="C243" s="191">
        <v>150000</v>
      </c>
      <c r="D243" s="192">
        <v>0</v>
      </c>
      <c r="E243" s="192">
        <v>0</v>
      </c>
      <c r="F243" s="192">
        <v>0</v>
      </c>
      <c r="G243" s="192">
        <v>0</v>
      </c>
      <c r="H243" s="192">
        <v>0</v>
      </c>
      <c r="I243" s="192">
        <v>7</v>
      </c>
      <c r="J243" s="192">
        <v>0</v>
      </c>
      <c r="K243" s="192">
        <v>0</v>
      </c>
      <c r="L243" s="192">
        <v>0</v>
      </c>
      <c r="M243" s="192">
        <v>0</v>
      </c>
      <c r="N243" s="192">
        <v>0</v>
      </c>
      <c r="O243" s="192">
        <v>0</v>
      </c>
      <c r="P243" s="192">
        <v>0</v>
      </c>
      <c r="Q243" s="192">
        <v>0</v>
      </c>
      <c r="R243" s="192">
        <v>0</v>
      </c>
      <c r="S243" s="192">
        <v>0</v>
      </c>
      <c r="T243" s="192">
        <v>0</v>
      </c>
      <c r="U243" s="192">
        <v>0</v>
      </c>
      <c r="V243" s="192">
        <v>0</v>
      </c>
      <c r="W243" s="192">
        <v>0</v>
      </c>
      <c r="X243" s="192">
        <v>0</v>
      </c>
      <c r="Y243" s="192">
        <v>0</v>
      </c>
      <c r="Z243" s="192">
        <v>0</v>
      </c>
      <c r="AA243" s="192">
        <v>0</v>
      </c>
      <c r="AB243" s="192">
        <v>0</v>
      </c>
      <c r="AC243" s="192">
        <v>0</v>
      </c>
      <c r="AD243" s="192">
        <v>0</v>
      </c>
      <c r="AE243" s="192">
        <v>7</v>
      </c>
      <c r="AF243" s="193">
        <v>0</v>
      </c>
      <c r="AG243" s="193">
        <v>0</v>
      </c>
      <c r="AH243" s="193">
        <v>0</v>
      </c>
      <c r="AI243" s="193">
        <v>0</v>
      </c>
      <c r="AJ243" s="193">
        <v>0</v>
      </c>
      <c r="AK243" s="193">
        <v>1050000</v>
      </c>
      <c r="AL243" s="193">
        <v>0</v>
      </c>
      <c r="AM243" s="193">
        <v>0</v>
      </c>
      <c r="AN243" s="193">
        <v>0</v>
      </c>
      <c r="AO243" s="193">
        <v>0</v>
      </c>
      <c r="AP243" s="193">
        <v>0</v>
      </c>
      <c r="AQ243" s="193">
        <v>0</v>
      </c>
      <c r="AR243" s="193">
        <v>0</v>
      </c>
      <c r="AS243" s="193">
        <v>0</v>
      </c>
      <c r="AT243" s="193">
        <v>0</v>
      </c>
      <c r="AU243" s="193">
        <v>0</v>
      </c>
      <c r="AV243" s="193">
        <v>0</v>
      </c>
      <c r="AW243" s="193">
        <v>0</v>
      </c>
      <c r="AX243" s="193">
        <v>0</v>
      </c>
      <c r="AY243" s="193">
        <v>0</v>
      </c>
      <c r="AZ243" s="193">
        <v>0</v>
      </c>
      <c r="BA243" s="193">
        <v>0</v>
      </c>
      <c r="BB243" s="193">
        <v>0</v>
      </c>
      <c r="BC243" s="193">
        <v>0</v>
      </c>
      <c r="BD243" s="193">
        <v>0</v>
      </c>
      <c r="BE243" s="193">
        <v>0</v>
      </c>
      <c r="BF243" s="193">
        <v>0</v>
      </c>
      <c r="BG243" s="193">
        <v>1050000</v>
      </c>
      <c r="BH243" s="193">
        <v>1050000</v>
      </c>
    </row>
    <row r="244" spans="1:60" s="188" customFormat="1">
      <c r="A244" s="215">
        <v>-16</v>
      </c>
      <c r="B244" s="216" t="s">
        <v>1045</v>
      </c>
      <c r="C244" s="214">
        <v>250000</v>
      </c>
      <c r="D244" s="192">
        <v>0</v>
      </c>
      <c r="E244" s="192">
        <v>0</v>
      </c>
      <c r="F244" s="192">
        <v>0</v>
      </c>
      <c r="G244" s="192">
        <v>0</v>
      </c>
      <c r="H244" s="192">
        <v>1</v>
      </c>
      <c r="I244" s="192">
        <v>0</v>
      </c>
      <c r="J244" s="192">
        <v>0</v>
      </c>
      <c r="K244" s="192">
        <v>0</v>
      </c>
      <c r="L244" s="192">
        <v>0</v>
      </c>
      <c r="M244" s="192">
        <v>0</v>
      </c>
      <c r="N244" s="192">
        <v>0</v>
      </c>
      <c r="O244" s="192">
        <v>0</v>
      </c>
      <c r="P244" s="192">
        <v>0</v>
      </c>
      <c r="Q244" s="192">
        <v>0</v>
      </c>
      <c r="R244" s="192">
        <v>0</v>
      </c>
      <c r="S244" s="192">
        <v>0</v>
      </c>
      <c r="T244" s="192">
        <v>0</v>
      </c>
      <c r="U244" s="192">
        <v>0</v>
      </c>
      <c r="V244" s="192">
        <v>0</v>
      </c>
      <c r="W244" s="192">
        <v>0</v>
      </c>
      <c r="X244" s="192">
        <v>0</v>
      </c>
      <c r="Y244" s="192">
        <v>0</v>
      </c>
      <c r="Z244" s="192">
        <v>0</v>
      </c>
      <c r="AA244" s="192">
        <v>0</v>
      </c>
      <c r="AB244" s="192">
        <v>0</v>
      </c>
      <c r="AC244" s="192">
        <v>0</v>
      </c>
      <c r="AD244" s="192">
        <v>1</v>
      </c>
      <c r="AE244" s="192">
        <v>0</v>
      </c>
      <c r="AF244" s="193">
        <v>0</v>
      </c>
      <c r="AG244" s="193">
        <v>0</v>
      </c>
      <c r="AH244" s="193">
        <v>0</v>
      </c>
      <c r="AI244" s="193">
        <v>0</v>
      </c>
      <c r="AJ244" s="193">
        <v>250000</v>
      </c>
      <c r="AK244" s="193">
        <v>0</v>
      </c>
      <c r="AL244" s="193">
        <v>0</v>
      </c>
      <c r="AM244" s="193">
        <v>0</v>
      </c>
      <c r="AN244" s="193">
        <v>0</v>
      </c>
      <c r="AO244" s="193">
        <v>0</v>
      </c>
      <c r="AP244" s="193">
        <v>0</v>
      </c>
      <c r="AQ244" s="193">
        <v>0</v>
      </c>
      <c r="AR244" s="193">
        <v>0</v>
      </c>
      <c r="AS244" s="193">
        <v>0</v>
      </c>
      <c r="AT244" s="193">
        <v>0</v>
      </c>
      <c r="AU244" s="193">
        <v>0</v>
      </c>
      <c r="AV244" s="193">
        <v>0</v>
      </c>
      <c r="AW244" s="193">
        <v>0</v>
      </c>
      <c r="AX244" s="193">
        <v>0</v>
      </c>
      <c r="AY244" s="193">
        <v>0</v>
      </c>
      <c r="AZ244" s="193">
        <v>0</v>
      </c>
      <c r="BA244" s="193">
        <v>0</v>
      </c>
      <c r="BB244" s="193">
        <v>0</v>
      </c>
      <c r="BC244" s="193">
        <v>0</v>
      </c>
      <c r="BD244" s="193">
        <v>0</v>
      </c>
      <c r="BE244" s="193">
        <v>0</v>
      </c>
      <c r="BF244" s="193">
        <v>250000</v>
      </c>
      <c r="BG244" s="193">
        <v>0</v>
      </c>
      <c r="BH244" s="193">
        <v>250000</v>
      </c>
    </row>
    <row r="245" spans="1:60" s="188" customFormat="1">
      <c r="A245" s="189">
        <v>-17</v>
      </c>
      <c r="B245" s="216" t="s">
        <v>1046</v>
      </c>
      <c r="C245" s="214">
        <v>260000</v>
      </c>
      <c r="D245" s="192">
        <v>0</v>
      </c>
      <c r="E245" s="192">
        <v>0</v>
      </c>
      <c r="F245" s="192">
        <v>0</v>
      </c>
      <c r="G245" s="192">
        <v>0</v>
      </c>
      <c r="H245" s="192">
        <v>1</v>
      </c>
      <c r="I245" s="192">
        <v>0</v>
      </c>
      <c r="J245" s="192">
        <v>0</v>
      </c>
      <c r="K245" s="192">
        <v>0</v>
      </c>
      <c r="L245" s="192">
        <v>0</v>
      </c>
      <c r="M245" s="192">
        <v>0</v>
      </c>
      <c r="N245" s="192">
        <v>0</v>
      </c>
      <c r="O245" s="192">
        <v>0</v>
      </c>
      <c r="P245" s="192">
        <v>0</v>
      </c>
      <c r="Q245" s="192">
        <v>0</v>
      </c>
      <c r="R245" s="192">
        <v>0</v>
      </c>
      <c r="S245" s="192">
        <v>0</v>
      </c>
      <c r="T245" s="192">
        <v>0</v>
      </c>
      <c r="U245" s="192">
        <v>0</v>
      </c>
      <c r="V245" s="192">
        <v>0</v>
      </c>
      <c r="W245" s="192">
        <v>0</v>
      </c>
      <c r="X245" s="192">
        <v>0</v>
      </c>
      <c r="Y245" s="192">
        <v>0</v>
      </c>
      <c r="Z245" s="192">
        <v>0</v>
      </c>
      <c r="AA245" s="192">
        <v>0</v>
      </c>
      <c r="AB245" s="192">
        <v>0</v>
      </c>
      <c r="AC245" s="192">
        <v>0</v>
      </c>
      <c r="AD245" s="192">
        <v>1</v>
      </c>
      <c r="AE245" s="192">
        <v>0</v>
      </c>
      <c r="AF245" s="193">
        <v>0</v>
      </c>
      <c r="AG245" s="193">
        <v>0</v>
      </c>
      <c r="AH245" s="193">
        <v>0</v>
      </c>
      <c r="AI245" s="193">
        <v>0</v>
      </c>
      <c r="AJ245" s="193">
        <v>260000</v>
      </c>
      <c r="AK245" s="193">
        <v>0</v>
      </c>
      <c r="AL245" s="193">
        <v>0</v>
      </c>
      <c r="AM245" s="193">
        <v>0</v>
      </c>
      <c r="AN245" s="193">
        <v>0</v>
      </c>
      <c r="AO245" s="193">
        <v>0</v>
      </c>
      <c r="AP245" s="193">
        <v>0</v>
      </c>
      <c r="AQ245" s="193">
        <v>0</v>
      </c>
      <c r="AR245" s="193">
        <v>0</v>
      </c>
      <c r="AS245" s="193">
        <v>0</v>
      </c>
      <c r="AT245" s="193">
        <v>0</v>
      </c>
      <c r="AU245" s="193">
        <v>0</v>
      </c>
      <c r="AV245" s="193">
        <v>0</v>
      </c>
      <c r="AW245" s="193">
        <v>0</v>
      </c>
      <c r="AX245" s="193">
        <v>0</v>
      </c>
      <c r="AY245" s="193">
        <v>0</v>
      </c>
      <c r="AZ245" s="193">
        <v>0</v>
      </c>
      <c r="BA245" s="193">
        <v>0</v>
      </c>
      <c r="BB245" s="193">
        <v>0</v>
      </c>
      <c r="BC245" s="193">
        <v>0</v>
      </c>
      <c r="BD245" s="193">
        <v>0</v>
      </c>
      <c r="BE245" s="193">
        <v>0</v>
      </c>
      <c r="BF245" s="193">
        <v>260000</v>
      </c>
      <c r="BG245" s="193">
        <v>0</v>
      </c>
      <c r="BH245" s="193">
        <v>260000</v>
      </c>
    </row>
    <row r="246" spans="1:60" s="188" customFormat="1">
      <c r="A246" s="215">
        <v>-18</v>
      </c>
      <c r="B246" s="199" t="s">
        <v>1047</v>
      </c>
      <c r="C246" s="191">
        <v>280000</v>
      </c>
      <c r="D246" s="192">
        <v>0</v>
      </c>
      <c r="E246" s="192">
        <v>0</v>
      </c>
      <c r="F246" s="192">
        <v>0</v>
      </c>
      <c r="G246" s="192">
        <v>0</v>
      </c>
      <c r="H246" s="192">
        <v>1</v>
      </c>
      <c r="I246" s="192">
        <v>0</v>
      </c>
      <c r="J246" s="192">
        <v>0</v>
      </c>
      <c r="K246" s="192">
        <v>0</v>
      </c>
      <c r="L246" s="192">
        <v>0</v>
      </c>
      <c r="M246" s="192">
        <v>0</v>
      </c>
      <c r="N246" s="192">
        <v>0</v>
      </c>
      <c r="O246" s="192">
        <v>0</v>
      </c>
      <c r="P246" s="192">
        <v>0</v>
      </c>
      <c r="Q246" s="192">
        <v>0</v>
      </c>
      <c r="R246" s="192">
        <v>0</v>
      </c>
      <c r="S246" s="192">
        <v>0</v>
      </c>
      <c r="T246" s="192">
        <v>0</v>
      </c>
      <c r="U246" s="192">
        <v>0</v>
      </c>
      <c r="V246" s="192">
        <v>0</v>
      </c>
      <c r="W246" s="192">
        <v>0</v>
      </c>
      <c r="X246" s="192">
        <v>0</v>
      </c>
      <c r="Y246" s="192">
        <v>0</v>
      </c>
      <c r="Z246" s="192">
        <v>0</v>
      </c>
      <c r="AA246" s="192">
        <v>0</v>
      </c>
      <c r="AB246" s="192">
        <v>0</v>
      </c>
      <c r="AC246" s="192">
        <v>0</v>
      </c>
      <c r="AD246" s="192">
        <v>1</v>
      </c>
      <c r="AE246" s="192">
        <v>0</v>
      </c>
      <c r="AF246" s="193">
        <v>0</v>
      </c>
      <c r="AG246" s="193">
        <v>0</v>
      </c>
      <c r="AH246" s="193">
        <v>0</v>
      </c>
      <c r="AI246" s="193">
        <v>0</v>
      </c>
      <c r="AJ246" s="193">
        <v>280000</v>
      </c>
      <c r="AK246" s="193">
        <v>0</v>
      </c>
      <c r="AL246" s="193">
        <v>0</v>
      </c>
      <c r="AM246" s="193">
        <v>0</v>
      </c>
      <c r="AN246" s="193">
        <v>0</v>
      </c>
      <c r="AO246" s="193">
        <v>0</v>
      </c>
      <c r="AP246" s="193">
        <v>0</v>
      </c>
      <c r="AQ246" s="193">
        <v>0</v>
      </c>
      <c r="AR246" s="193">
        <v>0</v>
      </c>
      <c r="AS246" s="193">
        <v>0</v>
      </c>
      <c r="AT246" s="193">
        <v>0</v>
      </c>
      <c r="AU246" s="193">
        <v>0</v>
      </c>
      <c r="AV246" s="193">
        <v>0</v>
      </c>
      <c r="AW246" s="193">
        <v>0</v>
      </c>
      <c r="AX246" s="193">
        <v>0</v>
      </c>
      <c r="AY246" s="193">
        <v>0</v>
      </c>
      <c r="AZ246" s="193">
        <v>0</v>
      </c>
      <c r="BA246" s="193">
        <v>0</v>
      </c>
      <c r="BB246" s="193">
        <v>0</v>
      </c>
      <c r="BC246" s="193">
        <v>0</v>
      </c>
      <c r="BD246" s="193">
        <v>0</v>
      </c>
      <c r="BE246" s="193">
        <v>0</v>
      </c>
      <c r="BF246" s="193">
        <v>280000</v>
      </c>
      <c r="BG246" s="193">
        <v>0</v>
      </c>
      <c r="BH246" s="193">
        <v>280000</v>
      </c>
    </row>
    <row r="247" spans="1:60" s="188" customFormat="1">
      <c r="A247" s="189">
        <v>-19</v>
      </c>
      <c r="B247" s="216" t="s">
        <v>1048</v>
      </c>
      <c r="C247" s="214">
        <v>600000</v>
      </c>
      <c r="D247" s="192">
        <v>0</v>
      </c>
      <c r="E247" s="192">
        <v>0</v>
      </c>
      <c r="F247" s="192">
        <v>0</v>
      </c>
      <c r="G247" s="192">
        <v>0</v>
      </c>
      <c r="H247" s="192">
        <v>1</v>
      </c>
      <c r="I247" s="192">
        <v>0</v>
      </c>
      <c r="J247" s="192">
        <v>0</v>
      </c>
      <c r="K247" s="192">
        <v>0</v>
      </c>
      <c r="L247" s="192">
        <v>0</v>
      </c>
      <c r="M247" s="192">
        <v>0</v>
      </c>
      <c r="N247" s="192">
        <v>0</v>
      </c>
      <c r="O247" s="192">
        <v>0</v>
      </c>
      <c r="P247" s="192">
        <v>0</v>
      </c>
      <c r="Q247" s="192">
        <v>0</v>
      </c>
      <c r="R247" s="192">
        <v>0</v>
      </c>
      <c r="S247" s="192">
        <v>0</v>
      </c>
      <c r="T247" s="192">
        <v>0</v>
      </c>
      <c r="U247" s="192">
        <v>0</v>
      </c>
      <c r="V247" s="192">
        <v>0</v>
      </c>
      <c r="W247" s="192">
        <v>0</v>
      </c>
      <c r="X247" s="192">
        <v>0</v>
      </c>
      <c r="Y247" s="192">
        <v>0</v>
      </c>
      <c r="Z247" s="192">
        <v>0</v>
      </c>
      <c r="AA247" s="192">
        <v>0</v>
      </c>
      <c r="AB247" s="192">
        <v>0</v>
      </c>
      <c r="AC247" s="192">
        <v>0</v>
      </c>
      <c r="AD247" s="192">
        <v>1</v>
      </c>
      <c r="AE247" s="192">
        <v>0</v>
      </c>
      <c r="AF247" s="193">
        <v>0</v>
      </c>
      <c r="AG247" s="193">
        <v>0</v>
      </c>
      <c r="AH247" s="193">
        <v>0</v>
      </c>
      <c r="AI247" s="193">
        <v>0</v>
      </c>
      <c r="AJ247" s="193">
        <v>600000</v>
      </c>
      <c r="AK247" s="193">
        <v>0</v>
      </c>
      <c r="AL247" s="193">
        <v>0</v>
      </c>
      <c r="AM247" s="193">
        <v>0</v>
      </c>
      <c r="AN247" s="193">
        <v>0</v>
      </c>
      <c r="AO247" s="193">
        <v>0</v>
      </c>
      <c r="AP247" s="193">
        <v>0</v>
      </c>
      <c r="AQ247" s="193">
        <v>0</v>
      </c>
      <c r="AR247" s="193">
        <v>0</v>
      </c>
      <c r="AS247" s="193">
        <v>0</v>
      </c>
      <c r="AT247" s="193">
        <v>0</v>
      </c>
      <c r="AU247" s="193">
        <v>0</v>
      </c>
      <c r="AV247" s="193">
        <v>0</v>
      </c>
      <c r="AW247" s="193">
        <v>0</v>
      </c>
      <c r="AX247" s="193">
        <v>0</v>
      </c>
      <c r="AY247" s="193">
        <v>0</v>
      </c>
      <c r="AZ247" s="193">
        <v>0</v>
      </c>
      <c r="BA247" s="193">
        <v>0</v>
      </c>
      <c r="BB247" s="193">
        <v>0</v>
      </c>
      <c r="BC247" s="193">
        <v>0</v>
      </c>
      <c r="BD247" s="193">
        <v>0</v>
      </c>
      <c r="BE247" s="193">
        <v>0</v>
      </c>
      <c r="BF247" s="193">
        <v>600000</v>
      </c>
      <c r="BG247" s="193">
        <v>0</v>
      </c>
      <c r="BH247" s="193">
        <v>600000</v>
      </c>
    </row>
    <row r="248" spans="1:60" s="188" customFormat="1">
      <c r="A248" s="215">
        <v>-20</v>
      </c>
      <c r="B248" s="190" t="s">
        <v>1049</v>
      </c>
      <c r="C248" s="191">
        <v>1500000</v>
      </c>
      <c r="D248" s="192">
        <v>0</v>
      </c>
      <c r="E248" s="192">
        <v>0</v>
      </c>
      <c r="F248" s="192">
        <v>0</v>
      </c>
      <c r="G248" s="192">
        <v>0</v>
      </c>
      <c r="H248" s="192">
        <v>1</v>
      </c>
      <c r="I248" s="192">
        <v>0</v>
      </c>
      <c r="J248" s="192">
        <v>0</v>
      </c>
      <c r="K248" s="192">
        <v>0</v>
      </c>
      <c r="L248" s="192">
        <v>0</v>
      </c>
      <c r="M248" s="192">
        <v>0</v>
      </c>
      <c r="N248" s="192">
        <v>0</v>
      </c>
      <c r="O248" s="192">
        <v>0</v>
      </c>
      <c r="P248" s="192">
        <v>0</v>
      </c>
      <c r="Q248" s="192">
        <v>0</v>
      </c>
      <c r="R248" s="192">
        <v>0</v>
      </c>
      <c r="S248" s="192">
        <v>0</v>
      </c>
      <c r="T248" s="192">
        <v>0</v>
      </c>
      <c r="U248" s="192">
        <v>0</v>
      </c>
      <c r="V248" s="192">
        <v>0</v>
      </c>
      <c r="W248" s="192">
        <v>0</v>
      </c>
      <c r="X248" s="192">
        <v>0</v>
      </c>
      <c r="Y248" s="192">
        <v>0</v>
      </c>
      <c r="Z248" s="192">
        <v>0</v>
      </c>
      <c r="AA248" s="192">
        <v>0</v>
      </c>
      <c r="AB248" s="192">
        <v>0</v>
      </c>
      <c r="AC248" s="192">
        <v>0</v>
      </c>
      <c r="AD248" s="192">
        <v>1</v>
      </c>
      <c r="AE248" s="192">
        <v>0</v>
      </c>
      <c r="AF248" s="193">
        <v>0</v>
      </c>
      <c r="AG248" s="193">
        <v>0</v>
      </c>
      <c r="AH248" s="193">
        <v>0</v>
      </c>
      <c r="AI248" s="193">
        <v>0</v>
      </c>
      <c r="AJ248" s="193">
        <v>1500000</v>
      </c>
      <c r="AK248" s="193">
        <v>0</v>
      </c>
      <c r="AL248" s="193">
        <v>0</v>
      </c>
      <c r="AM248" s="193">
        <v>0</v>
      </c>
      <c r="AN248" s="193">
        <v>0</v>
      </c>
      <c r="AO248" s="193">
        <v>0</v>
      </c>
      <c r="AP248" s="193">
        <v>0</v>
      </c>
      <c r="AQ248" s="193">
        <v>0</v>
      </c>
      <c r="AR248" s="193">
        <v>0</v>
      </c>
      <c r="AS248" s="193">
        <v>0</v>
      </c>
      <c r="AT248" s="193">
        <v>0</v>
      </c>
      <c r="AU248" s="193">
        <v>0</v>
      </c>
      <c r="AV248" s="193">
        <v>0</v>
      </c>
      <c r="AW248" s="193">
        <v>0</v>
      </c>
      <c r="AX248" s="193">
        <v>0</v>
      </c>
      <c r="AY248" s="193">
        <v>0</v>
      </c>
      <c r="AZ248" s="193">
        <v>0</v>
      </c>
      <c r="BA248" s="193">
        <v>0</v>
      </c>
      <c r="BB248" s="193">
        <v>0</v>
      </c>
      <c r="BC248" s="193">
        <v>0</v>
      </c>
      <c r="BD248" s="193">
        <v>0</v>
      </c>
      <c r="BE248" s="193">
        <v>0</v>
      </c>
      <c r="BF248" s="193">
        <v>1500000</v>
      </c>
      <c r="BG248" s="193">
        <v>0</v>
      </c>
      <c r="BH248" s="193">
        <v>1500000</v>
      </c>
    </row>
    <row r="249" spans="1:60" s="188" customFormat="1">
      <c r="A249" s="189">
        <v>-21</v>
      </c>
      <c r="B249" s="190" t="s">
        <v>1050</v>
      </c>
      <c r="C249" s="191">
        <v>1500000</v>
      </c>
      <c r="D249" s="192">
        <v>0</v>
      </c>
      <c r="E249" s="192">
        <v>0</v>
      </c>
      <c r="F249" s="192">
        <v>0</v>
      </c>
      <c r="G249" s="192">
        <v>0</v>
      </c>
      <c r="H249" s="192">
        <v>0</v>
      </c>
      <c r="I249" s="192">
        <v>1</v>
      </c>
      <c r="J249" s="192">
        <v>0</v>
      </c>
      <c r="K249" s="192">
        <v>0</v>
      </c>
      <c r="L249" s="192">
        <v>0</v>
      </c>
      <c r="M249" s="192">
        <v>0</v>
      </c>
      <c r="N249" s="192">
        <v>0</v>
      </c>
      <c r="O249" s="192">
        <v>0</v>
      </c>
      <c r="P249" s="192">
        <v>0</v>
      </c>
      <c r="Q249" s="192">
        <v>0</v>
      </c>
      <c r="R249" s="192">
        <v>0</v>
      </c>
      <c r="S249" s="192">
        <v>0</v>
      </c>
      <c r="T249" s="192">
        <v>0</v>
      </c>
      <c r="U249" s="192">
        <v>0</v>
      </c>
      <c r="V249" s="192">
        <v>0</v>
      </c>
      <c r="W249" s="192">
        <v>0</v>
      </c>
      <c r="X249" s="192">
        <v>0</v>
      </c>
      <c r="Y249" s="192">
        <v>0</v>
      </c>
      <c r="Z249" s="192">
        <v>0</v>
      </c>
      <c r="AA249" s="192">
        <v>0</v>
      </c>
      <c r="AB249" s="192">
        <v>0</v>
      </c>
      <c r="AC249" s="192">
        <v>0</v>
      </c>
      <c r="AD249" s="192">
        <v>0</v>
      </c>
      <c r="AE249" s="192">
        <v>1</v>
      </c>
      <c r="AF249" s="193">
        <v>0</v>
      </c>
      <c r="AG249" s="193">
        <v>0</v>
      </c>
      <c r="AH249" s="193">
        <v>0</v>
      </c>
      <c r="AI249" s="193">
        <v>0</v>
      </c>
      <c r="AJ249" s="193">
        <v>0</v>
      </c>
      <c r="AK249" s="193">
        <v>1500000</v>
      </c>
      <c r="AL249" s="193">
        <v>0</v>
      </c>
      <c r="AM249" s="193">
        <v>0</v>
      </c>
      <c r="AN249" s="193">
        <v>0</v>
      </c>
      <c r="AO249" s="193">
        <v>0</v>
      </c>
      <c r="AP249" s="193">
        <v>0</v>
      </c>
      <c r="AQ249" s="193">
        <v>0</v>
      </c>
      <c r="AR249" s="193">
        <v>0</v>
      </c>
      <c r="AS249" s="193">
        <v>0</v>
      </c>
      <c r="AT249" s="193">
        <v>0</v>
      </c>
      <c r="AU249" s="193">
        <v>0</v>
      </c>
      <c r="AV249" s="193">
        <v>0</v>
      </c>
      <c r="AW249" s="193">
        <v>0</v>
      </c>
      <c r="AX249" s="193">
        <v>0</v>
      </c>
      <c r="AY249" s="193">
        <v>0</v>
      </c>
      <c r="AZ249" s="193">
        <v>0</v>
      </c>
      <c r="BA249" s="193">
        <v>0</v>
      </c>
      <c r="BB249" s="193">
        <v>0</v>
      </c>
      <c r="BC249" s="193">
        <v>0</v>
      </c>
      <c r="BD249" s="193">
        <v>0</v>
      </c>
      <c r="BE249" s="193">
        <v>0</v>
      </c>
      <c r="BF249" s="193">
        <v>0</v>
      </c>
      <c r="BG249" s="193">
        <v>1500000</v>
      </c>
      <c r="BH249" s="193">
        <v>1500000</v>
      </c>
    </row>
    <row r="250" spans="1:60" s="188" customFormat="1">
      <c r="A250" s="215">
        <v>-22</v>
      </c>
      <c r="B250" s="198" t="s">
        <v>1051</v>
      </c>
      <c r="C250" s="191">
        <v>1500000</v>
      </c>
      <c r="D250" s="192">
        <v>0</v>
      </c>
      <c r="E250" s="192">
        <v>0</v>
      </c>
      <c r="F250" s="192">
        <v>0</v>
      </c>
      <c r="G250" s="192">
        <v>0</v>
      </c>
      <c r="H250" s="192">
        <v>0</v>
      </c>
      <c r="I250" s="192">
        <v>0</v>
      </c>
      <c r="J250" s="192">
        <v>0</v>
      </c>
      <c r="K250" s="192">
        <v>0</v>
      </c>
      <c r="L250" s="192">
        <v>0</v>
      </c>
      <c r="M250" s="192">
        <v>0</v>
      </c>
      <c r="N250" s="192">
        <v>0</v>
      </c>
      <c r="O250" s="192">
        <v>0</v>
      </c>
      <c r="P250" s="192">
        <v>0</v>
      </c>
      <c r="Q250" s="192">
        <v>0</v>
      </c>
      <c r="R250" s="192">
        <v>0</v>
      </c>
      <c r="S250" s="192">
        <v>0</v>
      </c>
      <c r="T250" s="192">
        <v>0</v>
      </c>
      <c r="U250" s="192">
        <v>0</v>
      </c>
      <c r="V250" s="192">
        <v>0</v>
      </c>
      <c r="W250" s="192">
        <v>0</v>
      </c>
      <c r="X250" s="192">
        <v>0</v>
      </c>
      <c r="Y250" s="192">
        <v>0</v>
      </c>
      <c r="Z250" s="192">
        <v>0</v>
      </c>
      <c r="AA250" s="192">
        <v>0</v>
      </c>
      <c r="AB250" s="192">
        <v>0</v>
      </c>
      <c r="AC250" s="192">
        <v>0</v>
      </c>
      <c r="AD250" s="192">
        <v>0</v>
      </c>
      <c r="AE250" s="192">
        <v>0</v>
      </c>
      <c r="AF250" s="193">
        <v>0</v>
      </c>
      <c r="AG250" s="193">
        <v>0</v>
      </c>
      <c r="AH250" s="193">
        <v>0</v>
      </c>
      <c r="AI250" s="193">
        <v>0</v>
      </c>
      <c r="AJ250" s="193">
        <v>0</v>
      </c>
      <c r="AK250" s="193">
        <v>0</v>
      </c>
      <c r="AL250" s="193">
        <v>0</v>
      </c>
      <c r="AM250" s="193">
        <v>0</v>
      </c>
      <c r="AN250" s="193">
        <v>0</v>
      </c>
      <c r="AO250" s="193">
        <v>0</v>
      </c>
      <c r="AP250" s="193">
        <v>0</v>
      </c>
      <c r="AQ250" s="193">
        <v>0</v>
      </c>
      <c r="AR250" s="193">
        <v>0</v>
      </c>
      <c r="AS250" s="193">
        <v>0</v>
      </c>
      <c r="AT250" s="193">
        <v>0</v>
      </c>
      <c r="AU250" s="193">
        <v>0</v>
      </c>
      <c r="AV250" s="193">
        <v>0</v>
      </c>
      <c r="AW250" s="193">
        <v>0</v>
      </c>
      <c r="AX250" s="193">
        <v>0</v>
      </c>
      <c r="AY250" s="193">
        <v>0</v>
      </c>
      <c r="AZ250" s="193">
        <v>0</v>
      </c>
      <c r="BA250" s="193">
        <v>0</v>
      </c>
      <c r="BB250" s="193">
        <v>0</v>
      </c>
      <c r="BC250" s="193">
        <v>0</v>
      </c>
      <c r="BD250" s="193">
        <v>0</v>
      </c>
      <c r="BE250" s="193">
        <v>0</v>
      </c>
      <c r="BF250" s="193">
        <v>0</v>
      </c>
      <c r="BG250" s="193">
        <v>0</v>
      </c>
      <c r="BH250" s="193">
        <v>0</v>
      </c>
    </row>
    <row r="251" spans="1:60" s="188" customFormat="1">
      <c r="A251" s="189">
        <v>-23</v>
      </c>
      <c r="B251" s="190" t="s">
        <v>1052</v>
      </c>
      <c r="C251" s="191">
        <v>2500000</v>
      </c>
      <c r="D251" s="192">
        <v>0</v>
      </c>
      <c r="E251" s="192">
        <v>0</v>
      </c>
      <c r="F251" s="192">
        <v>0</v>
      </c>
      <c r="G251" s="192">
        <v>0</v>
      </c>
      <c r="H251" s="192">
        <v>1</v>
      </c>
      <c r="I251" s="192">
        <v>0</v>
      </c>
      <c r="J251" s="192">
        <v>0</v>
      </c>
      <c r="K251" s="192">
        <v>0</v>
      </c>
      <c r="L251" s="192">
        <v>0</v>
      </c>
      <c r="M251" s="192">
        <v>0</v>
      </c>
      <c r="N251" s="192">
        <v>0</v>
      </c>
      <c r="O251" s="192">
        <v>0</v>
      </c>
      <c r="P251" s="192">
        <v>0</v>
      </c>
      <c r="Q251" s="192">
        <v>0</v>
      </c>
      <c r="R251" s="192">
        <v>0</v>
      </c>
      <c r="S251" s="192">
        <v>0</v>
      </c>
      <c r="T251" s="192">
        <v>0</v>
      </c>
      <c r="U251" s="192">
        <v>0</v>
      </c>
      <c r="V251" s="192">
        <v>0</v>
      </c>
      <c r="W251" s="192">
        <v>0</v>
      </c>
      <c r="X251" s="192">
        <v>0</v>
      </c>
      <c r="Y251" s="192">
        <v>0</v>
      </c>
      <c r="Z251" s="192">
        <v>0</v>
      </c>
      <c r="AA251" s="192">
        <v>0</v>
      </c>
      <c r="AB251" s="192">
        <v>0</v>
      </c>
      <c r="AC251" s="192">
        <v>0</v>
      </c>
      <c r="AD251" s="192">
        <v>1</v>
      </c>
      <c r="AE251" s="192">
        <v>0</v>
      </c>
      <c r="AF251" s="193">
        <v>0</v>
      </c>
      <c r="AG251" s="193">
        <v>0</v>
      </c>
      <c r="AH251" s="193">
        <v>0</v>
      </c>
      <c r="AI251" s="193">
        <v>0</v>
      </c>
      <c r="AJ251" s="193">
        <v>2500000</v>
      </c>
      <c r="AK251" s="193">
        <v>0</v>
      </c>
      <c r="AL251" s="193">
        <v>0</v>
      </c>
      <c r="AM251" s="193">
        <v>0</v>
      </c>
      <c r="AN251" s="193">
        <v>0</v>
      </c>
      <c r="AO251" s="193">
        <v>0</v>
      </c>
      <c r="AP251" s="193">
        <v>0</v>
      </c>
      <c r="AQ251" s="193">
        <v>0</v>
      </c>
      <c r="AR251" s="193">
        <v>0</v>
      </c>
      <c r="AS251" s="193">
        <v>0</v>
      </c>
      <c r="AT251" s="193">
        <v>0</v>
      </c>
      <c r="AU251" s="193">
        <v>0</v>
      </c>
      <c r="AV251" s="193">
        <v>0</v>
      </c>
      <c r="AW251" s="193">
        <v>0</v>
      </c>
      <c r="AX251" s="193">
        <v>0</v>
      </c>
      <c r="AY251" s="193">
        <v>0</v>
      </c>
      <c r="AZ251" s="193">
        <v>0</v>
      </c>
      <c r="BA251" s="193">
        <v>0</v>
      </c>
      <c r="BB251" s="193">
        <v>0</v>
      </c>
      <c r="BC251" s="193">
        <v>0</v>
      </c>
      <c r="BD251" s="193">
        <v>0</v>
      </c>
      <c r="BE251" s="193">
        <v>0</v>
      </c>
      <c r="BF251" s="193">
        <v>2500000</v>
      </c>
      <c r="BG251" s="193">
        <v>0</v>
      </c>
      <c r="BH251" s="193">
        <v>2500000</v>
      </c>
    </row>
    <row r="252" spans="1:60" s="188" customFormat="1">
      <c r="A252" s="215">
        <v>-24</v>
      </c>
      <c r="B252" s="190" t="s">
        <v>1053</v>
      </c>
      <c r="C252" s="191">
        <v>12000000</v>
      </c>
      <c r="D252" s="192">
        <v>0</v>
      </c>
      <c r="E252" s="192">
        <v>0</v>
      </c>
      <c r="F252" s="192">
        <v>0</v>
      </c>
      <c r="G252" s="192">
        <v>0</v>
      </c>
      <c r="H252" s="192">
        <v>0</v>
      </c>
      <c r="I252" s="192">
        <v>0</v>
      </c>
      <c r="J252" s="192">
        <v>0</v>
      </c>
      <c r="K252" s="192">
        <v>0</v>
      </c>
      <c r="L252" s="192">
        <v>0</v>
      </c>
      <c r="M252" s="192">
        <v>0</v>
      </c>
      <c r="N252" s="192">
        <v>0</v>
      </c>
      <c r="O252" s="192">
        <v>0</v>
      </c>
      <c r="P252" s="192">
        <v>0</v>
      </c>
      <c r="Q252" s="192">
        <v>0</v>
      </c>
      <c r="R252" s="192">
        <v>0</v>
      </c>
      <c r="S252" s="192">
        <v>0</v>
      </c>
      <c r="T252" s="192">
        <v>0</v>
      </c>
      <c r="U252" s="192">
        <v>0</v>
      </c>
      <c r="V252" s="192">
        <v>0</v>
      </c>
      <c r="W252" s="192">
        <v>0</v>
      </c>
      <c r="X252" s="192">
        <v>0</v>
      </c>
      <c r="Y252" s="192">
        <v>0</v>
      </c>
      <c r="Z252" s="192">
        <v>0</v>
      </c>
      <c r="AA252" s="192">
        <v>0</v>
      </c>
      <c r="AB252" s="192">
        <v>0</v>
      </c>
      <c r="AC252" s="192">
        <v>0</v>
      </c>
      <c r="AD252" s="192">
        <v>0</v>
      </c>
      <c r="AE252" s="192">
        <v>0</v>
      </c>
      <c r="AF252" s="193">
        <v>0</v>
      </c>
      <c r="AG252" s="193">
        <v>0</v>
      </c>
      <c r="AH252" s="193">
        <v>0</v>
      </c>
      <c r="AI252" s="193">
        <v>0</v>
      </c>
      <c r="AJ252" s="193">
        <v>0</v>
      </c>
      <c r="AK252" s="193">
        <v>0</v>
      </c>
      <c r="AL252" s="193">
        <v>0</v>
      </c>
      <c r="AM252" s="193">
        <v>0</v>
      </c>
      <c r="AN252" s="193">
        <v>0</v>
      </c>
      <c r="AO252" s="193">
        <v>0</v>
      </c>
      <c r="AP252" s="193">
        <v>0</v>
      </c>
      <c r="AQ252" s="193">
        <v>0</v>
      </c>
      <c r="AR252" s="193">
        <v>0</v>
      </c>
      <c r="AS252" s="193">
        <v>0</v>
      </c>
      <c r="AT252" s="193">
        <v>0</v>
      </c>
      <c r="AU252" s="193">
        <v>0</v>
      </c>
      <c r="AV252" s="193">
        <v>0</v>
      </c>
      <c r="AW252" s="193">
        <v>0</v>
      </c>
      <c r="AX252" s="193">
        <v>0</v>
      </c>
      <c r="AY252" s="193">
        <v>0</v>
      </c>
      <c r="AZ252" s="193">
        <v>0</v>
      </c>
      <c r="BA252" s="193">
        <v>0</v>
      </c>
      <c r="BB252" s="193">
        <v>0</v>
      </c>
      <c r="BC252" s="193">
        <v>0</v>
      </c>
      <c r="BD252" s="193">
        <v>0</v>
      </c>
      <c r="BE252" s="193">
        <v>0</v>
      </c>
      <c r="BF252" s="193">
        <v>0</v>
      </c>
      <c r="BG252" s="193">
        <v>0</v>
      </c>
      <c r="BH252" s="193">
        <v>0</v>
      </c>
    </row>
    <row r="253" spans="1:60" collapsed="1">
      <c r="A253" s="196"/>
      <c r="B253" s="190" t="s">
        <v>1054</v>
      </c>
      <c r="C253" s="196"/>
      <c r="D253" s="192">
        <v>0</v>
      </c>
      <c r="E253" s="192">
        <v>0</v>
      </c>
      <c r="F253" s="192">
        <v>0</v>
      </c>
      <c r="G253" s="192">
        <v>0</v>
      </c>
      <c r="H253" s="192">
        <v>21</v>
      </c>
      <c r="I253" s="192">
        <v>12</v>
      </c>
      <c r="J253" s="192">
        <v>0</v>
      </c>
      <c r="K253" s="192">
        <v>0</v>
      </c>
      <c r="L253" s="192">
        <v>0</v>
      </c>
      <c r="M253" s="192">
        <v>0</v>
      </c>
      <c r="N253" s="192">
        <v>0</v>
      </c>
      <c r="O253" s="192">
        <v>0</v>
      </c>
      <c r="P253" s="192">
        <v>0</v>
      </c>
      <c r="Q253" s="192">
        <v>0</v>
      </c>
      <c r="R253" s="192">
        <v>0</v>
      </c>
      <c r="S253" s="192">
        <v>0</v>
      </c>
      <c r="T253" s="192">
        <v>0</v>
      </c>
      <c r="U253" s="192">
        <v>0</v>
      </c>
      <c r="V253" s="192">
        <v>0</v>
      </c>
      <c r="W253" s="192">
        <v>0</v>
      </c>
      <c r="X253" s="192">
        <v>0</v>
      </c>
      <c r="Y253" s="192">
        <v>0</v>
      </c>
      <c r="Z253" s="192">
        <v>0</v>
      </c>
      <c r="AA253" s="192">
        <v>0</v>
      </c>
      <c r="AB253" s="192">
        <v>0</v>
      </c>
      <c r="AC253" s="192">
        <v>0</v>
      </c>
      <c r="AD253" s="192">
        <v>21</v>
      </c>
      <c r="AE253" s="192">
        <v>12</v>
      </c>
      <c r="AF253" s="193">
        <v>0</v>
      </c>
      <c r="AG253" s="193">
        <v>0</v>
      </c>
      <c r="AH253" s="193">
        <v>0</v>
      </c>
      <c r="AI253" s="193">
        <v>0</v>
      </c>
      <c r="AJ253" s="193">
        <v>9010000</v>
      </c>
      <c r="AK253" s="193">
        <v>3300000</v>
      </c>
      <c r="AL253" s="193">
        <v>0</v>
      </c>
      <c r="AM253" s="193">
        <v>0</v>
      </c>
      <c r="AN253" s="193">
        <v>0</v>
      </c>
      <c r="AO253" s="193">
        <v>0</v>
      </c>
      <c r="AP253" s="193">
        <v>0</v>
      </c>
      <c r="AQ253" s="193">
        <v>0</v>
      </c>
      <c r="AR253" s="193">
        <v>0</v>
      </c>
      <c r="AS253" s="193">
        <v>0</v>
      </c>
      <c r="AT253" s="193">
        <v>0</v>
      </c>
      <c r="AU253" s="193">
        <v>0</v>
      </c>
      <c r="AV253" s="193">
        <v>0</v>
      </c>
      <c r="AW253" s="193">
        <v>0</v>
      </c>
      <c r="AX253" s="193">
        <v>0</v>
      </c>
      <c r="AY253" s="193">
        <v>0</v>
      </c>
      <c r="AZ253" s="193">
        <v>0</v>
      </c>
      <c r="BA253" s="193">
        <v>0</v>
      </c>
      <c r="BB253" s="193">
        <v>0</v>
      </c>
      <c r="BC253" s="193">
        <v>0</v>
      </c>
      <c r="BD253" s="193">
        <v>0</v>
      </c>
      <c r="BE253" s="193">
        <v>0</v>
      </c>
      <c r="BF253" s="193">
        <v>9010000</v>
      </c>
      <c r="BG253" s="193">
        <v>3300000</v>
      </c>
      <c r="BH253" s="193">
        <v>12310000</v>
      </c>
    </row>
    <row r="254" spans="1:60" ht="16.5" thickBot="1">
      <c r="A254" s="789" t="s">
        <v>289</v>
      </c>
      <c r="B254" s="790"/>
      <c r="C254" s="592"/>
      <c r="D254" s="217">
        <v>36</v>
      </c>
      <c r="E254" s="217">
        <v>15</v>
      </c>
      <c r="F254" s="217">
        <v>18</v>
      </c>
      <c r="G254" s="217">
        <v>3</v>
      </c>
      <c r="H254" s="217">
        <v>21</v>
      </c>
      <c r="I254" s="217">
        <v>12</v>
      </c>
      <c r="J254" s="217">
        <v>8</v>
      </c>
      <c r="K254" s="217">
        <v>1</v>
      </c>
      <c r="L254" s="217">
        <v>0</v>
      </c>
      <c r="M254" s="217">
        <v>1</v>
      </c>
      <c r="N254" s="217">
        <v>3</v>
      </c>
      <c r="O254" s="217">
        <v>2</v>
      </c>
      <c r="P254" s="217">
        <v>3</v>
      </c>
      <c r="Q254" s="217">
        <v>2</v>
      </c>
      <c r="R254" s="217">
        <v>0</v>
      </c>
      <c r="S254" s="217">
        <v>0</v>
      </c>
      <c r="T254" s="217">
        <v>9</v>
      </c>
      <c r="U254" s="217">
        <v>3</v>
      </c>
      <c r="V254" s="217">
        <v>9</v>
      </c>
      <c r="W254" s="217">
        <v>0</v>
      </c>
      <c r="X254" s="217">
        <v>2</v>
      </c>
      <c r="Y254" s="217">
        <v>4</v>
      </c>
      <c r="Z254" s="217">
        <v>0</v>
      </c>
      <c r="AA254" s="217">
        <v>5</v>
      </c>
      <c r="AB254" s="217">
        <v>12</v>
      </c>
      <c r="AC254" s="217">
        <v>0</v>
      </c>
      <c r="AD254" s="217">
        <v>121</v>
      </c>
      <c r="AE254" s="217">
        <v>48</v>
      </c>
      <c r="AF254" s="218">
        <v>15200000</v>
      </c>
      <c r="AG254" s="218">
        <v>28200000</v>
      </c>
      <c r="AH254" s="218">
        <v>6660000</v>
      </c>
      <c r="AI254" s="218">
        <v>5300000</v>
      </c>
      <c r="AJ254" s="218">
        <v>9010000</v>
      </c>
      <c r="AK254" s="218">
        <v>3300000</v>
      </c>
      <c r="AL254" s="218">
        <v>4565000</v>
      </c>
      <c r="AM254" s="218">
        <v>2000000</v>
      </c>
      <c r="AN254" s="218">
        <v>0</v>
      </c>
      <c r="AO254" s="218">
        <v>2250000</v>
      </c>
      <c r="AP254" s="218">
        <v>2110000</v>
      </c>
      <c r="AQ254" s="218">
        <v>920000</v>
      </c>
      <c r="AR254" s="218">
        <v>4980000</v>
      </c>
      <c r="AS254" s="218">
        <v>760000</v>
      </c>
      <c r="AT254" s="218">
        <v>0</v>
      </c>
      <c r="AU254" s="218">
        <v>0</v>
      </c>
      <c r="AV254" s="218">
        <v>4450000</v>
      </c>
      <c r="AW254" s="218">
        <v>6750000</v>
      </c>
      <c r="AX254" s="218">
        <v>2125000</v>
      </c>
      <c r="AY254" s="218">
        <v>0</v>
      </c>
      <c r="AZ254" s="218">
        <v>1500000</v>
      </c>
      <c r="BA254" s="218">
        <v>1630000</v>
      </c>
      <c r="BB254" s="218">
        <v>0</v>
      </c>
      <c r="BC254" s="218">
        <v>3970000</v>
      </c>
      <c r="BD254" s="218">
        <v>58280000</v>
      </c>
      <c r="BE254" s="218">
        <v>0</v>
      </c>
      <c r="BF254" s="218">
        <v>108880000</v>
      </c>
      <c r="BG254" s="218">
        <v>55080000</v>
      </c>
      <c r="BH254" s="218">
        <v>163960000</v>
      </c>
    </row>
    <row r="255" spans="1:60" ht="16.5" thickTop="1"/>
    <row r="264" spans="29:29">
      <c r="AC264" s="260"/>
    </row>
  </sheetData>
  <sheetProtection formatCells="0" formatColumns="0" formatRows="0" insertColumns="0" insertRows="0" insertHyperlinks="0" deleteColumns="0" deleteRows="0" sort="0" autoFilter="0" pivotTables="0"/>
  <mergeCells count="37">
    <mergeCell ref="BD4:BE4"/>
    <mergeCell ref="BF4:BG4"/>
    <mergeCell ref="A254:B254"/>
    <mergeCell ref="AR4:AS4"/>
    <mergeCell ref="AT4:AU4"/>
    <mergeCell ref="AV4:AW4"/>
    <mergeCell ref="AX4:AY4"/>
    <mergeCell ref="AZ4:BA4"/>
    <mergeCell ref="BB4:BC4"/>
    <mergeCell ref="AF4:AG4"/>
    <mergeCell ref="AH4:AI4"/>
    <mergeCell ref="AJ4:AK4"/>
    <mergeCell ref="AL4:AM4"/>
    <mergeCell ref="AN4:AO4"/>
    <mergeCell ref="AP4:AQ4"/>
    <mergeCell ref="T4:U4"/>
    <mergeCell ref="V4:W4"/>
    <mergeCell ref="X4:Y4"/>
    <mergeCell ref="Z4:AA4"/>
    <mergeCell ref="AB4:AC4"/>
    <mergeCell ref="AD4:AE4"/>
    <mergeCell ref="R4:S4"/>
    <mergeCell ref="A1:BH1"/>
    <mergeCell ref="A2:BH2"/>
    <mergeCell ref="A3:A5"/>
    <mergeCell ref="B3:B5"/>
    <mergeCell ref="C3:C5"/>
    <mergeCell ref="D3:AE3"/>
    <mergeCell ref="AF3:BG3"/>
    <mergeCell ref="BH3:BH5"/>
    <mergeCell ref="D4:E4"/>
    <mergeCell ref="F4:G4"/>
    <mergeCell ref="H4:I4"/>
    <mergeCell ref="J4:K4"/>
    <mergeCell ref="L4:M4"/>
    <mergeCell ref="N4:O4"/>
    <mergeCell ref="P4:Q4"/>
  </mergeCells>
  <pageMargins left="0.25" right="0.17" top="0.23" bottom="0.22" header="0.17" footer="0.17"/>
  <pageSetup paperSize="8" scale="41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85F1-2371-4FA8-BA2C-E7BFE1E2AA1F}">
  <sheetPr codeName="Sheet24">
    <tabColor theme="6" tint="0.59999389629810485"/>
    <pageSetUpPr fitToPage="1"/>
  </sheetPr>
  <dimension ref="A1:BD264"/>
  <sheetViews>
    <sheetView tabSelected="1" view="pageBreakPreview" topLeftCell="G1" zoomScaleNormal="100" zoomScaleSheetLayoutView="100" workbookViewId="0">
      <pane ySplit="5" topLeftCell="AU29" activePane="bottomLeft" state="frozen"/>
      <selection pane="bottomLeft" activeCell="AU29" sqref="AU29"/>
      <selection activeCell="AE254" sqref="AD254:AE254"/>
    </sheetView>
  </sheetViews>
  <sheetFormatPr defaultColWidth="9" defaultRowHeight="15.75"/>
  <cols>
    <col min="1" max="1" width="4.28515625" style="236" bestFit="1" customWidth="1"/>
    <col min="2" max="2" width="100.42578125" style="237" bestFit="1" customWidth="1"/>
    <col min="3" max="3" width="9.85546875" style="238" bestFit="1" customWidth="1"/>
    <col min="4" max="29" width="6" style="239" bestFit="1" customWidth="1"/>
    <col min="30" max="30" width="10" style="239" bestFit="1" customWidth="1"/>
    <col min="31" max="31" width="9.140625" style="239" bestFit="1" customWidth="1"/>
    <col min="32" max="32" width="9.85546875" style="239" bestFit="1" customWidth="1"/>
    <col min="33" max="33" width="9" style="239" bestFit="1" customWidth="1"/>
    <col min="34" max="34" width="9.85546875" style="239" bestFit="1" customWidth="1"/>
    <col min="35" max="35" width="7.85546875" style="239" bestFit="1" customWidth="1"/>
    <col min="36" max="36" width="10.140625" style="239" bestFit="1" customWidth="1"/>
    <col min="37" max="37" width="7.85546875" style="239" bestFit="1" customWidth="1"/>
    <col min="38" max="38" width="10" style="239" bestFit="1" customWidth="1"/>
    <col min="39" max="40" width="9.85546875" style="239" bestFit="1" customWidth="1"/>
    <col min="41" max="43" width="9.140625" style="239" bestFit="1" customWidth="1"/>
    <col min="44" max="47" width="9.85546875" style="239" bestFit="1" customWidth="1"/>
    <col min="48" max="49" width="9" style="239" bestFit="1" customWidth="1"/>
    <col min="50" max="50" width="10" style="239" bestFit="1" customWidth="1"/>
    <col min="51" max="51" width="7.7109375" style="239" bestFit="1" customWidth="1"/>
    <col min="52" max="53" width="9.85546875" style="239" bestFit="1" customWidth="1"/>
    <col min="54" max="54" width="10.7109375" style="239" bestFit="1" customWidth="1"/>
    <col min="55" max="55" width="10.140625" style="239" bestFit="1" customWidth="1"/>
    <col min="56" max="56" width="10.85546875" style="239" bestFit="1" customWidth="1"/>
    <col min="57" max="16384" width="9" style="224"/>
  </cols>
  <sheetData>
    <row r="1" spans="1:56">
      <c r="A1" s="767" t="s">
        <v>812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7"/>
      <c r="W1" s="767"/>
      <c r="X1" s="767"/>
      <c r="Y1" s="767"/>
      <c r="Z1" s="767"/>
      <c r="AA1" s="767"/>
      <c r="AB1" s="767"/>
      <c r="AC1" s="767"/>
      <c r="AD1" s="767"/>
      <c r="AE1" s="767"/>
      <c r="AF1" s="767"/>
      <c r="AG1" s="767"/>
      <c r="AH1" s="767"/>
      <c r="AI1" s="767"/>
      <c r="AJ1" s="767"/>
      <c r="AK1" s="767"/>
      <c r="AL1" s="767"/>
      <c r="AM1" s="767"/>
      <c r="AN1" s="767"/>
      <c r="AO1" s="767"/>
      <c r="AP1" s="767"/>
      <c r="AQ1" s="767"/>
      <c r="AR1" s="767"/>
      <c r="AS1" s="767"/>
      <c r="AT1" s="767"/>
      <c r="AU1" s="767"/>
      <c r="AV1" s="767"/>
      <c r="AW1" s="767"/>
      <c r="AX1" s="767"/>
      <c r="AY1" s="767"/>
      <c r="AZ1" s="767"/>
      <c r="BA1" s="767"/>
      <c r="BB1" s="767"/>
      <c r="BC1" s="767"/>
      <c r="BD1" s="767"/>
    </row>
    <row r="2" spans="1:56">
      <c r="A2" s="768" t="s">
        <v>1055</v>
      </c>
      <c r="B2" s="768"/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768"/>
      <c r="O2" s="768"/>
      <c r="P2" s="768"/>
      <c r="Q2" s="768"/>
      <c r="R2" s="768"/>
      <c r="S2" s="768"/>
      <c r="T2" s="768"/>
      <c r="U2" s="768"/>
      <c r="V2" s="768"/>
      <c r="W2" s="768"/>
      <c r="X2" s="768"/>
      <c r="Y2" s="768"/>
      <c r="Z2" s="768"/>
      <c r="AA2" s="768"/>
      <c r="AB2" s="768"/>
      <c r="AC2" s="768"/>
      <c r="AD2" s="768"/>
      <c r="AE2" s="768"/>
      <c r="AF2" s="768"/>
      <c r="AG2" s="768"/>
      <c r="AH2" s="768"/>
      <c r="AI2" s="768"/>
      <c r="AJ2" s="768"/>
      <c r="AK2" s="768"/>
      <c r="AL2" s="768"/>
      <c r="AM2" s="768"/>
      <c r="AN2" s="768"/>
      <c r="AO2" s="768"/>
      <c r="AP2" s="768"/>
      <c r="AQ2" s="768"/>
      <c r="AR2" s="768"/>
      <c r="AS2" s="768"/>
      <c r="AT2" s="768"/>
      <c r="AU2" s="768"/>
      <c r="AV2" s="768"/>
      <c r="AW2" s="768"/>
      <c r="AX2" s="768"/>
      <c r="AY2" s="768"/>
      <c r="AZ2" s="768"/>
      <c r="BA2" s="768"/>
      <c r="BB2" s="768"/>
      <c r="BC2" s="768"/>
      <c r="BD2" s="768"/>
    </row>
    <row r="3" spans="1:56">
      <c r="A3" s="769" t="s">
        <v>56</v>
      </c>
      <c r="B3" s="772"/>
      <c r="C3" s="775" t="s">
        <v>814</v>
      </c>
      <c r="D3" s="778" t="s">
        <v>815</v>
      </c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79"/>
      <c r="X3" s="779"/>
      <c r="Y3" s="779"/>
      <c r="Z3" s="779"/>
      <c r="AA3" s="779"/>
      <c r="AB3" s="779"/>
      <c r="AC3" s="780"/>
      <c r="AD3" s="778" t="s">
        <v>816</v>
      </c>
      <c r="AE3" s="779"/>
      <c r="AF3" s="779"/>
      <c r="AG3" s="779"/>
      <c r="AH3" s="779"/>
      <c r="AI3" s="779"/>
      <c r="AJ3" s="779"/>
      <c r="AK3" s="779"/>
      <c r="AL3" s="779"/>
      <c r="AM3" s="779"/>
      <c r="AN3" s="779"/>
      <c r="AO3" s="779"/>
      <c r="AP3" s="779"/>
      <c r="AQ3" s="779"/>
      <c r="AR3" s="779"/>
      <c r="AS3" s="779"/>
      <c r="AT3" s="779"/>
      <c r="AU3" s="779"/>
      <c r="AV3" s="779"/>
      <c r="AW3" s="779"/>
      <c r="AX3" s="779"/>
      <c r="AY3" s="779"/>
      <c r="AZ3" s="779"/>
      <c r="BA3" s="779"/>
      <c r="BB3" s="779"/>
      <c r="BC3" s="780"/>
      <c r="BD3" s="791" t="s">
        <v>817</v>
      </c>
    </row>
    <row r="4" spans="1:56">
      <c r="A4" s="770"/>
      <c r="B4" s="773"/>
      <c r="C4" s="776"/>
      <c r="D4" s="765" t="s">
        <v>794</v>
      </c>
      <c r="E4" s="766"/>
      <c r="F4" s="765" t="s">
        <v>795</v>
      </c>
      <c r="G4" s="766"/>
      <c r="H4" s="765" t="s">
        <v>796</v>
      </c>
      <c r="I4" s="766"/>
      <c r="J4" s="765" t="s">
        <v>797</v>
      </c>
      <c r="K4" s="766"/>
      <c r="L4" s="765" t="s">
        <v>798</v>
      </c>
      <c r="M4" s="766"/>
      <c r="N4" s="765" t="s">
        <v>799</v>
      </c>
      <c r="O4" s="766"/>
      <c r="P4" s="765" t="s">
        <v>800</v>
      </c>
      <c r="Q4" s="766"/>
      <c r="R4" s="765" t="s">
        <v>801</v>
      </c>
      <c r="S4" s="766"/>
      <c r="T4" s="765" t="s">
        <v>802</v>
      </c>
      <c r="U4" s="766"/>
      <c r="V4" s="765" t="s">
        <v>803</v>
      </c>
      <c r="W4" s="766"/>
      <c r="X4" s="765" t="s">
        <v>804</v>
      </c>
      <c r="Y4" s="766"/>
      <c r="Z4" s="765" t="s">
        <v>805</v>
      </c>
      <c r="AA4" s="766"/>
      <c r="AB4" s="765" t="s">
        <v>61</v>
      </c>
      <c r="AC4" s="766"/>
      <c r="AD4" s="765" t="s">
        <v>794</v>
      </c>
      <c r="AE4" s="766"/>
      <c r="AF4" s="765" t="s">
        <v>795</v>
      </c>
      <c r="AG4" s="766"/>
      <c r="AH4" s="765" t="s">
        <v>796</v>
      </c>
      <c r="AI4" s="766"/>
      <c r="AJ4" s="765" t="s">
        <v>797</v>
      </c>
      <c r="AK4" s="766"/>
      <c r="AL4" s="765" t="s">
        <v>798</v>
      </c>
      <c r="AM4" s="766"/>
      <c r="AN4" s="765" t="s">
        <v>799</v>
      </c>
      <c r="AO4" s="766"/>
      <c r="AP4" s="765" t="s">
        <v>800</v>
      </c>
      <c r="AQ4" s="766"/>
      <c r="AR4" s="765" t="s">
        <v>801</v>
      </c>
      <c r="AS4" s="766"/>
      <c r="AT4" s="765" t="s">
        <v>802</v>
      </c>
      <c r="AU4" s="766"/>
      <c r="AV4" s="765" t="s">
        <v>803</v>
      </c>
      <c r="AW4" s="766"/>
      <c r="AX4" s="765" t="s">
        <v>804</v>
      </c>
      <c r="AY4" s="766"/>
      <c r="AZ4" s="765" t="s">
        <v>805</v>
      </c>
      <c r="BA4" s="766"/>
      <c r="BB4" s="765" t="s">
        <v>61</v>
      </c>
      <c r="BC4" s="766"/>
      <c r="BD4" s="792"/>
    </row>
    <row r="5" spans="1:56">
      <c r="A5" s="771"/>
      <c r="B5" s="774"/>
      <c r="C5" s="777"/>
      <c r="D5" s="590" t="s">
        <v>831</v>
      </c>
      <c r="E5" s="590" t="s">
        <v>832</v>
      </c>
      <c r="F5" s="590" t="s">
        <v>831</v>
      </c>
      <c r="G5" s="590" t="s">
        <v>832</v>
      </c>
      <c r="H5" s="590" t="s">
        <v>831</v>
      </c>
      <c r="I5" s="590" t="s">
        <v>832</v>
      </c>
      <c r="J5" s="590" t="s">
        <v>831</v>
      </c>
      <c r="K5" s="590" t="s">
        <v>832</v>
      </c>
      <c r="L5" s="590" t="s">
        <v>831</v>
      </c>
      <c r="M5" s="590" t="s">
        <v>832</v>
      </c>
      <c r="N5" s="590" t="s">
        <v>831</v>
      </c>
      <c r="O5" s="590" t="s">
        <v>832</v>
      </c>
      <c r="P5" s="590" t="s">
        <v>831</v>
      </c>
      <c r="Q5" s="590" t="s">
        <v>832</v>
      </c>
      <c r="R5" s="590" t="s">
        <v>831</v>
      </c>
      <c r="S5" s="590" t="s">
        <v>832</v>
      </c>
      <c r="T5" s="590" t="s">
        <v>831</v>
      </c>
      <c r="U5" s="590" t="s">
        <v>832</v>
      </c>
      <c r="V5" s="590" t="s">
        <v>831</v>
      </c>
      <c r="W5" s="590" t="s">
        <v>832</v>
      </c>
      <c r="X5" s="590" t="s">
        <v>831</v>
      </c>
      <c r="Y5" s="590" t="s">
        <v>832</v>
      </c>
      <c r="Z5" s="590" t="s">
        <v>831</v>
      </c>
      <c r="AA5" s="590" t="s">
        <v>832</v>
      </c>
      <c r="AB5" s="590" t="s">
        <v>831</v>
      </c>
      <c r="AC5" s="590" t="s">
        <v>832</v>
      </c>
      <c r="AD5" s="590" t="s">
        <v>831</v>
      </c>
      <c r="AE5" s="590" t="s">
        <v>832</v>
      </c>
      <c r="AF5" s="590" t="s">
        <v>831</v>
      </c>
      <c r="AG5" s="590" t="s">
        <v>832</v>
      </c>
      <c r="AH5" s="590" t="s">
        <v>831</v>
      </c>
      <c r="AI5" s="590" t="s">
        <v>832</v>
      </c>
      <c r="AJ5" s="590" t="s">
        <v>831</v>
      </c>
      <c r="AK5" s="590" t="s">
        <v>832</v>
      </c>
      <c r="AL5" s="590" t="s">
        <v>831</v>
      </c>
      <c r="AM5" s="590" t="s">
        <v>832</v>
      </c>
      <c r="AN5" s="590" t="s">
        <v>831</v>
      </c>
      <c r="AO5" s="590" t="s">
        <v>832</v>
      </c>
      <c r="AP5" s="590" t="s">
        <v>831</v>
      </c>
      <c r="AQ5" s="590" t="s">
        <v>832</v>
      </c>
      <c r="AR5" s="590" t="s">
        <v>831</v>
      </c>
      <c r="AS5" s="590" t="s">
        <v>832</v>
      </c>
      <c r="AT5" s="590" t="s">
        <v>831</v>
      </c>
      <c r="AU5" s="590" t="s">
        <v>832</v>
      </c>
      <c r="AV5" s="590" t="s">
        <v>831</v>
      </c>
      <c r="AW5" s="590" t="s">
        <v>832</v>
      </c>
      <c r="AX5" s="590" t="s">
        <v>831</v>
      </c>
      <c r="AY5" s="590" t="s">
        <v>832</v>
      </c>
      <c r="AZ5" s="590" t="s">
        <v>831</v>
      </c>
      <c r="BA5" s="590" t="s">
        <v>832</v>
      </c>
      <c r="BB5" s="590" t="s">
        <v>831</v>
      </c>
      <c r="BC5" s="590" t="s">
        <v>832</v>
      </c>
      <c r="BD5" s="793"/>
    </row>
    <row r="6" spans="1:56" s="229" customFormat="1">
      <c r="A6" s="225">
        <v>1</v>
      </c>
      <c r="B6" s="226" t="s">
        <v>1056</v>
      </c>
      <c r="C6" s="227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</row>
    <row r="7" spans="1:56" s="229" customFormat="1">
      <c r="A7" s="215">
        <v>-1</v>
      </c>
      <c r="B7" s="190" t="s">
        <v>1057</v>
      </c>
      <c r="C7" s="191">
        <v>110000</v>
      </c>
      <c r="D7" s="192">
        <v>4</v>
      </c>
      <c r="E7" s="192">
        <v>0</v>
      </c>
      <c r="F7" s="192">
        <v>4</v>
      </c>
      <c r="G7" s="192">
        <v>0</v>
      </c>
      <c r="H7" s="192">
        <v>4</v>
      </c>
      <c r="I7" s="192">
        <v>0</v>
      </c>
      <c r="J7" s="192">
        <v>4</v>
      </c>
      <c r="K7" s="192">
        <v>0</v>
      </c>
      <c r="L7" s="192">
        <v>10</v>
      </c>
      <c r="M7" s="192">
        <v>0</v>
      </c>
      <c r="N7" s="192">
        <v>4</v>
      </c>
      <c r="O7" s="192">
        <v>1</v>
      </c>
      <c r="P7" s="192">
        <v>0</v>
      </c>
      <c r="Q7" s="192">
        <v>0</v>
      </c>
      <c r="R7" s="192">
        <v>5</v>
      </c>
      <c r="S7" s="192">
        <v>3</v>
      </c>
      <c r="T7" s="192">
        <v>0</v>
      </c>
      <c r="U7" s="192">
        <v>0</v>
      </c>
      <c r="V7" s="192">
        <v>0</v>
      </c>
      <c r="W7" s="192">
        <v>0</v>
      </c>
      <c r="X7" s="192">
        <v>10</v>
      </c>
      <c r="Y7" s="192">
        <v>0</v>
      </c>
      <c r="Z7" s="192">
        <v>0</v>
      </c>
      <c r="AA7" s="192">
        <v>0</v>
      </c>
      <c r="AB7" s="192">
        <v>45</v>
      </c>
      <c r="AC7" s="192">
        <v>4</v>
      </c>
      <c r="AD7" s="193">
        <v>440000</v>
      </c>
      <c r="AE7" s="193">
        <v>0</v>
      </c>
      <c r="AF7" s="193">
        <v>440000</v>
      </c>
      <c r="AG7" s="193">
        <v>0</v>
      </c>
      <c r="AH7" s="193">
        <v>440000</v>
      </c>
      <c r="AI7" s="193">
        <v>0</v>
      </c>
      <c r="AJ7" s="193">
        <v>440000</v>
      </c>
      <c r="AK7" s="193">
        <v>0</v>
      </c>
      <c r="AL7" s="193">
        <v>1100000</v>
      </c>
      <c r="AM7" s="193">
        <v>0</v>
      </c>
      <c r="AN7" s="193">
        <v>440000</v>
      </c>
      <c r="AO7" s="193">
        <v>110000</v>
      </c>
      <c r="AP7" s="193">
        <v>0</v>
      </c>
      <c r="AQ7" s="193">
        <v>0</v>
      </c>
      <c r="AR7" s="193">
        <v>550000</v>
      </c>
      <c r="AS7" s="193">
        <v>330000</v>
      </c>
      <c r="AT7" s="193">
        <v>0</v>
      </c>
      <c r="AU7" s="193">
        <v>0</v>
      </c>
      <c r="AV7" s="193">
        <v>0</v>
      </c>
      <c r="AW7" s="193">
        <v>0</v>
      </c>
      <c r="AX7" s="193">
        <v>1100000</v>
      </c>
      <c r="AY7" s="193">
        <v>0</v>
      </c>
      <c r="AZ7" s="193">
        <v>0</v>
      </c>
      <c r="BA7" s="193">
        <v>0</v>
      </c>
      <c r="BB7" s="193">
        <v>4950000</v>
      </c>
      <c r="BC7" s="193">
        <v>440000</v>
      </c>
      <c r="BD7" s="193">
        <v>5390000</v>
      </c>
    </row>
    <row r="8" spans="1:56" s="230" customFormat="1">
      <c r="A8" s="215">
        <v>-2</v>
      </c>
      <c r="B8" s="190" t="s">
        <v>979</v>
      </c>
      <c r="C8" s="191">
        <v>200000</v>
      </c>
      <c r="D8" s="192">
        <v>7</v>
      </c>
      <c r="E8" s="192">
        <v>0</v>
      </c>
      <c r="F8" s="192">
        <v>0</v>
      </c>
      <c r="G8" s="192">
        <v>0</v>
      </c>
      <c r="H8" s="192">
        <v>0</v>
      </c>
      <c r="I8" s="192">
        <v>0</v>
      </c>
      <c r="J8" s="192">
        <v>0</v>
      </c>
      <c r="K8" s="192">
        <v>0</v>
      </c>
      <c r="L8" s="192">
        <v>0</v>
      </c>
      <c r="M8" s="192">
        <v>0</v>
      </c>
      <c r="N8" s="192">
        <v>4</v>
      </c>
      <c r="O8" s="192">
        <v>0</v>
      </c>
      <c r="P8" s="192">
        <v>9</v>
      </c>
      <c r="Q8" s="192">
        <v>0</v>
      </c>
      <c r="R8" s="192">
        <v>2</v>
      </c>
      <c r="S8" s="192">
        <v>0</v>
      </c>
      <c r="T8" s="192">
        <v>0</v>
      </c>
      <c r="U8" s="192">
        <v>4</v>
      </c>
      <c r="V8" s="192">
        <v>0</v>
      </c>
      <c r="W8" s="192">
        <v>0</v>
      </c>
      <c r="X8" s="192">
        <v>0</v>
      </c>
      <c r="Y8" s="192">
        <v>0</v>
      </c>
      <c r="Z8" s="192">
        <v>5</v>
      </c>
      <c r="AA8" s="192">
        <v>0</v>
      </c>
      <c r="AB8" s="192">
        <v>27</v>
      </c>
      <c r="AC8" s="192">
        <v>4</v>
      </c>
      <c r="AD8" s="193">
        <v>1400000</v>
      </c>
      <c r="AE8" s="193">
        <v>0</v>
      </c>
      <c r="AF8" s="193">
        <v>0</v>
      </c>
      <c r="AG8" s="193">
        <v>0</v>
      </c>
      <c r="AH8" s="193">
        <v>0</v>
      </c>
      <c r="AI8" s="193">
        <v>0</v>
      </c>
      <c r="AJ8" s="193">
        <v>0</v>
      </c>
      <c r="AK8" s="193">
        <v>0</v>
      </c>
      <c r="AL8" s="193">
        <v>0</v>
      </c>
      <c r="AM8" s="193">
        <v>0</v>
      </c>
      <c r="AN8" s="193">
        <v>800000</v>
      </c>
      <c r="AO8" s="193">
        <v>0</v>
      </c>
      <c r="AP8" s="193">
        <v>1800000</v>
      </c>
      <c r="AQ8" s="193">
        <v>0</v>
      </c>
      <c r="AR8" s="193">
        <v>400000</v>
      </c>
      <c r="AS8" s="193">
        <v>0</v>
      </c>
      <c r="AT8" s="193">
        <v>0</v>
      </c>
      <c r="AU8" s="193">
        <v>800000</v>
      </c>
      <c r="AV8" s="193">
        <v>0</v>
      </c>
      <c r="AW8" s="193">
        <v>0</v>
      </c>
      <c r="AX8" s="193">
        <v>0</v>
      </c>
      <c r="AY8" s="193">
        <v>0</v>
      </c>
      <c r="AZ8" s="193">
        <v>1000000</v>
      </c>
      <c r="BA8" s="193">
        <v>0</v>
      </c>
      <c r="BB8" s="193">
        <v>5400000</v>
      </c>
      <c r="BC8" s="193">
        <v>800000</v>
      </c>
      <c r="BD8" s="193">
        <v>6200000</v>
      </c>
    </row>
    <row r="9" spans="1:56" s="229" customFormat="1">
      <c r="A9" s="215">
        <v>-3</v>
      </c>
      <c r="B9" s="190" t="s">
        <v>921</v>
      </c>
      <c r="C9" s="191">
        <v>1200000</v>
      </c>
      <c r="D9" s="192">
        <v>0</v>
      </c>
      <c r="E9" s="192">
        <v>0</v>
      </c>
      <c r="F9" s="192">
        <v>0</v>
      </c>
      <c r="G9" s="192">
        <v>0</v>
      </c>
      <c r="H9" s="192">
        <v>0</v>
      </c>
      <c r="I9" s="192">
        <v>0</v>
      </c>
      <c r="J9" s="192">
        <v>0</v>
      </c>
      <c r="K9" s="192">
        <v>0</v>
      </c>
      <c r="L9" s="192">
        <v>0</v>
      </c>
      <c r="M9" s="192">
        <v>0</v>
      </c>
      <c r="N9" s="192">
        <v>0</v>
      </c>
      <c r="O9" s="192">
        <v>0</v>
      </c>
      <c r="P9" s="192">
        <v>0</v>
      </c>
      <c r="Q9" s="192">
        <v>0</v>
      </c>
      <c r="R9" s="192">
        <v>0</v>
      </c>
      <c r="S9" s="192">
        <v>0</v>
      </c>
      <c r="T9" s="192">
        <v>0</v>
      </c>
      <c r="U9" s="192">
        <v>0</v>
      </c>
      <c r="V9" s="192">
        <v>0</v>
      </c>
      <c r="W9" s="192">
        <v>0</v>
      </c>
      <c r="X9" s="192">
        <v>0</v>
      </c>
      <c r="Y9" s="192">
        <v>0</v>
      </c>
      <c r="Z9" s="192">
        <v>0</v>
      </c>
      <c r="AA9" s="192">
        <v>0</v>
      </c>
      <c r="AB9" s="192">
        <v>0</v>
      </c>
      <c r="AC9" s="192">
        <v>0</v>
      </c>
      <c r="AD9" s="193">
        <v>0</v>
      </c>
      <c r="AE9" s="193">
        <v>0</v>
      </c>
      <c r="AF9" s="193">
        <v>0</v>
      </c>
      <c r="AG9" s="193">
        <v>0</v>
      </c>
      <c r="AH9" s="193">
        <v>0</v>
      </c>
      <c r="AI9" s="193">
        <v>0</v>
      </c>
      <c r="AJ9" s="193">
        <v>0</v>
      </c>
      <c r="AK9" s="193">
        <v>0</v>
      </c>
      <c r="AL9" s="193">
        <v>0</v>
      </c>
      <c r="AM9" s="193">
        <v>0</v>
      </c>
      <c r="AN9" s="193">
        <v>0</v>
      </c>
      <c r="AO9" s="193">
        <v>0</v>
      </c>
      <c r="AP9" s="193">
        <v>0</v>
      </c>
      <c r="AQ9" s="193">
        <v>0</v>
      </c>
      <c r="AR9" s="193">
        <v>0</v>
      </c>
      <c r="AS9" s="193">
        <v>0</v>
      </c>
      <c r="AT9" s="193">
        <v>0</v>
      </c>
      <c r="AU9" s="193">
        <v>0</v>
      </c>
      <c r="AV9" s="193">
        <v>0</v>
      </c>
      <c r="AW9" s="193">
        <v>0</v>
      </c>
      <c r="AX9" s="193">
        <v>0</v>
      </c>
      <c r="AY9" s="193">
        <v>0</v>
      </c>
      <c r="AZ9" s="193">
        <v>0</v>
      </c>
      <c r="BA9" s="193">
        <v>0</v>
      </c>
      <c r="BB9" s="193">
        <v>0</v>
      </c>
      <c r="BC9" s="193">
        <v>0</v>
      </c>
      <c r="BD9" s="193">
        <v>0</v>
      </c>
    </row>
    <row r="10" spans="1:56" s="188" customFormat="1">
      <c r="A10" s="189">
        <v>-4</v>
      </c>
      <c r="B10" s="204" t="s">
        <v>1058</v>
      </c>
      <c r="C10" s="191">
        <v>125000</v>
      </c>
      <c r="D10" s="192">
        <v>0</v>
      </c>
      <c r="E10" s="192">
        <v>0</v>
      </c>
      <c r="F10" s="192">
        <v>0</v>
      </c>
      <c r="G10" s="192">
        <v>0</v>
      </c>
      <c r="H10" s="192">
        <v>0</v>
      </c>
      <c r="I10" s="192">
        <v>0</v>
      </c>
      <c r="J10" s="192">
        <v>0</v>
      </c>
      <c r="K10" s="192">
        <v>0</v>
      </c>
      <c r="L10" s="192">
        <v>0</v>
      </c>
      <c r="M10" s="192">
        <v>0</v>
      </c>
      <c r="N10" s="192">
        <v>0</v>
      </c>
      <c r="O10" s="192">
        <v>0</v>
      </c>
      <c r="P10" s="192">
        <v>0</v>
      </c>
      <c r="Q10" s="192">
        <v>0</v>
      </c>
      <c r="R10" s="192">
        <v>0</v>
      </c>
      <c r="S10" s="192">
        <v>0</v>
      </c>
      <c r="T10" s="192">
        <v>0</v>
      </c>
      <c r="U10" s="192">
        <v>0</v>
      </c>
      <c r="V10" s="192">
        <v>0</v>
      </c>
      <c r="W10" s="192">
        <v>0</v>
      </c>
      <c r="X10" s="192">
        <v>0</v>
      </c>
      <c r="Y10" s="192">
        <v>0</v>
      </c>
      <c r="Z10" s="192">
        <v>0</v>
      </c>
      <c r="AA10" s="192">
        <v>0</v>
      </c>
      <c r="AB10" s="192">
        <v>0</v>
      </c>
      <c r="AC10" s="192">
        <v>0</v>
      </c>
      <c r="AD10" s="193">
        <v>0</v>
      </c>
      <c r="AE10" s="193">
        <v>0</v>
      </c>
      <c r="AF10" s="193">
        <v>0</v>
      </c>
      <c r="AG10" s="193">
        <v>0</v>
      </c>
      <c r="AH10" s="193">
        <v>0</v>
      </c>
      <c r="AI10" s="193">
        <v>0</v>
      </c>
      <c r="AJ10" s="193">
        <v>0</v>
      </c>
      <c r="AK10" s="193">
        <v>0</v>
      </c>
      <c r="AL10" s="193">
        <v>0</v>
      </c>
      <c r="AM10" s="193">
        <v>0</v>
      </c>
      <c r="AN10" s="193">
        <v>0</v>
      </c>
      <c r="AO10" s="193">
        <v>0</v>
      </c>
      <c r="AP10" s="193">
        <v>0</v>
      </c>
      <c r="AQ10" s="193">
        <v>0</v>
      </c>
      <c r="AR10" s="193">
        <v>0</v>
      </c>
      <c r="AS10" s="193">
        <v>0</v>
      </c>
      <c r="AT10" s="193">
        <v>0</v>
      </c>
      <c r="AU10" s="193">
        <v>0</v>
      </c>
      <c r="AV10" s="193">
        <v>0</v>
      </c>
      <c r="AW10" s="193">
        <v>0</v>
      </c>
      <c r="AX10" s="193">
        <v>0</v>
      </c>
      <c r="AY10" s="193">
        <v>0</v>
      </c>
      <c r="AZ10" s="193">
        <v>0</v>
      </c>
      <c r="BA10" s="193">
        <v>0</v>
      </c>
      <c r="BB10" s="193">
        <v>0</v>
      </c>
      <c r="BC10" s="193">
        <v>0</v>
      </c>
      <c r="BD10" s="193">
        <v>0</v>
      </c>
    </row>
    <row r="11" spans="1:56" s="229" customFormat="1">
      <c r="A11" s="189">
        <v>-5</v>
      </c>
      <c r="B11" s="194" t="s">
        <v>839</v>
      </c>
      <c r="C11" s="191">
        <v>150000</v>
      </c>
      <c r="D11" s="192">
        <v>7</v>
      </c>
      <c r="E11" s="192">
        <v>0</v>
      </c>
      <c r="F11" s="192">
        <v>0</v>
      </c>
      <c r="G11" s="192">
        <v>0</v>
      </c>
      <c r="H11" s="192">
        <v>0</v>
      </c>
      <c r="I11" s="192">
        <v>0</v>
      </c>
      <c r="J11" s="192">
        <v>0</v>
      </c>
      <c r="K11" s="192">
        <v>0</v>
      </c>
      <c r="L11" s="192">
        <v>0</v>
      </c>
      <c r="M11" s="192">
        <v>0</v>
      </c>
      <c r="N11" s="192">
        <v>0</v>
      </c>
      <c r="O11" s="192">
        <v>0</v>
      </c>
      <c r="P11" s="192">
        <v>0</v>
      </c>
      <c r="Q11" s="192">
        <v>0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92">
        <v>7</v>
      </c>
      <c r="AC11" s="192">
        <v>0</v>
      </c>
      <c r="AD11" s="193">
        <v>1050000</v>
      </c>
      <c r="AE11" s="193">
        <v>0</v>
      </c>
      <c r="AF11" s="193">
        <v>0</v>
      </c>
      <c r="AG11" s="193">
        <v>0</v>
      </c>
      <c r="AH11" s="193">
        <v>0</v>
      </c>
      <c r="AI11" s="193">
        <v>0</v>
      </c>
      <c r="AJ11" s="193">
        <v>0</v>
      </c>
      <c r="AK11" s="193">
        <v>0</v>
      </c>
      <c r="AL11" s="193">
        <v>0</v>
      </c>
      <c r="AM11" s="193">
        <v>0</v>
      </c>
      <c r="AN11" s="193">
        <v>0</v>
      </c>
      <c r="AO11" s="193">
        <v>0</v>
      </c>
      <c r="AP11" s="193">
        <v>0</v>
      </c>
      <c r="AQ11" s="193">
        <v>0</v>
      </c>
      <c r="AR11" s="193">
        <v>0</v>
      </c>
      <c r="AS11" s="193">
        <v>0</v>
      </c>
      <c r="AT11" s="193">
        <v>0</v>
      </c>
      <c r="AU11" s="193">
        <v>0</v>
      </c>
      <c r="AV11" s="193">
        <v>0</v>
      </c>
      <c r="AW11" s="193">
        <v>0</v>
      </c>
      <c r="AX11" s="193">
        <v>0</v>
      </c>
      <c r="AY11" s="193">
        <v>0</v>
      </c>
      <c r="AZ11" s="193">
        <v>0</v>
      </c>
      <c r="BA11" s="193">
        <v>0</v>
      </c>
      <c r="BB11" s="193">
        <v>1050000</v>
      </c>
      <c r="BC11" s="193">
        <v>0</v>
      </c>
      <c r="BD11" s="193">
        <v>1050000</v>
      </c>
    </row>
    <row r="12" spans="1:56" s="229" customFormat="1">
      <c r="A12" s="189">
        <v>-6</v>
      </c>
      <c r="B12" s="194" t="s">
        <v>1024</v>
      </c>
      <c r="C12" s="191">
        <v>150000</v>
      </c>
      <c r="D12" s="192">
        <v>3</v>
      </c>
      <c r="E12" s="192">
        <v>0</v>
      </c>
      <c r="F12" s="192">
        <v>3</v>
      </c>
      <c r="G12" s="192">
        <v>0</v>
      </c>
      <c r="H12" s="192">
        <v>3</v>
      </c>
      <c r="I12" s="192">
        <v>0</v>
      </c>
      <c r="J12" s="192">
        <v>3</v>
      </c>
      <c r="K12" s="192">
        <v>0</v>
      </c>
      <c r="L12" s="192">
        <v>0</v>
      </c>
      <c r="M12" s="192">
        <v>0</v>
      </c>
      <c r="N12" s="192">
        <v>0</v>
      </c>
      <c r="O12" s="192">
        <v>2</v>
      </c>
      <c r="P12" s="192">
        <v>0</v>
      </c>
      <c r="Q12" s="192">
        <v>0</v>
      </c>
      <c r="R12" s="192">
        <v>5</v>
      </c>
      <c r="S12" s="192">
        <v>6</v>
      </c>
      <c r="T12" s="192">
        <v>0</v>
      </c>
      <c r="U12" s="192">
        <v>0</v>
      </c>
      <c r="V12" s="192">
        <v>0</v>
      </c>
      <c r="W12" s="192">
        <v>0</v>
      </c>
      <c r="X12" s="192">
        <v>0</v>
      </c>
      <c r="Y12" s="192">
        <v>0</v>
      </c>
      <c r="Z12" s="192">
        <v>7</v>
      </c>
      <c r="AA12" s="192">
        <v>0</v>
      </c>
      <c r="AB12" s="192">
        <v>24</v>
      </c>
      <c r="AC12" s="192">
        <v>8</v>
      </c>
      <c r="AD12" s="193">
        <v>450000</v>
      </c>
      <c r="AE12" s="193">
        <v>0</v>
      </c>
      <c r="AF12" s="193">
        <v>450000</v>
      </c>
      <c r="AG12" s="193">
        <v>0</v>
      </c>
      <c r="AH12" s="193">
        <v>450000</v>
      </c>
      <c r="AI12" s="193">
        <v>0</v>
      </c>
      <c r="AJ12" s="193">
        <v>450000</v>
      </c>
      <c r="AK12" s="193">
        <v>0</v>
      </c>
      <c r="AL12" s="193">
        <v>0</v>
      </c>
      <c r="AM12" s="193">
        <v>0</v>
      </c>
      <c r="AN12" s="193">
        <v>0</v>
      </c>
      <c r="AO12" s="193">
        <v>300000</v>
      </c>
      <c r="AP12" s="193">
        <v>0</v>
      </c>
      <c r="AQ12" s="193">
        <v>0</v>
      </c>
      <c r="AR12" s="193">
        <v>750000</v>
      </c>
      <c r="AS12" s="193">
        <v>900000</v>
      </c>
      <c r="AT12" s="193">
        <v>0</v>
      </c>
      <c r="AU12" s="193">
        <v>0</v>
      </c>
      <c r="AV12" s="193">
        <v>0</v>
      </c>
      <c r="AW12" s="193">
        <v>0</v>
      </c>
      <c r="AX12" s="193">
        <v>0</v>
      </c>
      <c r="AY12" s="193">
        <v>0</v>
      </c>
      <c r="AZ12" s="193">
        <v>1050000</v>
      </c>
      <c r="BA12" s="193">
        <v>0</v>
      </c>
      <c r="BB12" s="193">
        <v>3600000</v>
      </c>
      <c r="BC12" s="193">
        <v>1200000</v>
      </c>
      <c r="BD12" s="193">
        <v>4800000</v>
      </c>
    </row>
    <row r="13" spans="1:56" s="229" customFormat="1">
      <c r="A13" s="189">
        <v>-7</v>
      </c>
      <c r="B13" s="190" t="s">
        <v>981</v>
      </c>
      <c r="C13" s="191">
        <v>150000</v>
      </c>
      <c r="D13" s="192">
        <v>7</v>
      </c>
      <c r="E13" s="192">
        <v>0</v>
      </c>
      <c r="F13" s="192">
        <v>0</v>
      </c>
      <c r="G13" s="192">
        <v>0</v>
      </c>
      <c r="H13" s="192">
        <v>0</v>
      </c>
      <c r="I13" s="192">
        <v>0</v>
      </c>
      <c r="J13" s="192">
        <v>1</v>
      </c>
      <c r="K13" s="192">
        <v>1</v>
      </c>
      <c r="L13" s="192">
        <v>0</v>
      </c>
      <c r="M13" s="192">
        <v>0</v>
      </c>
      <c r="N13" s="192">
        <v>4</v>
      </c>
      <c r="O13" s="192">
        <v>0</v>
      </c>
      <c r="P13" s="192">
        <v>9</v>
      </c>
      <c r="Q13" s="192">
        <v>0</v>
      </c>
      <c r="R13" s="192">
        <v>3</v>
      </c>
      <c r="S13" s="192">
        <v>0</v>
      </c>
      <c r="T13" s="192">
        <v>3</v>
      </c>
      <c r="U13" s="192">
        <v>0</v>
      </c>
      <c r="V13" s="192">
        <v>0</v>
      </c>
      <c r="W13" s="192">
        <v>0</v>
      </c>
      <c r="X13" s="192">
        <v>0</v>
      </c>
      <c r="Y13" s="192">
        <v>0</v>
      </c>
      <c r="Z13" s="192">
        <v>4</v>
      </c>
      <c r="AA13" s="192">
        <v>0</v>
      </c>
      <c r="AB13" s="192">
        <v>31</v>
      </c>
      <c r="AC13" s="192">
        <v>1</v>
      </c>
      <c r="AD13" s="193">
        <v>1050000</v>
      </c>
      <c r="AE13" s="193">
        <v>0</v>
      </c>
      <c r="AF13" s="193">
        <v>0</v>
      </c>
      <c r="AG13" s="193">
        <v>0</v>
      </c>
      <c r="AH13" s="193">
        <v>0</v>
      </c>
      <c r="AI13" s="193">
        <v>0</v>
      </c>
      <c r="AJ13" s="193">
        <v>150000</v>
      </c>
      <c r="AK13" s="193">
        <v>150000</v>
      </c>
      <c r="AL13" s="193">
        <v>0</v>
      </c>
      <c r="AM13" s="193">
        <v>0</v>
      </c>
      <c r="AN13" s="193">
        <v>600000</v>
      </c>
      <c r="AO13" s="193">
        <v>0</v>
      </c>
      <c r="AP13" s="193">
        <v>1350000</v>
      </c>
      <c r="AQ13" s="193">
        <v>0</v>
      </c>
      <c r="AR13" s="193">
        <v>450000</v>
      </c>
      <c r="AS13" s="193">
        <v>0</v>
      </c>
      <c r="AT13" s="193">
        <v>450000</v>
      </c>
      <c r="AU13" s="193">
        <v>0</v>
      </c>
      <c r="AV13" s="193">
        <v>0</v>
      </c>
      <c r="AW13" s="193">
        <v>0</v>
      </c>
      <c r="AX13" s="193">
        <v>0</v>
      </c>
      <c r="AY13" s="193">
        <v>0</v>
      </c>
      <c r="AZ13" s="193">
        <v>600000</v>
      </c>
      <c r="BA13" s="193">
        <v>0</v>
      </c>
      <c r="BB13" s="193">
        <v>4650000</v>
      </c>
      <c r="BC13" s="193">
        <v>150000</v>
      </c>
      <c r="BD13" s="193">
        <v>4800000</v>
      </c>
    </row>
    <row r="14" spans="1:56" s="188" customFormat="1">
      <c r="A14" s="189">
        <v>-8</v>
      </c>
      <c r="B14" s="190" t="s">
        <v>928</v>
      </c>
      <c r="C14" s="191">
        <v>180000</v>
      </c>
      <c r="D14" s="192">
        <v>5</v>
      </c>
      <c r="E14" s="192">
        <v>3</v>
      </c>
      <c r="F14" s="192">
        <v>10</v>
      </c>
      <c r="G14" s="192">
        <v>2</v>
      </c>
      <c r="H14" s="192">
        <v>3</v>
      </c>
      <c r="I14" s="192">
        <v>0</v>
      </c>
      <c r="J14" s="192">
        <v>4</v>
      </c>
      <c r="K14" s="192">
        <v>0</v>
      </c>
      <c r="L14" s="192">
        <v>0</v>
      </c>
      <c r="M14" s="192">
        <v>0</v>
      </c>
      <c r="N14" s="192">
        <v>0</v>
      </c>
      <c r="O14" s="192">
        <v>2</v>
      </c>
      <c r="P14" s="192">
        <v>0</v>
      </c>
      <c r="Q14" s="192">
        <v>0</v>
      </c>
      <c r="R14" s="192">
        <v>3</v>
      </c>
      <c r="S14" s="192">
        <v>5</v>
      </c>
      <c r="T14" s="192">
        <v>4</v>
      </c>
      <c r="U14" s="192">
        <v>0</v>
      </c>
      <c r="V14" s="192">
        <v>0</v>
      </c>
      <c r="W14" s="192">
        <v>0</v>
      </c>
      <c r="X14" s="192">
        <v>2</v>
      </c>
      <c r="Y14" s="192">
        <v>2</v>
      </c>
      <c r="Z14" s="192">
        <v>13</v>
      </c>
      <c r="AA14" s="192">
        <v>2</v>
      </c>
      <c r="AB14" s="192">
        <v>44</v>
      </c>
      <c r="AC14" s="192">
        <v>16</v>
      </c>
      <c r="AD14" s="193">
        <v>900000</v>
      </c>
      <c r="AE14" s="193">
        <v>540000</v>
      </c>
      <c r="AF14" s="193">
        <v>1800000</v>
      </c>
      <c r="AG14" s="193">
        <v>360000</v>
      </c>
      <c r="AH14" s="193">
        <v>540000</v>
      </c>
      <c r="AI14" s="193">
        <v>0</v>
      </c>
      <c r="AJ14" s="193">
        <v>720000</v>
      </c>
      <c r="AK14" s="193">
        <v>0</v>
      </c>
      <c r="AL14" s="193">
        <v>0</v>
      </c>
      <c r="AM14" s="193">
        <v>0</v>
      </c>
      <c r="AN14" s="193">
        <v>0</v>
      </c>
      <c r="AO14" s="193">
        <v>360000</v>
      </c>
      <c r="AP14" s="193">
        <v>0</v>
      </c>
      <c r="AQ14" s="193">
        <v>0</v>
      </c>
      <c r="AR14" s="193">
        <v>540000</v>
      </c>
      <c r="AS14" s="193">
        <v>900000</v>
      </c>
      <c r="AT14" s="193">
        <v>720000</v>
      </c>
      <c r="AU14" s="193">
        <v>0</v>
      </c>
      <c r="AV14" s="193">
        <v>0</v>
      </c>
      <c r="AW14" s="193">
        <v>0</v>
      </c>
      <c r="AX14" s="193">
        <v>360000</v>
      </c>
      <c r="AY14" s="193">
        <v>360000</v>
      </c>
      <c r="AZ14" s="193">
        <v>2340000</v>
      </c>
      <c r="BA14" s="193">
        <v>360000</v>
      </c>
      <c r="BB14" s="193">
        <v>7920000</v>
      </c>
      <c r="BC14" s="193">
        <v>2880000</v>
      </c>
      <c r="BD14" s="193">
        <v>10800000</v>
      </c>
    </row>
    <row r="15" spans="1:56" s="229" customFormat="1">
      <c r="A15" s="189">
        <v>-9</v>
      </c>
      <c r="B15" s="194" t="s">
        <v>844</v>
      </c>
      <c r="C15" s="191">
        <v>190000</v>
      </c>
      <c r="D15" s="192">
        <v>13</v>
      </c>
      <c r="E15" s="192">
        <v>0</v>
      </c>
      <c r="F15" s="192">
        <v>10</v>
      </c>
      <c r="G15" s="192">
        <v>0</v>
      </c>
      <c r="H15" s="192">
        <v>0</v>
      </c>
      <c r="I15" s="192">
        <v>0</v>
      </c>
      <c r="J15" s="192">
        <v>6</v>
      </c>
      <c r="K15" s="192">
        <v>0</v>
      </c>
      <c r="L15" s="192">
        <v>0</v>
      </c>
      <c r="M15" s="192">
        <v>0</v>
      </c>
      <c r="N15" s="192">
        <v>4</v>
      </c>
      <c r="O15" s="192">
        <v>1</v>
      </c>
      <c r="P15" s="192">
        <v>0</v>
      </c>
      <c r="Q15" s="192">
        <v>0</v>
      </c>
      <c r="R15" s="192">
        <v>2</v>
      </c>
      <c r="S15" s="192">
        <v>0</v>
      </c>
      <c r="T15" s="192">
        <v>0</v>
      </c>
      <c r="U15" s="192">
        <v>0</v>
      </c>
      <c r="V15" s="192">
        <v>0</v>
      </c>
      <c r="W15" s="192">
        <v>0</v>
      </c>
      <c r="X15" s="192">
        <v>0</v>
      </c>
      <c r="Y15" s="192">
        <v>0</v>
      </c>
      <c r="Z15" s="192">
        <v>10</v>
      </c>
      <c r="AA15" s="192">
        <v>0</v>
      </c>
      <c r="AB15" s="192">
        <v>45</v>
      </c>
      <c r="AC15" s="192">
        <v>1</v>
      </c>
      <c r="AD15" s="193">
        <v>2470000</v>
      </c>
      <c r="AE15" s="193">
        <v>0</v>
      </c>
      <c r="AF15" s="193">
        <v>1900000</v>
      </c>
      <c r="AG15" s="193">
        <v>0</v>
      </c>
      <c r="AH15" s="193">
        <v>0</v>
      </c>
      <c r="AI15" s="193">
        <v>0</v>
      </c>
      <c r="AJ15" s="193">
        <v>1140000</v>
      </c>
      <c r="AK15" s="193">
        <v>0</v>
      </c>
      <c r="AL15" s="193">
        <v>0</v>
      </c>
      <c r="AM15" s="193">
        <v>0</v>
      </c>
      <c r="AN15" s="193">
        <v>760000</v>
      </c>
      <c r="AO15" s="193">
        <v>190000</v>
      </c>
      <c r="AP15" s="193">
        <v>0</v>
      </c>
      <c r="AQ15" s="193">
        <v>0</v>
      </c>
      <c r="AR15" s="193">
        <v>380000</v>
      </c>
      <c r="AS15" s="193">
        <v>0</v>
      </c>
      <c r="AT15" s="193">
        <v>0</v>
      </c>
      <c r="AU15" s="193">
        <v>0</v>
      </c>
      <c r="AV15" s="193">
        <v>0</v>
      </c>
      <c r="AW15" s="193">
        <v>0</v>
      </c>
      <c r="AX15" s="193">
        <v>0</v>
      </c>
      <c r="AY15" s="193">
        <v>0</v>
      </c>
      <c r="AZ15" s="193">
        <v>1900000</v>
      </c>
      <c r="BA15" s="193">
        <v>0</v>
      </c>
      <c r="BB15" s="193">
        <v>8550000</v>
      </c>
      <c r="BC15" s="193">
        <v>190000</v>
      </c>
      <c r="BD15" s="193">
        <v>8740000</v>
      </c>
    </row>
    <row r="16" spans="1:56" s="229" customFormat="1">
      <c r="A16" s="189">
        <v>-10</v>
      </c>
      <c r="B16" s="194" t="s">
        <v>1059</v>
      </c>
      <c r="C16" s="191">
        <v>200000</v>
      </c>
      <c r="D16" s="192">
        <v>0</v>
      </c>
      <c r="E16" s="192">
        <v>0</v>
      </c>
      <c r="F16" s="192">
        <v>0</v>
      </c>
      <c r="G16" s="192">
        <v>0</v>
      </c>
      <c r="H16" s="192">
        <v>0</v>
      </c>
      <c r="I16" s="192">
        <v>0</v>
      </c>
      <c r="J16" s="192">
        <v>0</v>
      </c>
      <c r="K16" s="192">
        <v>0</v>
      </c>
      <c r="L16" s="192">
        <v>0</v>
      </c>
      <c r="M16" s="192">
        <v>0</v>
      </c>
      <c r="N16" s="192">
        <v>0</v>
      </c>
      <c r="O16" s="192">
        <v>0</v>
      </c>
      <c r="P16" s="192">
        <v>0</v>
      </c>
      <c r="Q16" s="192">
        <v>0</v>
      </c>
      <c r="R16" s="192">
        <v>2</v>
      </c>
      <c r="S16" s="192">
        <v>0</v>
      </c>
      <c r="T16" s="192">
        <v>0</v>
      </c>
      <c r="U16" s="192">
        <v>0</v>
      </c>
      <c r="V16" s="192">
        <v>2</v>
      </c>
      <c r="W16" s="192">
        <v>0</v>
      </c>
      <c r="X16" s="192">
        <v>0</v>
      </c>
      <c r="Y16" s="192">
        <v>0</v>
      </c>
      <c r="Z16" s="192">
        <v>0</v>
      </c>
      <c r="AA16" s="192">
        <v>0</v>
      </c>
      <c r="AB16" s="192">
        <v>4</v>
      </c>
      <c r="AC16" s="192">
        <v>0</v>
      </c>
      <c r="AD16" s="193">
        <v>0</v>
      </c>
      <c r="AE16" s="193">
        <v>0</v>
      </c>
      <c r="AF16" s="193">
        <v>0</v>
      </c>
      <c r="AG16" s="193">
        <v>0</v>
      </c>
      <c r="AH16" s="193">
        <v>0</v>
      </c>
      <c r="AI16" s="193">
        <v>0</v>
      </c>
      <c r="AJ16" s="193">
        <v>0</v>
      </c>
      <c r="AK16" s="193">
        <v>0</v>
      </c>
      <c r="AL16" s="193">
        <v>0</v>
      </c>
      <c r="AM16" s="193">
        <v>0</v>
      </c>
      <c r="AN16" s="193">
        <v>0</v>
      </c>
      <c r="AO16" s="193">
        <v>0</v>
      </c>
      <c r="AP16" s="193">
        <v>0</v>
      </c>
      <c r="AQ16" s="193">
        <v>0</v>
      </c>
      <c r="AR16" s="193">
        <v>400000</v>
      </c>
      <c r="AS16" s="193">
        <v>0</v>
      </c>
      <c r="AT16" s="193">
        <v>0</v>
      </c>
      <c r="AU16" s="193">
        <v>0</v>
      </c>
      <c r="AV16" s="193">
        <v>400000</v>
      </c>
      <c r="AW16" s="193">
        <v>0</v>
      </c>
      <c r="AX16" s="193">
        <v>0</v>
      </c>
      <c r="AY16" s="193">
        <v>0</v>
      </c>
      <c r="AZ16" s="193">
        <v>0</v>
      </c>
      <c r="BA16" s="193">
        <v>0</v>
      </c>
      <c r="BB16" s="193">
        <v>800000</v>
      </c>
      <c r="BC16" s="193">
        <v>0</v>
      </c>
      <c r="BD16" s="193">
        <v>800000</v>
      </c>
    </row>
    <row r="17" spans="1:56" s="229" customFormat="1">
      <c r="A17" s="189">
        <v>-11</v>
      </c>
      <c r="B17" s="190" t="s">
        <v>845</v>
      </c>
      <c r="C17" s="191">
        <v>200000</v>
      </c>
      <c r="D17" s="192">
        <v>2</v>
      </c>
      <c r="E17" s="192">
        <v>0</v>
      </c>
      <c r="F17" s="192">
        <v>0</v>
      </c>
      <c r="G17" s="192">
        <v>0</v>
      </c>
      <c r="H17" s="192">
        <v>0</v>
      </c>
      <c r="I17" s="192">
        <v>0</v>
      </c>
      <c r="J17" s="192">
        <v>3</v>
      </c>
      <c r="K17" s="192">
        <v>0</v>
      </c>
      <c r="L17" s="192">
        <v>0</v>
      </c>
      <c r="M17" s="192">
        <v>0</v>
      </c>
      <c r="N17" s="192">
        <v>3</v>
      </c>
      <c r="O17" s="192">
        <v>0</v>
      </c>
      <c r="P17" s="192">
        <v>0</v>
      </c>
      <c r="Q17" s="192">
        <v>0</v>
      </c>
      <c r="R17" s="192">
        <v>0</v>
      </c>
      <c r="S17" s="192">
        <v>0</v>
      </c>
      <c r="T17" s="192">
        <v>0</v>
      </c>
      <c r="U17" s="192">
        <v>0</v>
      </c>
      <c r="V17" s="192">
        <v>0</v>
      </c>
      <c r="W17" s="192">
        <v>0</v>
      </c>
      <c r="X17" s="192">
        <v>0</v>
      </c>
      <c r="Y17" s="192">
        <v>0</v>
      </c>
      <c r="Z17" s="192">
        <v>0</v>
      </c>
      <c r="AA17" s="192">
        <v>0</v>
      </c>
      <c r="AB17" s="192">
        <v>8</v>
      </c>
      <c r="AC17" s="192">
        <v>0</v>
      </c>
      <c r="AD17" s="193">
        <v>400000</v>
      </c>
      <c r="AE17" s="193">
        <v>0</v>
      </c>
      <c r="AF17" s="193">
        <v>0</v>
      </c>
      <c r="AG17" s="193">
        <v>0</v>
      </c>
      <c r="AH17" s="193">
        <v>0</v>
      </c>
      <c r="AI17" s="193">
        <v>0</v>
      </c>
      <c r="AJ17" s="193">
        <v>600000</v>
      </c>
      <c r="AK17" s="193">
        <v>0</v>
      </c>
      <c r="AL17" s="193">
        <v>0</v>
      </c>
      <c r="AM17" s="193">
        <v>0</v>
      </c>
      <c r="AN17" s="193">
        <v>600000</v>
      </c>
      <c r="AO17" s="193">
        <v>0</v>
      </c>
      <c r="AP17" s="193">
        <v>0</v>
      </c>
      <c r="AQ17" s="193">
        <v>0</v>
      </c>
      <c r="AR17" s="193">
        <v>0</v>
      </c>
      <c r="AS17" s="193">
        <v>0</v>
      </c>
      <c r="AT17" s="193">
        <v>0</v>
      </c>
      <c r="AU17" s="193">
        <v>0</v>
      </c>
      <c r="AV17" s="193">
        <v>0</v>
      </c>
      <c r="AW17" s="193">
        <v>0</v>
      </c>
      <c r="AX17" s="193">
        <v>0</v>
      </c>
      <c r="AY17" s="193">
        <v>0</v>
      </c>
      <c r="AZ17" s="193">
        <v>0</v>
      </c>
      <c r="BA17" s="193">
        <v>0</v>
      </c>
      <c r="BB17" s="193">
        <v>1600000</v>
      </c>
      <c r="BC17" s="193">
        <v>0</v>
      </c>
      <c r="BD17" s="193">
        <v>1600000</v>
      </c>
    </row>
    <row r="18" spans="1:56" s="188" customFormat="1">
      <c r="A18" s="189">
        <v>-12</v>
      </c>
      <c r="B18" s="204" t="s">
        <v>1060</v>
      </c>
      <c r="C18" s="191">
        <v>210000</v>
      </c>
      <c r="D18" s="192">
        <v>0</v>
      </c>
      <c r="E18" s="192">
        <v>0</v>
      </c>
      <c r="F18" s="192"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2">
        <v>0</v>
      </c>
      <c r="M18" s="192">
        <v>0</v>
      </c>
      <c r="N18" s="192">
        <v>0</v>
      </c>
      <c r="O18" s="192">
        <v>0</v>
      </c>
      <c r="P18" s="192">
        <v>0</v>
      </c>
      <c r="Q18" s="192">
        <v>0</v>
      </c>
      <c r="R18" s="192">
        <v>0</v>
      </c>
      <c r="S18" s="192">
        <v>0</v>
      </c>
      <c r="T18" s="192">
        <v>0</v>
      </c>
      <c r="U18" s="192">
        <v>0</v>
      </c>
      <c r="V18" s="192">
        <v>0</v>
      </c>
      <c r="W18" s="192">
        <v>0</v>
      </c>
      <c r="X18" s="192">
        <v>0</v>
      </c>
      <c r="Y18" s="192">
        <v>0</v>
      </c>
      <c r="Z18" s="192">
        <v>0</v>
      </c>
      <c r="AA18" s="192">
        <v>0</v>
      </c>
      <c r="AB18" s="192">
        <v>0</v>
      </c>
      <c r="AC18" s="192">
        <v>0</v>
      </c>
      <c r="AD18" s="193">
        <v>0</v>
      </c>
      <c r="AE18" s="193">
        <v>0</v>
      </c>
      <c r="AF18" s="193">
        <v>0</v>
      </c>
      <c r="AG18" s="193">
        <v>0</v>
      </c>
      <c r="AH18" s="193">
        <v>0</v>
      </c>
      <c r="AI18" s="193">
        <v>0</v>
      </c>
      <c r="AJ18" s="193">
        <v>0</v>
      </c>
      <c r="AK18" s="193">
        <v>0</v>
      </c>
      <c r="AL18" s="193">
        <v>0</v>
      </c>
      <c r="AM18" s="193">
        <v>0</v>
      </c>
      <c r="AN18" s="193">
        <v>0</v>
      </c>
      <c r="AO18" s="193">
        <v>0</v>
      </c>
      <c r="AP18" s="193">
        <v>0</v>
      </c>
      <c r="AQ18" s="193">
        <v>0</v>
      </c>
      <c r="AR18" s="193">
        <v>0</v>
      </c>
      <c r="AS18" s="193">
        <v>0</v>
      </c>
      <c r="AT18" s="193">
        <v>0</v>
      </c>
      <c r="AU18" s="193">
        <v>0</v>
      </c>
      <c r="AV18" s="193">
        <v>0</v>
      </c>
      <c r="AW18" s="193">
        <v>0</v>
      </c>
      <c r="AX18" s="193">
        <v>0</v>
      </c>
      <c r="AY18" s="193">
        <v>0</v>
      </c>
      <c r="AZ18" s="193">
        <v>0</v>
      </c>
      <c r="BA18" s="193">
        <v>0</v>
      </c>
      <c r="BB18" s="193">
        <v>0</v>
      </c>
      <c r="BC18" s="193">
        <v>0</v>
      </c>
      <c r="BD18" s="193">
        <v>0</v>
      </c>
    </row>
    <row r="19" spans="1:56" s="229" customFormat="1">
      <c r="A19" s="189">
        <v>-13</v>
      </c>
      <c r="B19" s="231" t="s">
        <v>1061</v>
      </c>
      <c r="C19" s="191">
        <v>250000</v>
      </c>
      <c r="D19" s="192">
        <v>2</v>
      </c>
      <c r="E19" s="192">
        <v>0</v>
      </c>
      <c r="F19" s="192">
        <v>0</v>
      </c>
      <c r="G19" s="192">
        <v>0</v>
      </c>
      <c r="H19" s="192">
        <v>0</v>
      </c>
      <c r="I19" s="192">
        <v>0</v>
      </c>
      <c r="J19" s="192">
        <v>6</v>
      </c>
      <c r="K19" s="192">
        <v>0</v>
      </c>
      <c r="L19" s="192">
        <v>0</v>
      </c>
      <c r="M19" s="192">
        <v>0</v>
      </c>
      <c r="N19" s="192">
        <v>3</v>
      </c>
      <c r="O19" s="192">
        <v>0</v>
      </c>
      <c r="P19" s="192">
        <v>0</v>
      </c>
      <c r="Q19" s="192">
        <v>12</v>
      </c>
      <c r="R19" s="192">
        <v>0</v>
      </c>
      <c r="S19" s="192">
        <v>0</v>
      </c>
      <c r="T19" s="192">
        <v>0</v>
      </c>
      <c r="U19" s="192">
        <v>0</v>
      </c>
      <c r="V19" s="192">
        <v>0</v>
      </c>
      <c r="W19" s="192">
        <v>0</v>
      </c>
      <c r="X19" s="192">
        <v>0</v>
      </c>
      <c r="Y19" s="192">
        <v>0</v>
      </c>
      <c r="Z19" s="192">
        <v>0</v>
      </c>
      <c r="AA19" s="192">
        <v>0</v>
      </c>
      <c r="AB19" s="192">
        <v>11</v>
      </c>
      <c r="AC19" s="192">
        <v>12</v>
      </c>
      <c r="AD19" s="193">
        <v>500000</v>
      </c>
      <c r="AE19" s="193">
        <v>0</v>
      </c>
      <c r="AF19" s="193">
        <v>0</v>
      </c>
      <c r="AG19" s="193">
        <v>0</v>
      </c>
      <c r="AH19" s="193">
        <v>0</v>
      </c>
      <c r="AI19" s="193">
        <v>0</v>
      </c>
      <c r="AJ19" s="193">
        <v>1500000</v>
      </c>
      <c r="AK19" s="193">
        <v>0</v>
      </c>
      <c r="AL19" s="193">
        <v>0</v>
      </c>
      <c r="AM19" s="193">
        <v>0</v>
      </c>
      <c r="AN19" s="193">
        <v>750000</v>
      </c>
      <c r="AO19" s="193">
        <v>0</v>
      </c>
      <c r="AP19" s="193">
        <v>0</v>
      </c>
      <c r="AQ19" s="193">
        <v>3000000</v>
      </c>
      <c r="AR19" s="193">
        <v>0</v>
      </c>
      <c r="AS19" s="193">
        <v>0</v>
      </c>
      <c r="AT19" s="193">
        <v>0</v>
      </c>
      <c r="AU19" s="193">
        <v>0</v>
      </c>
      <c r="AV19" s="193">
        <v>0</v>
      </c>
      <c r="AW19" s="193">
        <v>0</v>
      </c>
      <c r="AX19" s="193">
        <v>0</v>
      </c>
      <c r="AY19" s="193">
        <v>0</v>
      </c>
      <c r="AZ19" s="193">
        <v>0</v>
      </c>
      <c r="BA19" s="193">
        <v>0</v>
      </c>
      <c r="BB19" s="193">
        <v>2750000</v>
      </c>
      <c r="BC19" s="193">
        <v>3000000</v>
      </c>
      <c r="BD19" s="193">
        <v>5750000</v>
      </c>
    </row>
    <row r="20" spans="1:56" s="229" customFormat="1">
      <c r="A20" s="189">
        <v>-14</v>
      </c>
      <c r="B20" s="194" t="s">
        <v>887</v>
      </c>
      <c r="C20" s="191">
        <v>225000</v>
      </c>
      <c r="D20" s="192">
        <v>3</v>
      </c>
      <c r="E20" s="192">
        <v>0</v>
      </c>
      <c r="F20" s="192">
        <v>5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92">
        <v>0</v>
      </c>
      <c r="N20" s="192">
        <v>0</v>
      </c>
      <c r="O20" s="192">
        <v>0</v>
      </c>
      <c r="P20" s="192">
        <v>0</v>
      </c>
      <c r="Q20" s="192">
        <v>0</v>
      </c>
      <c r="R20" s="192">
        <v>0</v>
      </c>
      <c r="S20" s="192">
        <v>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92">
        <v>0</v>
      </c>
      <c r="Z20" s="192">
        <v>0</v>
      </c>
      <c r="AA20" s="192">
        <v>0</v>
      </c>
      <c r="AB20" s="192">
        <v>8</v>
      </c>
      <c r="AC20" s="192">
        <v>0</v>
      </c>
      <c r="AD20" s="193">
        <v>675000</v>
      </c>
      <c r="AE20" s="193">
        <v>0</v>
      </c>
      <c r="AF20" s="193">
        <v>1125000</v>
      </c>
      <c r="AG20" s="193">
        <v>0</v>
      </c>
      <c r="AH20" s="193">
        <v>0</v>
      </c>
      <c r="AI20" s="193">
        <v>0</v>
      </c>
      <c r="AJ20" s="193">
        <v>0</v>
      </c>
      <c r="AK20" s="193">
        <v>0</v>
      </c>
      <c r="AL20" s="193">
        <v>0</v>
      </c>
      <c r="AM20" s="193">
        <v>0</v>
      </c>
      <c r="AN20" s="193">
        <v>0</v>
      </c>
      <c r="AO20" s="193">
        <v>0</v>
      </c>
      <c r="AP20" s="193">
        <v>0</v>
      </c>
      <c r="AQ20" s="193">
        <v>0</v>
      </c>
      <c r="AR20" s="193">
        <v>0</v>
      </c>
      <c r="AS20" s="193">
        <v>0</v>
      </c>
      <c r="AT20" s="193">
        <v>0</v>
      </c>
      <c r="AU20" s="193">
        <v>0</v>
      </c>
      <c r="AV20" s="193">
        <v>0</v>
      </c>
      <c r="AW20" s="193">
        <v>0</v>
      </c>
      <c r="AX20" s="193">
        <v>0</v>
      </c>
      <c r="AY20" s="193">
        <v>0</v>
      </c>
      <c r="AZ20" s="193">
        <v>0</v>
      </c>
      <c r="BA20" s="193">
        <v>0</v>
      </c>
      <c r="BB20" s="193">
        <v>1800000</v>
      </c>
      <c r="BC20" s="193">
        <v>0</v>
      </c>
      <c r="BD20" s="193">
        <v>1800000</v>
      </c>
    </row>
    <row r="21" spans="1:56" s="229" customFormat="1">
      <c r="A21" s="189">
        <v>-15</v>
      </c>
      <c r="B21" s="194" t="s">
        <v>888</v>
      </c>
      <c r="C21" s="191">
        <v>250000</v>
      </c>
      <c r="D21" s="192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192">
        <v>0</v>
      </c>
      <c r="N21" s="192">
        <v>0</v>
      </c>
      <c r="O21" s="192">
        <v>0</v>
      </c>
      <c r="P21" s="192">
        <v>0</v>
      </c>
      <c r="Q21" s="192">
        <v>0</v>
      </c>
      <c r="R21" s="192">
        <v>0</v>
      </c>
      <c r="S21" s="192">
        <v>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192">
        <v>0</v>
      </c>
      <c r="Z21" s="192">
        <v>0</v>
      </c>
      <c r="AA21" s="192">
        <v>0</v>
      </c>
      <c r="AB21" s="192">
        <v>0</v>
      </c>
      <c r="AC21" s="192">
        <v>0</v>
      </c>
      <c r="AD21" s="193">
        <v>0</v>
      </c>
      <c r="AE21" s="193">
        <v>0</v>
      </c>
      <c r="AF21" s="193">
        <v>0</v>
      </c>
      <c r="AG21" s="193">
        <v>0</v>
      </c>
      <c r="AH21" s="193">
        <v>0</v>
      </c>
      <c r="AI21" s="193">
        <v>0</v>
      </c>
      <c r="AJ21" s="193">
        <v>0</v>
      </c>
      <c r="AK21" s="193">
        <v>0</v>
      </c>
      <c r="AL21" s="193">
        <v>0</v>
      </c>
      <c r="AM21" s="193">
        <v>0</v>
      </c>
      <c r="AN21" s="193">
        <v>0</v>
      </c>
      <c r="AO21" s="193">
        <v>0</v>
      </c>
      <c r="AP21" s="193">
        <v>0</v>
      </c>
      <c r="AQ21" s="193">
        <v>0</v>
      </c>
      <c r="AR21" s="193">
        <v>0</v>
      </c>
      <c r="AS21" s="193">
        <v>0</v>
      </c>
      <c r="AT21" s="193">
        <v>0</v>
      </c>
      <c r="AU21" s="193">
        <v>0</v>
      </c>
      <c r="AV21" s="193">
        <v>0</v>
      </c>
      <c r="AW21" s="193">
        <v>0</v>
      </c>
      <c r="AX21" s="193">
        <v>0</v>
      </c>
      <c r="AY21" s="193">
        <v>0</v>
      </c>
      <c r="AZ21" s="193">
        <v>0</v>
      </c>
      <c r="BA21" s="193">
        <v>0</v>
      </c>
      <c r="BB21" s="193">
        <v>0</v>
      </c>
      <c r="BC21" s="193">
        <v>0</v>
      </c>
      <c r="BD21" s="193">
        <v>0</v>
      </c>
    </row>
    <row r="22" spans="1:56" s="188" customFormat="1">
      <c r="A22" s="189">
        <v>-16</v>
      </c>
      <c r="B22" s="204" t="s">
        <v>1062</v>
      </c>
      <c r="C22" s="191">
        <v>280000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v>0</v>
      </c>
      <c r="J22" s="192">
        <v>0</v>
      </c>
      <c r="K22" s="192">
        <v>0</v>
      </c>
      <c r="L22" s="192">
        <v>0</v>
      </c>
      <c r="M22" s="192">
        <v>0</v>
      </c>
      <c r="N22" s="192">
        <v>0</v>
      </c>
      <c r="O22" s="192">
        <v>0</v>
      </c>
      <c r="P22" s="192">
        <v>0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2">
        <v>0</v>
      </c>
      <c r="W22" s="192">
        <v>0</v>
      </c>
      <c r="X22" s="192">
        <v>0</v>
      </c>
      <c r="Y22" s="192">
        <v>0</v>
      </c>
      <c r="Z22" s="192">
        <v>0</v>
      </c>
      <c r="AA22" s="192">
        <v>0</v>
      </c>
      <c r="AB22" s="192">
        <v>0</v>
      </c>
      <c r="AC22" s="192">
        <v>0</v>
      </c>
      <c r="AD22" s="193">
        <v>0</v>
      </c>
      <c r="AE22" s="193">
        <v>0</v>
      </c>
      <c r="AF22" s="193">
        <v>0</v>
      </c>
      <c r="AG22" s="193">
        <v>0</v>
      </c>
      <c r="AH22" s="193">
        <v>0</v>
      </c>
      <c r="AI22" s="193">
        <v>0</v>
      </c>
      <c r="AJ22" s="193">
        <v>0</v>
      </c>
      <c r="AK22" s="193">
        <v>0</v>
      </c>
      <c r="AL22" s="193">
        <v>0</v>
      </c>
      <c r="AM22" s="193">
        <v>0</v>
      </c>
      <c r="AN22" s="193">
        <v>0</v>
      </c>
      <c r="AO22" s="193">
        <v>0</v>
      </c>
      <c r="AP22" s="193">
        <v>0</v>
      </c>
      <c r="AQ22" s="193">
        <v>0</v>
      </c>
      <c r="AR22" s="193">
        <v>0</v>
      </c>
      <c r="AS22" s="193">
        <v>0</v>
      </c>
      <c r="AT22" s="193">
        <v>0</v>
      </c>
      <c r="AU22" s="193">
        <v>0</v>
      </c>
      <c r="AV22" s="193">
        <v>0</v>
      </c>
      <c r="AW22" s="193">
        <v>0</v>
      </c>
      <c r="AX22" s="193">
        <v>0</v>
      </c>
      <c r="AY22" s="193">
        <v>0</v>
      </c>
      <c r="AZ22" s="193">
        <v>0</v>
      </c>
      <c r="BA22" s="193">
        <v>0</v>
      </c>
      <c r="BB22" s="193">
        <v>0</v>
      </c>
      <c r="BC22" s="193">
        <v>0</v>
      </c>
      <c r="BD22" s="193">
        <v>0</v>
      </c>
    </row>
    <row r="23" spans="1:56" s="229" customFormat="1">
      <c r="A23" s="189">
        <v>-17</v>
      </c>
      <c r="B23" s="194" t="s">
        <v>853</v>
      </c>
      <c r="C23" s="191">
        <v>300000</v>
      </c>
      <c r="D23" s="192">
        <v>2</v>
      </c>
      <c r="E23" s="192">
        <v>0</v>
      </c>
      <c r="F23" s="192">
        <v>1</v>
      </c>
      <c r="G23" s="192">
        <v>0</v>
      </c>
      <c r="H23" s="192">
        <v>1</v>
      </c>
      <c r="I23" s="192">
        <v>0</v>
      </c>
      <c r="J23" s="192">
        <v>0</v>
      </c>
      <c r="K23" s="192">
        <v>0</v>
      </c>
      <c r="L23" s="192">
        <v>0</v>
      </c>
      <c r="M23" s="192">
        <v>0</v>
      </c>
      <c r="N23" s="192">
        <v>0</v>
      </c>
      <c r="O23" s="192">
        <v>0</v>
      </c>
      <c r="P23" s="192">
        <v>0</v>
      </c>
      <c r="Q23" s="192">
        <v>0</v>
      </c>
      <c r="R23" s="192">
        <v>2</v>
      </c>
      <c r="S23" s="192">
        <v>5</v>
      </c>
      <c r="T23" s="192">
        <v>0</v>
      </c>
      <c r="U23" s="192">
        <v>0</v>
      </c>
      <c r="V23" s="192">
        <v>0</v>
      </c>
      <c r="W23" s="192">
        <v>0</v>
      </c>
      <c r="X23" s="192">
        <v>0</v>
      </c>
      <c r="Y23" s="192">
        <v>0</v>
      </c>
      <c r="Z23" s="192">
        <v>0</v>
      </c>
      <c r="AA23" s="192">
        <v>0</v>
      </c>
      <c r="AB23" s="192">
        <v>6</v>
      </c>
      <c r="AC23" s="192">
        <v>5</v>
      </c>
      <c r="AD23" s="193">
        <v>600000</v>
      </c>
      <c r="AE23" s="193">
        <v>0</v>
      </c>
      <c r="AF23" s="193">
        <v>300000</v>
      </c>
      <c r="AG23" s="193">
        <v>0</v>
      </c>
      <c r="AH23" s="193">
        <v>300000</v>
      </c>
      <c r="AI23" s="193">
        <v>0</v>
      </c>
      <c r="AJ23" s="193">
        <v>0</v>
      </c>
      <c r="AK23" s="193">
        <v>0</v>
      </c>
      <c r="AL23" s="193">
        <v>0</v>
      </c>
      <c r="AM23" s="193">
        <v>0</v>
      </c>
      <c r="AN23" s="193">
        <v>0</v>
      </c>
      <c r="AO23" s="193">
        <v>0</v>
      </c>
      <c r="AP23" s="193">
        <v>0</v>
      </c>
      <c r="AQ23" s="193">
        <v>0</v>
      </c>
      <c r="AR23" s="193">
        <v>600000</v>
      </c>
      <c r="AS23" s="193">
        <v>1500000</v>
      </c>
      <c r="AT23" s="193">
        <v>0</v>
      </c>
      <c r="AU23" s="193">
        <v>0</v>
      </c>
      <c r="AV23" s="193">
        <v>0</v>
      </c>
      <c r="AW23" s="193">
        <v>0</v>
      </c>
      <c r="AX23" s="193">
        <v>0</v>
      </c>
      <c r="AY23" s="193">
        <v>0</v>
      </c>
      <c r="AZ23" s="193">
        <v>0</v>
      </c>
      <c r="BA23" s="193">
        <v>0</v>
      </c>
      <c r="BB23" s="193">
        <v>1800000</v>
      </c>
      <c r="BC23" s="193">
        <v>1500000</v>
      </c>
      <c r="BD23" s="193">
        <v>3300000</v>
      </c>
    </row>
    <row r="24" spans="1:56" s="232" customFormat="1">
      <c r="A24" s="189">
        <v>-18</v>
      </c>
      <c r="B24" s="190" t="s">
        <v>854</v>
      </c>
      <c r="C24" s="191">
        <v>300000</v>
      </c>
      <c r="D24" s="192">
        <v>1</v>
      </c>
      <c r="E24" s="192">
        <v>0</v>
      </c>
      <c r="F24" s="192">
        <v>0</v>
      </c>
      <c r="G24" s="192">
        <v>0</v>
      </c>
      <c r="H24" s="192">
        <v>0</v>
      </c>
      <c r="I24" s="192">
        <v>0</v>
      </c>
      <c r="J24" s="192">
        <v>0</v>
      </c>
      <c r="K24" s="192">
        <v>0</v>
      </c>
      <c r="L24" s="192">
        <v>0</v>
      </c>
      <c r="M24" s="192">
        <v>0</v>
      </c>
      <c r="N24" s="192">
        <v>0</v>
      </c>
      <c r="O24" s="192">
        <v>0</v>
      </c>
      <c r="P24" s="192">
        <v>0</v>
      </c>
      <c r="Q24" s="192">
        <v>0</v>
      </c>
      <c r="R24" s="192">
        <v>0</v>
      </c>
      <c r="S24" s="192">
        <v>0</v>
      </c>
      <c r="T24" s="192">
        <v>0</v>
      </c>
      <c r="U24" s="192">
        <v>0</v>
      </c>
      <c r="V24" s="192">
        <v>0</v>
      </c>
      <c r="W24" s="192">
        <v>0</v>
      </c>
      <c r="X24" s="192">
        <v>0</v>
      </c>
      <c r="Y24" s="192">
        <v>0</v>
      </c>
      <c r="Z24" s="192">
        <v>0</v>
      </c>
      <c r="AA24" s="192">
        <v>0</v>
      </c>
      <c r="AB24" s="192">
        <v>1</v>
      </c>
      <c r="AC24" s="192">
        <v>0</v>
      </c>
      <c r="AD24" s="193">
        <v>300000</v>
      </c>
      <c r="AE24" s="193">
        <v>0</v>
      </c>
      <c r="AF24" s="193">
        <v>0</v>
      </c>
      <c r="AG24" s="193">
        <v>0</v>
      </c>
      <c r="AH24" s="193">
        <v>0</v>
      </c>
      <c r="AI24" s="193">
        <v>0</v>
      </c>
      <c r="AJ24" s="193">
        <v>0</v>
      </c>
      <c r="AK24" s="193">
        <v>0</v>
      </c>
      <c r="AL24" s="193">
        <v>0</v>
      </c>
      <c r="AM24" s="193">
        <v>0</v>
      </c>
      <c r="AN24" s="193">
        <v>0</v>
      </c>
      <c r="AO24" s="193">
        <v>0</v>
      </c>
      <c r="AP24" s="193">
        <v>0</v>
      </c>
      <c r="AQ24" s="193">
        <v>0</v>
      </c>
      <c r="AR24" s="193">
        <v>0</v>
      </c>
      <c r="AS24" s="193">
        <v>0</v>
      </c>
      <c r="AT24" s="193">
        <v>0</v>
      </c>
      <c r="AU24" s="193">
        <v>0</v>
      </c>
      <c r="AV24" s="193">
        <v>0</v>
      </c>
      <c r="AW24" s="193">
        <v>0</v>
      </c>
      <c r="AX24" s="193">
        <v>0</v>
      </c>
      <c r="AY24" s="193">
        <v>0</v>
      </c>
      <c r="AZ24" s="193">
        <v>0</v>
      </c>
      <c r="BA24" s="193">
        <v>0</v>
      </c>
      <c r="BB24" s="193">
        <v>300000</v>
      </c>
      <c r="BC24" s="193">
        <v>0</v>
      </c>
      <c r="BD24" s="193">
        <v>300000</v>
      </c>
    </row>
    <row r="25" spans="1:56" s="229" customFormat="1">
      <c r="A25" s="189">
        <v>-19</v>
      </c>
      <c r="B25" s="194" t="s">
        <v>984</v>
      </c>
      <c r="C25" s="191">
        <v>400000</v>
      </c>
      <c r="D25" s="192">
        <v>2</v>
      </c>
      <c r="E25" s="192">
        <v>3</v>
      </c>
      <c r="F25" s="192">
        <v>0</v>
      </c>
      <c r="G25" s="192">
        <v>0</v>
      </c>
      <c r="H25" s="192">
        <v>0</v>
      </c>
      <c r="I25" s="192">
        <v>0</v>
      </c>
      <c r="J25" s="192">
        <v>1</v>
      </c>
      <c r="K25" s="192">
        <v>2</v>
      </c>
      <c r="L25" s="192">
        <v>0</v>
      </c>
      <c r="M25" s="192">
        <v>0</v>
      </c>
      <c r="N25" s="192">
        <v>4</v>
      </c>
      <c r="O25" s="192">
        <v>0</v>
      </c>
      <c r="P25" s="192">
        <v>3</v>
      </c>
      <c r="Q25" s="192">
        <v>1</v>
      </c>
      <c r="R25" s="192">
        <v>3</v>
      </c>
      <c r="S25" s="192">
        <v>0</v>
      </c>
      <c r="T25" s="192">
        <v>0</v>
      </c>
      <c r="U25" s="192">
        <v>4</v>
      </c>
      <c r="V25" s="192">
        <v>1</v>
      </c>
      <c r="W25" s="192">
        <v>0</v>
      </c>
      <c r="X25" s="192">
        <v>0</v>
      </c>
      <c r="Y25" s="192">
        <v>0</v>
      </c>
      <c r="Z25" s="192">
        <v>3</v>
      </c>
      <c r="AA25" s="192">
        <v>1</v>
      </c>
      <c r="AB25" s="192">
        <v>17</v>
      </c>
      <c r="AC25" s="192">
        <v>11</v>
      </c>
      <c r="AD25" s="193">
        <v>800000</v>
      </c>
      <c r="AE25" s="193">
        <v>1200000</v>
      </c>
      <c r="AF25" s="193">
        <v>0</v>
      </c>
      <c r="AG25" s="193">
        <v>0</v>
      </c>
      <c r="AH25" s="193">
        <v>0</v>
      </c>
      <c r="AI25" s="193">
        <v>0</v>
      </c>
      <c r="AJ25" s="193">
        <v>400000</v>
      </c>
      <c r="AK25" s="193">
        <v>800000</v>
      </c>
      <c r="AL25" s="193">
        <v>0</v>
      </c>
      <c r="AM25" s="193">
        <v>0</v>
      </c>
      <c r="AN25" s="193">
        <v>1600000</v>
      </c>
      <c r="AO25" s="193">
        <v>0</v>
      </c>
      <c r="AP25" s="193">
        <v>1200000</v>
      </c>
      <c r="AQ25" s="193">
        <v>400000</v>
      </c>
      <c r="AR25" s="193">
        <v>1200000</v>
      </c>
      <c r="AS25" s="193">
        <v>0</v>
      </c>
      <c r="AT25" s="193">
        <v>0</v>
      </c>
      <c r="AU25" s="193">
        <v>1600000</v>
      </c>
      <c r="AV25" s="193">
        <v>400000</v>
      </c>
      <c r="AW25" s="193">
        <v>0</v>
      </c>
      <c r="AX25" s="193">
        <v>0</v>
      </c>
      <c r="AY25" s="193">
        <v>0</v>
      </c>
      <c r="AZ25" s="193">
        <v>1200000</v>
      </c>
      <c r="BA25" s="193">
        <v>400000</v>
      </c>
      <c r="BB25" s="193">
        <v>6800000</v>
      </c>
      <c r="BC25" s="193">
        <v>4400000</v>
      </c>
      <c r="BD25" s="193">
        <v>11200000</v>
      </c>
    </row>
    <row r="26" spans="1:56" s="229" customFormat="1">
      <c r="A26" s="189">
        <v>-20</v>
      </c>
      <c r="B26" s="194" t="s">
        <v>894</v>
      </c>
      <c r="C26" s="191">
        <v>450000</v>
      </c>
      <c r="D26" s="192">
        <v>0</v>
      </c>
      <c r="E26" s="192">
        <v>0</v>
      </c>
      <c r="F26" s="192">
        <v>0</v>
      </c>
      <c r="G26" s="192">
        <v>0</v>
      </c>
      <c r="H26" s="192">
        <v>0</v>
      </c>
      <c r="I26" s="192">
        <v>0</v>
      </c>
      <c r="J26" s="192">
        <v>0</v>
      </c>
      <c r="K26" s="192">
        <v>0</v>
      </c>
      <c r="L26" s="192">
        <v>0</v>
      </c>
      <c r="M26" s="192">
        <v>0</v>
      </c>
      <c r="N26" s="192">
        <v>0</v>
      </c>
      <c r="O26" s="192">
        <v>0</v>
      </c>
      <c r="P26" s="192">
        <v>0</v>
      </c>
      <c r="Q26" s="192">
        <v>0</v>
      </c>
      <c r="R26" s="192">
        <v>0</v>
      </c>
      <c r="S26" s="192">
        <v>0</v>
      </c>
      <c r="T26" s="192">
        <v>0</v>
      </c>
      <c r="U26" s="192">
        <v>0</v>
      </c>
      <c r="V26" s="192">
        <v>0</v>
      </c>
      <c r="W26" s="192">
        <v>0</v>
      </c>
      <c r="X26" s="192">
        <v>0</v>
      </c>
      <c r="Y26" s="192">
        <v>0</v>
      </c>
      <c r="Z26" s="192">
        <v>0</v>
      </c>
      <c r="AA26" s="192">
        <v>0</v>
      </c>
      <c r="AB26" s="192">
        <v>0</v>
      </c>
      <c r="AC26" s="192">
        <v>0</v>
      </c>
      <c r="AD26" s="193">
        <v>0</v>
      </c>
      <c r="AE26" s="193">
        <v>0</v>
      </c>
      <c r="AF26" s="193">
        <v>0</v>
      </c>
      <c r="AG26" s="193">
        <v>0</v>
      </c>
      <c r="AH26" s="193">
        <v>0</v>
      </c>
      <c r="AI26" s="193">
        <v>0</v>
      </c>
      <c r="AJ26" s="193">
        <v>0</v>
      </c>
      <c r="AK26" s="193">
        <v>0</v>
      </c>
      <c r="AL26" s="193">
        <v>0</v>
      </c>
      <c r="AM26" s="193">
        <v>0</v>
      </c>
      <c r="AN26" s="193">
        <v>0</v>
      </c>
      <c r="AO26" s="193">
        <v>0</v>
      </c>
      <c r="AP26" s="193">
        <v>0</v>
      </c>
      <c r="AQ26" s="193">
        <v>0</v>
      </c>
      <c r="AR26" s="193">
        <v>0</v>
      </c>
      <c r="AS26" s="193">
        <v>0</v>
      </c>
      <c r="AT26" s="193">
        <v>0</v>
      </c>
      <c r="AU26" s="193">
        <v>0</v>
      </c>
      <c r="AV26" s="193">
        <v>0</v>
      </c>
      <c r="AW26" s="193">
        <v>0</v>
      </c>
      <c r="AX26" s="193">
        <v>0</v>
      </c>
      <c r="AY26" s="193">
        <v>0</v>
      </c>
      <c r="AZ26" s="193">
        <v>0</v>
      </c>
      <c r="BA26" s="193">
        <v>0</v>
      </c>
      <c r="BB26" s="193">
        <v>0</v>
      </c>
      <c r="BC26" s="193">
        <v>0</v>
      </c>
      <c r="BD26" s="193">
        <v>0</v>
      </c>
    </row>
    <row r="27" spans="1:56" s="229" customFormat="1">
      <c r="A27" s="189">
        <v>-21</v>
      </c>
      <c r="B27" s="190" t="s">
        <v>985</v>
      </c>
      <c r="C27" s="191">
        <v>450000</v>
      </c>
      <c r="D27" s="192">
        <v>7</v>
      </c>
      <c r="E27" s="192">
        <v>0</v>
      </c>
      <c r="F27" s="192">
        <v>0</v>
      </c>
      <c r="G27" s="192">
        <v>0</v>
      </c>
      <c r="H27" s="192">
        <v>0</v>
      </c>
      <c r="I27" s="192">
        <v>0</v>
      </c>
      <c r="J27" s="192">
        <v>0</v>
      </c>
      <c r="K27" s="192">
        <v>0</v>
      </c>
      <c r="L27" s="192">
        <v>0</v>
      </c>
      <c r="M27" s="192">
        <v>0</v>
      </c>
      <c r="N27" s="192">
        <v>3</v>
      </c>
      <c r="O27" s="192">
        <v>0</v>
      </c>
      <c r="P27" s="192">
        <v>3</v>
      </c>
      <c r="Q27" s="192">
        <v>0</v>
      </c>
      <c r="R27" s="192">
        <v>1</v>
      </c>
      <c r="S27" s="192">
        <v>1</v>
      </c>
      <c r="T27" s="192">
        <v>0</v>
      </c>
      <c r="U27" s="192">
        <v>0</v>
      </c>
      <c r="V27" s="192">
        <v>0</v>
      </c>
      <c r="W27" s="192">
        <v>0</v>
      </c>
      <c r="X27" s="192">
        <v>0</v>
      </c>
      <c r="Y27" s="192">
        <v>0</v>
      </c>
      <c r="Z27" s="192">
        <v>5</v>
      </c>
      <c r="AA27" s="192">
        <v>0</v>
      </c>
      <c r="AB27" s="192">
        <v>19</v>
      </c>
      <c r="AC27" s="192">
        <v>1</v>
      </c>
      <c r="AD27" s="193">
        <v>3150000</v>
      </c>
      <c r="AE27" s="193">
        <v>0</v>
      </c>
      <c r="AF27" s="193">
        <v>0</v>
      </c>
      <c r="AG27" s="193">
        <v>0</v>
      </c>
      <c r="AH27" s="193">
        <v>0</v>
      </c>
      <c r="AI27" s="193">
        <v>0</v>
      </c>
      <c r="AJ27" s="193">
        <v>0</v>
      </c>
      <c r="AK27" s="193">
        <v>0</v>
      </c>
      <c r="AL27" s="193">
        <v>0</v>
      </c>
      <c r="AM27" s="193">
        <v>0</v>
      </c>
      <c r="AN27" s="193">
        <v>1350000</v>
      </c>
      <c r="AO27" s="193">
        <v>0</v>
      </c>
      <c r="AP27" s="193">
        <v>1350000</v>
      </c>
      <c r="AQ27" s="193">
        <v>0</v>
      </c>
      <c r="AR27" s="193">
        <v>450000</v>
      </c>
      <c r="AS27" s="193">
        <v>450000</v>
      </c>
      <c r="AT27" s="193">
        <v>0</v>
      </c>
      <c r="AU27" s="193">
        <v>0</v>
      </c>
      <c r="AV27" s="193">
        <v>0</v>
      </c>
      <c r="AW27" s="193">
        <v>0</v>
      </c>
      <c r="AX27" s="193">
        <v>0</v>
      </c>
      <c r="AY27" s="193">
        <v>0</v>
      </c>
      <c r="AZ27" s="193">
        <v>2250000</v>
      </c>
      <c r="BA27" s="193">
        <v>0</v>
      </c>
      <c r="BB27" s="193">
        <v>8550000</v>
      </c>
      <c r="BC27" s="193">
        <v>450000</v>
      </c>
      <c r="BD27" s="193">
        <v>9000000</v>
      </c>
    </row>
    <row r="28" spans="1:56" s="229" customFormat="1">
      <c r="A28" s="189">
        <v>-22</v>
      </c>
      <c r="B28" s="194" t="s">
        <v>899</v>
      </c>
      <c r="C28" s="191">
        <v>460000</v>
      </c>
      <c r="D28" s="192">
        <v>2</v>
      </c>
      <c r="E28" s="192">
        <v>1</v>
      </c>
      <c r="F28" s="192">
        <v>3</v>
      </c>
      <c r="G28" s="192">
        <v>0</v>
      </c>
      <c r="H28" s="192">
        <v>2</v>
      </c>
      <c r="I28" s="192">
        <v>1</v>
      </c>
      <c r="J28" s="192">
        <v>3</v>
      </c>
      <c r="K28" s="192">
        <v>0</v>
      </c>
      <c r="L28" s="192">
        <v>1</v>
      </c>
      <c r="M28" s="192">
        <v>0</v>
      </c>
      <c r="N28" s="192">
        <v>1</v>
      </c>
      <c r="O28" s="192">
        <v>1</v>
      </c>
      <c r="P28" s="192">
        <v>0</v>
      </c>
      <c r="Q28" s="192">
        <v>0</v>
      </c>
      <c r="R28" s="192">
        <v>0</v>
      </c>
      <c r="S28" s="192">
        <v>3</v>
      </c>
      <c r="T28" s="192">
        <v>0</v>
      </c>
      <c r="U28" s="192">
        <v>0</v>
      </c>
      <c r="V28" s="192">
        <v>0</v>
      </c>
      <c r="W28" s="192">
        <v>0</v>
      </c>
      <c r="X28" s="192">
        <v>3</v>
      </c>
      <c r="Y28" s="192">
        <v>0</v>
      </c>
      <c r="Z28" s="192">
        <v>3</v>
      </c>
      <c r="AA28" s="192">
        <v>0</v>
      </c>
      <c r="AB28" s="192">
        <v>18</v>
      </c>
      <c r="AC28" s="192">
        <v>6</v>
      </c>
      <c r="AD28" s="193">
        <v>920000</v>
      </c>
      <c r="AE28" s="193">
        <v>460000</v>
      </c>
      <c r="AF28" s="193">
        <v>1380000</v>
      </c>
      <c r="AG28" s="193">
        <v>0</v>
      </c>
      <c r="AH28" s="193">
        <v>920000</v>
      </c>
      <c r="AI28" s="193">
        <v>460000</v>
      </c>
      <c r="AJ28" s="193">
        <v>1380000</v>
      </c>
      <c r="AK28" s="193">
        <v>0</v>
      </c>
      <c r="AL28" s="193">
        <v>460000</v>
      </c>
      <c r="AM28" s="193">
        <v>0</v>
      </c>
      <c r="AN28" s="193">
        <v>460000</v>
      </c>
      <c r="AO28" s="193">
        <v>460000</v>
      </c>
      <c r="AP28" s="193">
        <v>0</v>
      </c>
      <c r="AQ28" s="193">
        <v>0</v>
      </c>
      <c r="AR28" s="193">
        <v>0</v>
      </c>
      <c r="AS28" s="193">
        <v>1380000</v>
      </c>
      <c r="AT28" s="193">
        <v>0</v>
      </c>
      <c r="AU28" s="193">
        <v>0</v>
      </c>
      <c r="AV28" s="193">
        <v>0</v>
      </c>
      <c r="AW28" s="193">
        <v>0</v>
      </c>
      <c r="AX28" s="193">
        <v>1380000</v>
      </c>
      <c r="AY28" s="193">
        <v>0</v>
      </c>
      <c r="AZ28" s="193">
        <v>1380000</v>
      </c>
      <c r="BA28" s="193">
        <v>0</v>
      </c>
      <c r="BB28" s="193">
        <v>8280000</v>
      </c>
      <c r="BC28" s="193">
        <v>2760000</v>
      </c>
      <c r="BD28" s="193">
        <v>11040000</v>
      </c>
    </row>
    <row r="29" spans="1:56" s="229" customFormat="1">
      <c r="A29" s="189">
        <v>-23</v>
      </c>
      <c r="B29" s="190" t="s">
        <v>987</v>
      </c>
      <c r="C29" s="191">
        <v>460000</v>
      </c>
      <c r="D29" s="192">
        <v>6</v>
      </c>
      <c r="E29" s="192">
        <v>0</v>
      </c>
      <c r="F29" s="192">
        <v>0</v>
      </c>
      <c r="G29" s="192">
        <v>0</v>
      </c>
      <c r="H29" s="192">
        <v>0</v>
      </c>
      <c r="I29" s="192">
        <v>0</v>
      </c>
      <c r="J29" s="192">
        <v>0</v>
      </c>
      <c r="K29" s="192">
        <v>0</v>
      </c>
      <c r="L29" s="192">
        <v>0</v>
      </c>
      <c r="M29" s="192">
        <v>0</v>
      </c>
      <c r="N29" s="192">
        <v>1</v>
      </c>
      <c r="O29" s="192">
        <v>0</v>
      </c>
      <c r="P29" s="192">
        <v>1</v>
      </c>
      <c r="Q29" s="192">
        <v>2</v>
      </c>
      <c r="R29" s="192">
        <v>1</v>
      </c>
      <c r="S29" s="192">
        <v>1</v>
      </c>
      <c r="T29" s="192">
        <v>0</v>
      </c>
      <c r="U29" s="192">
        <v>0</v>
      </c>
      <c r="V29" s="192">
        <v>0</v>
      </c>
      <c r="W29" s="192">
        <v>0</v>
      </c>
      <c r="X29" s="192">
        <v>0</v>
      </c>
      <c r="Y29" s="192">
        <v>0</v>
      </c>
      <c r="Z29" s="192">
        <v>3</v>
      </c>
      <c r="AA29" s="192">
        <v>1</v>
      </c>
      <c r="AB29" s="192">
        <v>12</v>
      </c>
      <c r="AC29" s="192">
        <v>4</v>
      </c>
      <c r="AD29" s="193">
        <v>2760000</v>
      </c>
      <c r="AE29" s="193">
        <v>0</v>
      </c>
      <c r="AF29" s="193">
        <v>0</v>
      </c>
      <c r="AG29" s="193">
        <v>0</v>
      </c>
      <c r="AH29" s="193">
        <v>0</v>
      </c>
      <c r="AI29" s="193">
        <v>0</v>
      </c>
      <c r="AJ29" s="193">
        <v>0</v>
      </c>
      <c r="AK29" s="193">
        <v>0</v>
      </c>
      <c r="AL29" s="193">
        <v>0</v>
      </c>
      <c r="AM29" s="193">
        <v>0</v>
      </c>
      <c r="AN29" s="193">
        <v>460000</v>
      </c>
      <c r="AO29" s="193">
        <v>0</v>
      </c>
      <c r="AP29" s="193">
        <v>460000</v>
      </c>
      <c r="AQ29" s="193">
        <v>920000</v>
      </c>
      <c r="AR29" s="193">
        <v>460000</v>
      </c>
      <c r="AS29" s="193">
        <v>460000</v>
      </c>
      <c r="AT29" s="193">
        <v>0</v>
      </c>
      <c r="AU29" s="193">
        <v>0</v>
      </c>
      <c r="AV29" s="193">
        <v>0</v>
      </c>
      <c r="AW29" s="193">
        <v>0</v>
      </c>
      <c r="AX29" s="193">
        <v>0</v>
      </c>
      <c r="AY29" s="193">
        <v>0</v>
      </c>
      <c r="AZ29" s="193">
        <v>1380000</v>
      </c>
      <c r="BA29" s="193">
        <v>460000</v>
      </c>
      <c r="BB29" s="193">
        <v>5520000</v>
      </c>
      <c r="BC29" s="193">
        <v>1840000</v>
      </c>
      <c r="BD29" s="193">
        <v>7360000</v>
      </c>
    </row>
    <row r="30" spans="1:56" s="229" customFormat="1">
      <c r="A30" s="189">
        <v>-24</v>
      </c>
      <c r="B30" s="194" t="s">
        <v>861</v>
      </c>
      <c r="C30" s="191">
        <v>460000</v>
      </c>
      <c r="D30" s="192">
        <v>6</v>
      </c>
      <c r="E30" s="192">
        <v>0</v>
      </c>
      <c r="F30" s="192">
        <v>0</v>
      </c>
      <c r="G30" s="192">
        <v>0</v>
      </c>
      <c r="H30" s="192">
        <v>0</v>
      </c>
      <c r="I30" s="192">
        <v>0</v>
      </c>
      <c r="J30" s="192">
        <v>2</v>
      </c>
      <c r="K30" s="192">
        <v>0</v>
      </c>
      <c r="L30" s="192">
        <v>0</v>
      </c>
      <c r="M30" s="192">
        <v>0</v>
      </c>
      <c r="N30" s="192">
        <v>1</v>
      </c>
      <c r="O30" s="192">
        <v>0</v>
      </c>
      <c r="P30" s="192">
        <v>3</v>
      </c>
      <c r="Q30" s="192">
        <v>0</v>
      </c>
      <c r="R30" s="192">
        <v>2</v>
      </c>
      <c r="S30" s="192">
        <v>0</v>
      </c>
      <c r="T30" s="192">
        <v>0</v>
      </c>
      <c r="U30" s="192">
        <v>0</v>
      </c>
      <c r="V30" s="192">
        <v>0</v>
      </c>
      <c r="W30" s="192">
        <v>0</v>
      </c>
      <c r="X30" s="192">
        <v>0</v>
      </c>
      <c r="Y30" s="192">
        <v>0</v>
      </c>
      <c r="Z30" s="192">
        <v>0</v>
      </c>
      <c r="AA30" s="192">
        <v>2</v>
      </c>
      <c r="AB30" s="192">
        <v>14</v>
      </c>
      <c r="AC30" s="192">
        <v>2</v>
      </c>
      <c r="AD30" s="193">
        <v>2760000</v>
      </c>
      <c r="AE30" s="193">
        <v>0</v>
      </c>
      <c r="AF30" s="193">
        <v>0</v>
      </c>
      <c r="AG30" s="193">
        <v>0</v>
      </c>
      <c r="AH30" s="193">
        <v>0</v>
      </c>
      <c r="AI30" s="193">
        <v>0</v>
      </c>
      <c r="AJ30" s="193">
        <v>920000</v>
      </c>
      <c r="AK30" s="193">
        <v>0</v>
      </c>
      <c r="AL30" s="193">
        <v>0</v>
      </c>
      <c r="AM30" s="193">
        <v>0</v>
      </c>
      <c r="AN30" s="193">
        <v>460000</v>
      </c>
      <c r="AO30" s="193">
        <v>0</v>
      </c>
      <c r="AP30" s="193">
        <v>1380000</v>
      </c>
      <c r="AQ30" s="193">
        <v>0</v>
      </c>
      <c r="AR30" s="193">
        <v>920000</v>
      </c>
      <c r="AS30" s="193">
        <v>0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0</v>
      </c>
      <c r="AZ30" s="193">
        <v>0</v>
      </c>
      <c r="BA30" s="193">
        <v>920000</v>
      </c>
      <c r="BB30" s="193">
        <v>6440000</v>
      </c>
      <c r="BC30" s="193">
        <v>920000</v>
      </c>
      <c r="BD30" s="193">
        <v>7360000</v>
      </c>
    </row>
    <row r="31" spans="1:56" s="229" customFormat="1">
      <c r="A31" s="189">
        <v>-25</v>
      </c>
      <c r="B31" s="190" t="s">
        <v>1063</v>
      </c>
      <c r="C31" s="191">
        <v>700000</v>
      </c>
      <c r="D31" s="192">
        <v>2</v>
      </c>
      <c r="E31" s="192">
        <v>0</v>
      </c>
      <c r="F31" s="192">
        <v>0</v>
      </c>
      <c r="G31" s="192">
        <v>0</v>
      </c>
      <c r="H31" s="192">
        <v>0</v>
      </c>
      <c r="I31" s="192">
        <v>0</v>
      </c>
      <c r="J31" s="192">
        <v>1</v>
      </c>
      <c r="K31" s="192">
        <v>0</v>
      </c>
      <c r="L31" s="192">
        <v>0</v>
      </c>
      <c r="M31" s="192">
        <v>0</v>
      </c>
      <c r="N31" s="192">
        <v>0</v>
      </c>
      <c r="O31" s="192">
        <v>1</v>
      </c>
      <c r="P31" s="192">
        <v>0</v>
      </c>
      <c r="Q31" s="192">
        <v>3</v>
      </c>
      <c r="R31" s="192">
        <v>3</v>
      </c>
      <c r="S31" s="192">
        <v>0</v>
      </c>
      <c r="T31" s="192">
        <v>9</v>
      </c>
      <c r="U31" s="192">
        <v>0</v>
      </c>
      <c r="V31" s="192">
        <v>0</v>
      </c>
      <c r="W31" s="192">
        <v>0</v>
      </c>
      <c r="X31" s="192">
        <v>0</v>
      </c>
      <c r="Y31" s="192">
        <v>0</v>
      </c>
      <c r="Z31" s="192">
        <v>0</v>
      </c>
      <c r="AA31" s="192">
        <v>0</v>
      </c>
      <c r="AB31" s="192">
        <v>15</v>
      </c>
      <c r="AC31" s="192">
        <v>4</v>
      </c>
      <c r="AD31" s="193">
        <v>1400000</v>
      </c>
      <c r="AE31" s="193">
        <v>0</v>
      </c>
      <c r="AF31" s="193">
        <v>0</v>
      </c>
      <c r="AG31" s="193">
        <v>0</v>
      </c>
      <c r="AH31" s="193">
        <v>0</v>
      </c>
      <c r="AI31" s="193">
        <v>0</v>
      </c>
      <c r="AJ31" s="193">
        <v>700000</v>
      </c>
      <c r="AK31" s="193">
        <v>0</v>
      </c>
      <c r="AL31" s="193">
        <v>0</v>
      </c>
      <c r="AM31" s="193">
        <v>0</v>
      </c>
      <c r="AN31" s="193">
        <v>0</v>
      </c>
      <c r="AO31" s="193">
        <v>700000</v>
      </c>
      <c r="AP31" s="193">
        <v>0</v>
      </c>
      <c r="AQ31" s="193">
        <v>2100000</v>
      </c>
      <c r="AR31" s="193">
        <v>2100000</v>
      </c>
      <c r="AS31" s="193">
        <v>0</v>
      </c>
      <c r="AT31" s="193">
        <v>6300000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0</v>
      </c>
      <c r="BA31" s="193">
        <v>0</v>
      </c>
      <c r="BB31" s="193">
        <v>10500000</v>
      </c>
      <c r="BC31" s="193">
        <v>2800000</v>
      </c>
      <c r="BD31" s="193">
        <v>13300000</v>
      </c>
    </row>
    <row r="32" spans="1:56" s="229" customFormat="1">
      <c r="A32" s="189">
        <v>-26</v>
      </c>
      <c r="B32" s="190" t="s">
        <v>991</v>
      </c>
      <c r="C32" s="191">
        <v>800000</v>
      </c>
      <c r="D32" s="192">
        <v>3</v>
      </c>
      <c r="E32" s="192">
        <v>0</v>
      </c>
      <c r="F32" s="192"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2">
        <v>0</v>
      </c>
      <c r="M32" s="192">
        <v>0</v>
      </c>
      <c r="N32" s="192">
        <v>1</v>
      </c>
      <c r="O32" s="192">
        <v>0</v>
      </c>
      <c r="P32" s="192">
        <v>1</v>
      </c>
      <c r="Q32" s="192">
        <v>0</v>
      </c>
      <c r="R32" s="192">
        <v>0</v>
      </c>
      <c r="S32" s="192">
        <v>0</v>
      </c>
      <c r="T32" s="192">
        <v>3</v>
      </c>
      <c r="U32" s="192">
        <v>0</v>
      </c>
      <c r="V32" s="192">
        <v>0</v>
      </c>
      <c r="W32" s="192">
        <v>0</v>
      </c>
      <c r="X32" s="192">
        <v>0</v>
      </c>
      <c r="Y32" s="192">
        <v>0</v>
      </c>
      <c r="Z32" s="192">
        <v>0</v>
      </c>
      <c r="AA32" s="192">
        <v>1</v>
      </c>
      <c r="AB32" s="192">
        <v>8</v>
      </c>
      <c r="AC32" s="192">
        <v>1</v>
      </c>
      <c r="AD32" s="193">
        <v>2400000</v>
      </c>
      <c r="AE32" s="193">
        <v>0</v>
      </c>
      <c r="AF32" s="193">
        <v>0</v>
      </c>
      <c r="AG32" s="193">
        <v>0</v>
      </c>
      <c r="AH32" s="193">
        <v>0</v>
      </c>
      <c r="AI32" s="193">
        <v>0</v>
      </c>
      <c r="AJ32" s="193">
        <v>0</v>
      </c>
      <c r="AK32" s="193">
        <v>0</v>
      </c>
      <c r="AL32" s="193">
        <v>0</v>
      </c>
      <c r="AM32" s="193">
        <v>0</v>
      </c>
      <c r="AN32" s="193">
        <v>800000</v>
      </c>
      <c r="AO32" s="193">
        <v>0</v>
      </c>
      <c r="AP32" s="193">
        <v>800000</v>
      </c>
      <c r="AQ32" s="193">
        <v>0</v>
      </c>
      <c r="AR32" s="193">
        <v>0</v>
      </c>
      <c r="AS32" s="193">
        <v>0</v>
      </c>
      <c r="AT32" s="193">
        <v>2400000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0</v>
      </c>
      <c r="BA32" s="193">
        <v>800000</v>
      </c>
      <c r="BB32" s="193">
        <v>6400000</v>
      </c>
      <c r="BC32" s="193">
        <v>800000</v>
      </c>
      <c r="BD32" s="193">
        <v>7200000</v>
      </c>
    </row>
    <row r="33" spans="1:56" s="229" customFormat="1">
      <c r="A33" s="189">
        <v>-27</v>
      </c>
      <c r="B33" s="194" t="s">
        <v>903</v>
      </c>
      <c r="C33" s="191">
        <v>900000</v>
      </c>
      <c r="D33" s="192">
        <v>1</v>
      </c>
      <c r="E33" s="192">
        <v>0</v>
      </c>
      <c r="F33" s="192">
        <v>1</v>
      </c>
      <c r="G33" s="192">
        <v>0</v>
      </c>
      <c r="H33" s="192">
        <v>0</v>
      </c>
      <c r="I33" s="192">
        <v>0</v>
      </c>
      <c r="J33" s="192">
        <v>0</v>
      </c>
      <c r="K33" s="192">
        <v>0</v>
      </c>
      <c r="L33" s="192">
        <v>0</v>
      </c>
      <c r="M33" s="192">
        <v>0</v>
      </c>
      <c r="N33" s="192">
        <v>0</v>
      </c>
      <c r="O33" s="192">
        <v>0</v>
      </c>
      <c r="P33" s="192">
        <v>0</v>
      </c>
      <c r="Q33" s="192">
        <v>0</v>
      </c>
      <c r="R33" s="192">
        <v>0</v>
      </c>
      <c r="S33" s="192">
        <v>0</v>
      </c>
      <c r="T33" s="192">
        <v>0</v>
      </c>
      <c r="U33" s="192">
        <v>0</v>
      </c>
      <c r="V33" s="192">
        <v>0</v>
      </c>
      <c r="W33" s="192">
        <v>0</v>
      </c>
      <c r="X33" s="192">
        <v>1</v>
      </c>
      <c r="Y33" s="192">
        <v>0</v>
      </c>
      <c r="Z33" s="192">
        <v>0</v>
      </c>
      <c r="AA33" s="192">
        <v>0</v>
      </c>
      <c r="AB33" s="192">
        <v>3</v>
      </c>
      <c r="AC33" s="192">
        <v>0</v>
      </c>
      <c r="AD33" s="193">
        <v>900000</v>
      </c>
      <c r="AE33" s="193">
        <v>0</v>
      </c>
      <c r="AF33" s="193">
        <v>900000</v>
      </c>
      <c r="AG33" s="193">
        <v>0</v>
      </c>
      <c r="AH33" s="193">
        <v>0</v>
      </c>
      <c r="AI33" s="193">
        <v>0</v>
      </c>
      <c r="AJ33" s="193">
        <v>0</v>
      </c>
      <c r="AK33" s="193">
        <v>0</v>
      </c>
      <c r="AL33" s="193">
        <v>0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0</v>
      </c>
      <c r="AS33" s="193">
        <v>0</v>
      </c>
      <c r="AT33" s="193">
        <v>0</v>
      </c>
      <c r="AU33" s="193">
        <v>0</v>
      </c>
      <c r="AV33" s="193">
        <v>0</v>
      </c>
      <c r="AW33" s="193">
        <v>0</v>
      </c>
      <c r="AX33" s="193">
        <v>900000</v>
      </c>
      <c r="AY33" s="193">
        <v>0</v>
      </c>
      <c r="AZ33" s="193">
        <v>0</v>
      </c>
      <c r="BA33" s="193">
        <v>0</v>
      </c>
      <c r="BB33" s="193">
        <v>2700000</v>
      </c>
      <c r="BC33" s="193">
        <v>0</v>
      </c>
      <c r="BD33" s="193">
        <v>2700000</v>
      </c>
    </row>
    <row r="34" spans="1:56" s="229" customFormat="1">
      <c r="A34" s="189">
        <v>-28</v>
      </c>
      <c r="B34" s="194" t="s">
        <v>867</v>
      </c>
      <c r="C34" s="191">
        <v>1100000</v>
      </c>
      <c r="D34" s="192">
        <v>1</v>
      </c>
      <c r="E34" s="192">
        <v>0</v>
      </c>
      <c r="F34" s="192">
        <v>1</v>
      </c>
      <c r="G34" s="192">
        <v>0</v>
      </c>
      <c r="H34" s="192">
        <v>1</v>
      </c>
      <c r="I34" s="192">
        <v>0</v>
      </c>
      <c r="J34" s="192">
        <v>0</v>
      </c>
      <c r="K34" s="192">
        <v>0</v>
      </c>
      <c r="L34" s="192">
        <v>0</v>
      </c>
      <c r="M34" s="192">
        <v>0</v>
      </c>
      <c r="N34" s="192">
        <v>0</v>
      </c>
      <c r="O34" s="192">
        <v>0</v>
      </c>
      <c r="P34" s="192">
        <v>0</v>
      </c>
      <c r="Q34" s="192">
        <v>0</v>
      </c>
      <c r="R34" s="192">
        <v>0</v>
      </c>
      <c r="S34" s="192">
        <v>0</v>
      </c>
      <c r="T34" s="192">
        <v>0</v>
      </c>
      <c r="U34" s="192">
        <v>0</v>
      </c>
      <c r="V34" s="192">
        <v>0</v>
      </c>
      <c r="W34" s="192">
        <v>0</v>
      </c>
      <c r="X34" s="192">
        <v>0</v>
      </c>
      <c r="Y34" s="192">
        <v>0</v>
      </c>
      <c r="Z34" s="192">
        <v>0</v>
      </c>
      <c r="AA34" s="192">
        <v>0</v>
      </c>
      <c r="AB34" s="192">
        <v>3</v>
      </c>
      <c r="AC34" s="192">
        <v>0</v>
      </c>
      <c r="AD34" s="193">
        <v>1100000</v>
      </c>
      <c r="AE34" s="193">
        <v>0</v>
      </c>
      <c r="AF34" s="193">
        <v>1100000</v>
      </c>
      <c r="AG34" s="193">
        <v>0</v>
      </c>
      <c r="AH34" s="193">
        <v>1100000</v>
      </c>
      <c r="AI34" s="193">
        <v>0</v>
      </c>
      <c r="AJ34" s="193">
        <v>0</v>
      </c>
      <c r="AK34" s="193">
        <v>0</v>
      </c>
      <c r="AL34" s="193">
        <v>0</v>
      </c>
      <c r="AM34" s="193">
        <v>0</v>
      </c>
      <c r="AN34" s="193">
        <v>0</v>
      </c>
      <c r="AO34" s="193">
        <v>0</v>
      </c>
      <c r="AP34" s="193">
        <v>0</v>
      </c>
      <c r="AQ34" s="193">
        <v>0</v>
      </c>
      <c r="AR34" s="193">
        <v>0</v>
      </c>
      <c r="AS34" s="193">
        <v>0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3300000</v>
      </c>
      <c r="BC34" s="193">
        <v>0</v>
      </c>
      <c r="BD34" s="193">
        <v>3300000</v>
      </c>
    </row>
    <row r="35" spans="1:56" s="229" customFormat="1">
      <c r="A35" s="196"/>
      <c r="B35" s="190" t="s">
        <v>1064</v>
      </c>
      <c r="C35" s="196"/>
      <c r="D35" s="192">
        <v>86</v>
      </c>
      <c r="E35" s="192">
        <v>7</v>
      </c>
      <c r="F35" s="192">
        <v>38</v>
      </c>
      <c r="G35" s="192">
        <v>2</v>
      </c>
      <c r="H35" s="192">
        <v>14</v>
      </c>
      <c r="I35" s="192">
        <v>1</v>
      </c>
      <c r="J35" s="192">
        <v>34</v>
      </c>
      <c r="K35" s="192">
        <v>3</v>
      </c>
      <c r="L35" s="192">
        <v>11</v>
      </c>
      <c r="M35" s="192">
        <v>0</v>
      </c>
      <c r="N35" s="192">
        <v>33</v>
      </c>
      <c r="O35" s="192">
        <v>8</v>
      </c>
      <c r="P35" s="192">
        <v>29</v>
      </c>
      <c r="Q35" s="192">
        <v>18</v>
      </c>
      <c r="R35" s="192">
        <v>34</v>
      </c>
      <c r="S35" s="192">
        <v>24</v>
      </c>
      <c r="T35" s="192">
        <v>19</v>
      </c>
      <c r="U35" s="192">
        <v>8</v>
      </c>
      <c r="V35" s="192">
        <v>3</v>
      </c>
      <c r="W35" s="192">
        <v>0</v>
      </c>
      <c r="X35" s="192">
        <v>16</v>
      </c>
      <c r="Y35" s="192">
        <v>2</v>
      </c>
      <c r="Z35" s="192">
        <v>53</v>
      </c>
      <c r="AA35" s="192">
        <v>7</v>
      </c>
      <c r="AB35" s="192">
        <v>370</v>
      </c>
      <c r="AC35" s="192">
        <v>80</v>
      </c>
      <c r="AD35" s="193">
        <v>26425000</v>
      </c>
      <c r="AE35" s="193">
        <v>2200000</v>
      </c>
      <c r="AF35" s="193">
        <v>9395000</v>
      </c>
      <c r="AG35" s="193">
        <v>360000</v>
      </c>
      <c r="AH35" s="193">
        <v>3750000</v>
      </c>
      <c r="AI35" s="193">
        <v>460000</v>
      </c>
      <c r="AJ35" s="193">
        <v>8400000</v>
      </c>
      <c r="AK35" s="193">
        <v>950000</v>
      </c>
      <c r="AL35" s="193">
        <v>1560000</v>
      </c>
      <c r="AM35" s="193">
        <v>0</v>
      </c>
      <c r="AN35" s="193">
        <v>9080000</v>
      </c>
      <c r="AO35" s="193">
        <v>2120000</v>
      </c>
      <c r="AP35" s="193">
        <v>8340000</v>
      </c>
      <c r="AQ35" s="193">
        <v>6420000</v>
      </c>
      <c r="AR35" s="193">
        <v>9200000</v>
      </c>
      <c r="AS35" s="193">
        <v>5920000</v>
      </c>
      <c r="AT35" s="193">
        <v>9870000</v>
      </c>
      <c r="AU35" s="193">
        <v>2400000</v>
      </c>
      <c r="AV35" s="193">
        <v>800000</v>
      </c>
      <c r="AW35" s="193">
        <v>0</v>
      </c>
      <c r="AX35" s="193">
        <v>3740000</v>
      </c>
      <c r="AY35" s="193">
        <v>360000</v>
      </c>
      <c r="AZ35" s="193">
        <v>13100000</v>
      </c>
      <c r="BA35" s="193">
        <v>2940000</v>
      </c>
      <c r="BB35" s="193">
        <v>103660000</v>
      </c>
      <c r="BC35" s="193">
        <v>24130000</v>
      </c>
      <c r="BD35" s="193">
        <v>127790000</v>
      </c>
    </row>
    <row r="36" spans="1:56" s="229" customFormat="1">
      <c r="A36" s="184">
        <v>2</v>
      </c>
      <c r="B36" s="185" t="s">
        <v>833</v>
      </c>
      <c r="C36" s="186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</row>
    <row r="37" spans="1:56" s="230" customFormat="1">
      <c r="A37" s="189">
        <v>-1</v>
      </c>
      <c r="B37" s="190" t="s">
        <v>834</v>
      </c>
      <c r="C37" s="191">
        <v>110000</v>
      </c>
      <c r="D37" s="192">
        <v>0</v>
      </c>
      <c r="E37" s="192">
        <v>0</v>
      </c>
      <c r="F37" s="192">
        <v>0</v>
      </c>
      <c r="G37" s="192">
        <v>0</v>
      </c>
      <c r="H37" s="192">
        <v>0</v>
      </c>
      <c r="I37" s="192">
        <v>0</v>
      </c>
      <c r="J37" s="192">
        <v>0</v>
      </c>
      <c r="K37" s="192">
        <v>0</v>
      </c>
      <c r="L37" s="192">
        <v>0</v>
      </c>
      <c r="M37" s="192">
        <v>0</v>
      </c>
      <c r="N37" s="192">
        <v>0</v>
      </c>
      <c r="O37" s="192">
        <v>0</v>
      </c>
      <c r="P37" s="192">
        <v>0</v>
      </c>
      <c r="Q37" s="192">
        <v>0</v>
      </c>
      <c r="R37" s="192">
        <v>0</v>
      </c>
      <c r="S37" s="192">
        <v>0</v>
      </c>
      <c r="T37" s="192">
        <v>0</v>
      </c>
      <c r="U37" s="192">
        <v>0</v>
      </c>
      <c r="V37" s="192">
        <v>0</v>
      </c>
      <c r="W37" s="192">
        <v>0</v>
      </c>
      <c r="X37" s="192">
        <v>0</v>
      </c>
      <c r="Y37" s="192">
        <v>0</v>
      </c>
      <c r="Z37" s="192">
        <v>0</v>
      </c>
      <c r="AA37" s="192">
        <v>0</v>
      </c>
      <c r="AB37" s="192">
        <v>0</v>
      </c>
      <c r="AC37" s="192">
        <v>0</v>
      </c>
      <c r="AD37" s="193">
        <v>0</v>
      </c>
      <c r="AE37" s="193">
        <v>0</v>
      </c>
      <c r="AF37" s="193">
        <v>0</v>
      </c>
      <c r="AG37" s="193">
        <v>0</v>
      </c>
      <c r="AH37" s="193">
        <v>0</v>
      </c>
      <c r="AI37" s="193">
        <v>0</v>
      </c>
      <c r="AJ37" s="193">
        <v>0</v>
      </c>
      <c r="AK37" s="193">
        <v>0</v>
      </c>
      <c r="AL37" s="193">
        <v>0</v>
      </c>
      <c r="AM37" s="193">
        <v>0</v>
      </c>
      <c r="AN37" s="193">
        <v>0</v>
      </c>
      <c r="AO37" s="193">
        <v>0</v>
      </c>
      <c r="AP37" s="193">
        <v>0</v>
      </c>
      <c r="AQ37" s="193">
        <v>0</v>
      </c>
      <c r="AR37" s="193">
        <v>0</v>
      </c>
      <c r="AS37" s="193">
        <v>0</v>
      </c>
      <c r="AT37" s="193">
        <v>0</v>
      </c>
      <c r="AU37" s="193">
        <v>0</v>
      </c>
      <c r="AV37" s="193">
        <v>0</v>
      </c>
      <c r="AW37" s="193">
        <v>0</v>
      </c>
      <c r="AX37" s="193">
        <v>0</v>
      </c>
      <c r="AY37" s="193">
        <v>0</v>
      </c>
      <c r="AZ37" s="193">
        <v>0</v>
      </c>
      <c r="BA37" s="193">
        <v>0</v>
      </c>
      <c r="BB37" s="193">
        <v>0</v>
      </c>
      <c r="BC37" s="193">
        <v>0</v>
      </c>
      <c r="BD37" s="193">
        <v>0</v>
      </c>
    </row>
    <row r="38" spans="1:56" s="230" customFormat="1">
      <c r="A38" s="189">
        <v>-2</v>
      </c>
      <c r="B38" s="190" t="s">
        <v>836</v>
      </c>
      <c r="C38" s="191">
        <v>140000</v>
      </c>
      <c r="D38" s="192">
        <v>1</v>
      </c>
      <c r="E38" s="192">
        <v>0</v>
      </c>
      <c r="F38" s="192">
        <v>0</v>
      </c>
      <c r="G38" s="192">
        <v>0</v>
      </c>
      <c r="H38" s="192">
        <v>0</v>
      </c>
      <c r="I38" s="192">
        <v>0</v>
      </c>
      <c r="J38" s="192">
        <v>0</v>
      </c>
      <c r="K38" s="192">
        <v>0</v>
      </c>
      <c r="L38" s="192">
        <v>0</v>
      </c>
      <c r="M38" s="192">
        <v>0</v>
      </c>
      <c r="N38" s="192">
        <v>1</v>
      </c>
      <c r="O38" s="192">
        <v>0</v>
      </c>
      <c r="P38" s="192">
        <v>0</v>
      </c>
      <c r="Q38" s="192">
        <v>0</v>
      </c>
      <c r="R38" s="192">
        <v>0</v>
      </c>
      <c r="S38" s="192">
        <v>1</v>
      </c>
      <c r="T38" s="192">
        <v>0</v>
      </c>
      <c r="U38" s="192">
        <v>0</v>
      </c>
      <c r="V38" s="192">
        <v>0</v>
      </c>
      <c r="W38" s="192">
        <v>0</v>
      </c>
      <c r="X38" s="192">
        <v>0</v>
      </c>
      <c r="Y38" s="192">
        <v>0</v>
      </c>
      <c r="Z38" s="192">
        <v>1</v>
      </c>
      <c r="AA38" s="192">
        <v>0</v>
      </c>
      <c r="AB38" s="192">
        <v>3</v>
      </c>
      <c r="AC38" s="192">
        <v>1</v>
      </c>
      <c r="AD38" s="193">
        <v>140000</v>
      </c>
      <c r="AE38" s="193">
        <v>0</v>
      </c>
      <c r="AF38" s="193">
        <v>0</v>
      </c>
      <c r="AG38" s="193">
        <v>0</v>
      </c>
      <c r="AH38" s="193">
        <v>0</v>
      </c>
      <c r="AI38" s="193">
        <v>0</v>
      </c>
      <c r="AJ38" s="193">
        <v>0</v>
      </c>
      <c r="AK38" s="193">
        <v>0</v>
      </c>
      <c r="AL38" s="193">
        <v>0</v>
      </c>
      <c r="AM38" s="193">
        <v>0</v>
      </c>
      <c r="AN38" s="193">
        <v>140000</v>
      </c>
      <c r="AO38" s="193">
        <v>0</v>
      </c>
      <c r="AP38" s="193">
        <v>0</v>
      </c>
      <c r="AQ38" s="193">
        <v>0</v>
      </c>
      <c r="AR38" s="193">
        <v>0</v>
      </c>
      <c r="AS38" s="193">
        <v>140000</v>
      </c>
      <c r="AT38" s="193">
        <v>0</v>
      </c>
      <c r="AU38" s="193">
        <v>0</v>
      </c>
      <c r="AV38" s="193">
        <v>0</v>
      </c>
      <c r="AW38" s="193">
        <v>0</v>
      </c>
      <c r="AX38" s="193">
        <v>0</v>
      </c>
      <c r="AY38" s="193">
        <v>0</v>
      </c>
      <c r="AZ38" s="193">
        <v>140000</v>
      </c>
      <c r="BA38" s="193">
        <v>0</v>
      </c>
      <c r="BB38" s="193">
        <v>420000</v>
      </c>
      <c r="BC38" s="193">
        <v>140000</v>
      </c>
      <c r="BD38" s="193">
        <v>560000</v>
      </c>
    </row>
    <row r="39" spans="1:56" s="230" customFormat="1">
      <c r="A39" s="189">
        <v>-3</v>
      </c>
      <c r="B39" s="190" t="s">
        <v>837</v>
      </c>
      <c r="C39" s="191">
        <v>1600000</v>
      </c>
      <c r="D39" s="192">
        <v>1</v>
      </c>
      <c r="E39" s="192">
        <v>0</v>
      </c>
      <c r="F39" s="192">
        <v>0</v>
      </c>
      <c r="G39" s="192">
        <v>0</v>
      </c>
      <c r="H39" s="192">
        <v>0</v>
      </c>
      <c r="I39" s="192">
        <v>0</v>
      </c>
      <c r="J39" s="192">
        <v>0</v>
      </c>
      <c r="K39" s="192">
        <v>0</v>
      </c>
      <c r="L39" s="192">
        <v>0</v>
      </c>
      <c r="M39" s="192">
        <v>0</v>
      </c>
      <c r="N39" s="192">
        <v>0</v>
      </c>
      <c r="O39" s="192">
        <v>0</v>
      </c>
      <c r="P39" s="192">
        <v>0</v>
      </c>
      <c r="Q39" s="192">
        <v>0</v>
      </c>
      <c r="R39" s="192">
        <v>0</v>
      </c>
      <c r="S39" s="192">
        <v>0</v>
      </c>
      <c r="T39" s="192">
        <v>0</v>
      </c>
      <c r="U39" s="192">
        <v>0</v>
      </c>
      <c r="V39" s="192">
        <v>0</v>
      </c>
      <c r="W39" s="192">
        <v>0</v>
      </c>
      <c r="X39" s="192">
        <v>1</v>
      </c>
      <c r="Y39" s="192">
        <v>0</v>
      </c>
      <c r="Z39" s="192">
        <v>0</v>
      </c>
      <c r="AA39" s="192">
        <v>0</v>
      </c>
      <c r="AB39" s="192">
        <v>2</v>
      </c>
      <c r="AC39" s="192">
        <v>0</v>
      </c>
      <c r="AD39" s="193">
        <v>1600000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0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1600000</v>
      </c>
      <c r="AY39" s="193">
        <v>0</v>
      </c>
      <c r="AZ39" s="193">
        <v>0</v>
      </c>
      <c r="BA39" s="193">
        <v>0</v>
      </c>
      <c r="BB39" s="193">
        <v>3200000</v>
      </c>
      <c r="BC39" s="193">
        <v>0</v>
      </c>
      <c r="BD39" s="193">
        <v>3200000</v>
      </c>
    </row>
    <row r="40" spans="1:56" s="230" customFormat="1">
      <c r="A40" s="189">
        <v>-4</v>
      </c>
      <c r="B40" s="190" t="s">
        <v>838</v>
      </c>
      <c r="C40" s="191">
        <v>2100000</v>
      </c>
      <c r="D40" s="192">
        <v>0</v>
      </c>
      <c r="E40" s="192">
        <v>0</v>
      </c>
      <c r="F40" s="192">
        <v>0</v>
      </c>
      <c r="G40" s="192">
        <v>0</v>
      </c>
      <c r="H40" s="192">
        <v>0</v>
      </c>
      <c r="I40" s="192">
        <v>0</v>
      </c>
      <c r="J40" s="192">
        <v>0</v>
      </c>
      <c r="K40" s="192">
        <v>0</v>
      </c>
      <c r="L40" s="192">
        <v>0</v>
      </c>
      <c r="M40" s="192">
        <v>0</v>
      </c>
      <c r="N40" s="192">
        <v>0</v>
      </c>
      <c r="O40" s="192">
        <v>0</v>
      </c>
      <c r="P40" s="192">
        <v>0</v>
      </c>
      <c r="Q40" s="192">
        <v>0</v>
      </c>
      <c r="R40" s="192">
        <v>0</v>
      </c>
      <c r="S40" s="192">
        <v>0</v>
      </c>
      <c r="T40" s="192">
        <v>1</v>
      </c>
      <c r="U40" s="192">
        <v>0</v>
      </c>
      <c r="V40" s="192">
        <v>0</v>
      </c>
      <c r="W40" s="192">
        <v>0</v>
      </c>
      <c r="X40" s="192">
        <v>0</v>
      </c>
      <c r="Y40" s="192">
        <v>0</v>
      </c>
      <c r="Z40" s="192">
        <v>1</v>
      </c>
      <c r="AA40" s="192">
        <v>0</v>
      </c>
      <c r="AB40" s="192">
        <v>2</v>
      </c>
      <c r="AC40" s="192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0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2100000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2100000</v>
      </c>
      <c r="BA40" s="193">
        <v>0</v>
      </c>
      <c r="BB40" s="193">
        <v>4200000</v>
      </c>
      <c r="BC40" s="193">
        <v>0</v>
      </c>
      <c r="BD40" s="193">
        <v>4200000</v>
      </c>
    </row>
    <row r="41" spans="1:56" s="229" customFormat="1">
      <c r="A41" s="189">
        <v>-5</v>
      </c>
      <c r="B41" s="194" t="s">
        <v>840</v>
      </c>
      <c r="C41" s="191">
        <v>135000</v>
      </c>
      <c r="D41" s="192">
        <v>1</v>
      </c>
      <c r="E41" s="192">
        <v>0</v>
      </c>
      <c r="F41" s="192">
        <v>0</v>
      </c>
      <c r="G41" s="192">
        <v>0</v>
      </c>
      <c r="H41" s="192">
        <v>0</v>
      </c>
      <c r="I41" s="192">
        <v>0</v>
      </c>
      <c r="J41" s="192">
        <v>0</v>
      </c>
      <c r="K41" s="192">
        <v>0</v>
      </c>
      <c r="L41" s="192">
        <v>0</v>
      </c>
      <c r="M41" s="192">
        <v>0</v>
      </c>
      <c r="N41" s="192">
        <v>0</v>
      </c>
      <c r="O41" s="192">
        <v>0</v>
      </c>
      <c r="P41" s="192">
        <v>0</v>
      </c>
      <c r="Q41" s="192">
        <v>0</v>
      </c>
      <c r="R41" s="192">
        <v>0</v>
      </c>
      <c r="S41" s="192">
        <v>0</v>
      </c>
      <c r="T41" s="192">
        <v>0</v>
      </c>
      <c r="U41" s="192">
        <v>0</v>
      </c>
      <c r="V41" s="192">
        <v>0</v>
      </c>
      <c r="W41" s="192">
        <v>0</v>
      </c>
      <c r="X41" s="192">
        <v>0</v>
      </c>
      <c r="Y41" s="192">
        <v>0</v>
      </c>
      <c r="Z41" s="192">
        <v>0</v>
      </c>
      <c r="AA41" s="192">
        <v>0</v>
      </c>
      <c r="AB41" s="192">
        <v>1</v>
      </c>
      <c r="AC41" s="192">
        <v>0</v>
      </c>
      <c r="AD41" s="193">
        <v>135000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0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135000</v>
      </c>
      <c r="BC41" s="193">
        <v>0</v>
      </c>
      <c r="BD41" s="193">
        <v>135000</v>
      </c>
    </row>
    <row r="42" spans="1:56" s="232" customFormat="1">
      <c r="A42" s="189">
        <v>-6</v>
      </c>
      <c r="B42" s="190" t="s">
        <v>839</v>
      </c>
      <c r="C42" s="191">
        <v>150000</v>
      </c>
      <c r="D42" s="192">
        <v>0</v>
      </c>
      <c r="E42" s="192">
        <v>0</v>
      </c>
      <c r="F42" s="192">
        <v>0</v>
      </c>
      <c r="G42" s="192">
        <v>0</v>
      </c>
      <c r="H42" s="192">
        <v>1</v>
      </c>
      <c r="I42" s="192">
        <v>0</v>
      </c>
      <c r="J42" s="192">
        <v>0</v>
      </c>
      <c r="K42" s="192">
        <v>0</v>
      </c>
      <c r="L42" s="192">
        <v>0</v>
      </c>
      <c r="M42" s="192">
        <v>0</v>
      </c>
      <c r="N42" s="192">
        <v>1</v>
      </c>
      <c r="O42" s="192">
        <v>0</v>
      </c>
      <c r="P42" s="192">
        <v>0</v>
      </c>
      <c r="Q42" s="192">
        <v>0</v>
      </c>
      <c r="R42" s="192">
        <v>0</v>
      </c>
      <c r="S42" s="192">
        <v>0</v>
      </c>
      <c r="T42" s="192">
        <v>0</v>
      </c>
      <c r="U42" s="192">
        <v>0</v>
      </c>
      <c r="V42" s="192">
        <v>0</v>
      </c>
      <c r="W42" s="192">
        <v>0</v>
      </c>
      <c r="X42" s="192">
        <v>0</v>
      </c>
      <c r="Y42" s="192">
        <v>0</v>
      </c>
      <c r="Z42" s="192">
        <v>0</v>
      </c>
      <c r="AA42" s="192">
        <v>0</v>
      </c>
      <c r="AB42" s="192">
        <v>2</v>
      </c>
      <c r="AC42" s="192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150000</v>
      </c>
      <c r="AI42" s="193">
        <v>0</v>
      </c>
      <c r="AJ42" s="193">
        <v>0</v>
      </c>
      <c r="AK42" s="193">
        <v>0</v>
      </c>
      <c r="AL42" s="193">
        <v>0</v>
      </c>
      <c r="AM42" s="193">
        <v>0</v>
      </c>
      <c r="AN42" s="193">
        <v>150000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300000</v>
      </c>
      <c r="BC42" s="193">
        <v>0</v>
      </c>
      <c r="BD42" s="193">
        <v>300000</v>
      </c>
    </row>
    <row r="43" spans="1:56" s="230" customFormat="1">
      <c r="A43" s="189">
        <v>-7</v>
      </c>
      <c r="B43" s="190" t="s">
        <v>841</v>
      </c>
      <c r="C43" s="191">
        <v>165000</v>
      </c>
      <c r="D43" s="192">
        <v>0</v>
      </c>
      <c r="E43" s="192">
        <v>0</v>
      </c>
      <c r="F43" s="192">
        <v>0</v>
      </c>
      <c r="G43" s="192">
        <v>0</v>
      </c>
      <c r="H43" s="192">
        <v>0</v>
      </c>
      <c r="I43" s="192">
        <v>0</v>
      </c>
      <c r="J43" s="192">
        <v>0</v>
      </c>
      <c r="K43" s="192">
        <v>0</v>
      </c>
      <c r="L43" s="192">
        <v>0</v>
      </c>
      <c r="M43" s="192">
        <v>0</v>
      </c>
      <c r="N43" s="192">
        <v>0</v>
      </c>
      <c r="O43" s="192">
        <v>0</v>
      </c>
      <c r="P43" s="192">
        <v>0</v>
      </c>
      <c r="Q43" s="192">
        <v>0</v>
      </c>
      <c r="R43" s="192">
        <v>0</v>
      </c>
      <c r="S43" s="192">
        <v>0</v>
      </c>
      <c r="T43" s="192">
        <v>0</v>
      </c>
      <c r="U43" s="192">
        <v>0</v>
      </c>
      <c r="V43" s="192">
        <v>0</v>
      </c>
      <c r="W43" s="192">
        <v>0</v>
      </c>
      <c r="X43" s="192">
        <v>0</v>
      </c>
      <c r="Y43" s="192">
        <v>0</v>
      </c>
      <c r="Z43" s="192">
        <v>0</v>
      </c>
      <c r="AA43" s="192">
        <v>0</v>
      </c>
      <c r="AB43" s="192">
        <v>0</v>
      </c>
      <c r="AC43" s="192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</row>
    <row r="44" spans="1:56" s="229" customFormat="1">
      <c r="A44" s="189">
        <v>-8</v>
      </c>
      <c r="B44" s="194" t="s">
        <v>842</v>
      </c>
      <c r="C44" s="191">
        <v>165000</v>
      </c>
      <c r="D44" s="192">
        <v>0</v>
      </c>
      <c r="E44" s="192">
        <v>0</v>
      </c>
      <c r="F44" s="192">
        <v>0</v>
      </c>
      <c r="G44" s="192">
        <v>0</v>
      </c>
      <c r="H44" s="192">
        <v>0</v>
      </c>
      <c r="I44" s="192">
        <v>0</v>
      </c>
      <c r="J44" s="192">
        <v>0</v>
      </c>
      <c r="K44" s="192">
        <v>0</v>
      </c>
      <c r="L44" s="192">
        <v>0</v>
      </c>
      <c r="M44" s="192">
        <v>0</v>
      </c>
      <c r="N44" s="192">
        <v>0</v>
      </c>
      <c r="O44" s="192">
        <v>0</v>
      </c>
      <c r="P44" s="192">
        <v>0</v>
      </c>
      <c r="Q44" s="192">
        <v>0</v>
      </c>
      <c r="R44" s="192">
        <v>0</v>
      </c>
      <c r="S44" s="192">
        <v>0</v>
      </c>
      <c r="T44" s="192">
        <v>0</v>
      </c>
      <c r="U44" s="192">
        <v>0</v>
      </c>
      <c r="V44" s="192">
        <v>0</v>
      </c>
      <c r="W44" s="192">
        <v>0</v>
      </c>
      <c r="X44" s="192">
        <v>0</v>
      </c>
      <c r="Y44" s="192">
        <v>0</v>
      </c>
      <c r="Z44" s="192">
        <v>0</v>
      </c>
      <c r="AA44" s="192">
        <v>0</v>
      </c>
      <c r="AB44" s="192">
        <v>0</v>
      </c>
      <c r="AC44" s="192">
        <v>0</v>
      </c>
      <c r="AD44" s="193">
        <v>0</v>
      </c>
      <c r="AE44" s="193">
        <v>0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</row>
    <row r="45" spans="1:56" s="232" customFormat="1">
      <c r="A45" s="189">
        <v>-9</v>
      </c>
      <c r="B45" s="190" t="s">
        <v>843</v>
      </c>
      <c r="C45" s="191">
        <v>170000</v>
      </c>
      <c r="D45" s="192">
        <v>1</v>
      </c>
      <c r="E45" s="192">
        <v>0</v>
      </c>
      <c r="F45" s="192">
        <v>0</v>
      </c>
      <c r="G45" s="192">
        <v>0</v>
      </c>
      <c r="H45" s="192">
        <v>0</v>
      </c>
      <c r="I45" s="192">
        <v>0</v>
      </c>
      <c r="J45" s="192">
        <v>0</v>
      </c>
      <c r="K45" s="192">
        <v>0</v>
      </c>
      <c r="L45" s="192">
        <v>0</v>
      </c>
      <c r="M45" s="192">
        <v>0</v>
      </c>
      <c r="N45" s="192">
        <v>1</v>
      </c>
      <c r="O45" s="192">
        <v>0</v>
      </c>
      <c r="P45" s="192">
        <v>0</v>
      </c>
      <c r="Q45" s="192">
        <v>0</v>
      </c>
      <c r="R45" s="192">
        <v>0</v>
      </c>
      <c r="S45" s="192">
        <v>1</v>
      </c>
      <c r="T45" s="192">
        <v>1</v>
      </c>
      <c r="U45" s="192">
        <v>0</v>
      </c>
      <c r="V45" s="192">
        <v>0</v>
      </c>
      <c r="W45" s="192">
        <v>0</v>
      </c>
      <c r="X45" s="192">
        <v>0</v>
      </c>
      <c r="Y45" s="192">
        <v>0</v>
      </c>
      <c r="Z45" s="192">
        <v>0</v>
      </c>
      <c r="AA45" s="192">
        <v>1</v>
      </c>
      <c r="AB45" s="192">
        <v>3</v>
      </c>
      <c r="AC45" s="192">
        <v>2</v>
      </c>
      <c r="AD45" s="193">
        <v>170000</v>
      </c>
      <c r="AE45" s="193">
        <v>0</v>
      </c>
      <c r="AF45" s="193">
        <v>0</v>
      </c>
      <c r="AG45" s="193">
        <v>0</v>
      </c>
      <c r="AH45" s="193">
        <v>0</v>
      </c>
      <c r="AI45" s="193">
        <v>0</v>
      </c>
      <c r="AJ45" s="193">
        <v>0</v>
      </c>
      <c r="AK45" s="193">
        <v>0</v>
      </c>
      <c r="AL45" s="193">
        <v>0</v>
      </c>
      <c r="AM45" s="193">
        <v>0</v>
      </c>
      <c r="AN45" s="193">
        <v>170000</v>
      </c>
      <c r="AO45" s="193">
        <v>0</v>
      </c>
      <c r="AP45" s="193">
        <v>0</v>
      </c>
      <c r="AQ45" s="193">
        <v>0</v>
      </c>
      <c r="AR45" s="193">
        <v>0</v>
      </c>
      <c r="AS45" s="193">
        <v>170000</v>
      </c>
      <c r="AT45" s="193">
        <v>170000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0</v>
      </c>
      <c r="BA45" s="193">
        <v>170000</v>
      </c>
      <c r="BB45" s="193">
        <v>510000</v>
      </c>
      <c r="BC45" s="193">
        <v>340000</v>
      </c>
      <c r="BD45" s="193">
        <v>850000</v>
      </c>
    </row>
    <row r="46" spans="1:56" s="232" customFormat="1">
      <c r="A46" s="189">
        <v>-10</v>
      </c>
      <c r="B46" s="190" t="s">
        <v>844</v>
      </c>
      <c r="C46" s="191">
        <v>190000</v>
      </c>
      <c r="D46" s="192">
        <v>1</v>
      </c>
      <c r="E46" s="192">
        <v>0</v>
      </c>
      <c r="F46" s="192">
        <v>0</v>
      </c>
      <c r="G46" s="192">
        <v>0</v>
      </c>
      <c r="H46" s="192">
        <v>0</v>
      </c>
      <c r="I46" s="192">
        <v>0</v>
      </c>
      <c r="J46" s="192">
        <v>0</v>
      </c>
      <c r="K46" s="192">
        <v>0</v>
      </c>
      <c r="L46" s="192">
        <v>0</v>
      </c>
      <c r="M46" s="192">
        <v>0</v>
      </c>
      <c r="N46" s="192">
        <v>0</v>
      </c>
      <c r="O46" s="192">
        <v>0</v>
      </c>
      <c r="P46" s="192">
        <v>0</v>
      </c>
      <c r="Q46" s="192">
        <v>0</v>
      </c>
      <c r="R46" s="192">
        <v>0</v>
      </c>
      <c r="S46" s="192">
        <v>0</v>
      </c>
      <c r="T46" s="192">
        <v>0</v>
      </c>
      <c r="U46" s="192">
        <v>0</v>
      </c>
      <c r="V46" s="192">
        <v>0</v>
      </c>
      <c r="W46" s="192">
        <v>0</v>
      </c>
      <c r="X46" s="192">
        <v>0</v>
      </c>
      <c r="Y46" s="192">
        <v>0</v>
      </c>
      <c r="Z46" s="192">
        <v>0</v>
      </c>
      <c r="AA46" s="192">
        <v>0</v>
      </c>
      <c r="AB46" s="192">
        <v>1</v>
      </c>
      <c r="AC46" s="192">
        <v>0</v>
      </c>
      <c r="AD46" s="193">
        <v>190000</v>
      </c>
      <c r="AE46" s="193">
        <v>0</v>
      </c>
      <c r="AF46" s="193">
        <v>0</v>
      </c>
      <c r="AG46" s="193">
        <v>0</v>
      </c>
      <c r="AH46" s="193">
        <v>0</v>
      </c>
      <c r="AI46" s="193">
        <v>0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0</v>
      </c>
      <c r="AP46" s="193">
        <v>0</v>
      </c>
      <c r="AQ46" s="193">
        <v>0</v>
      </c>
      <c r="AR46" s="193">
        <v>0</v>
      </c>
      <c r="AS46" s="193">
        <v>0</v>
      </c>
      <c r="AT46" s="193">
        <v>0</v>
      </c>
      <c r="AU46" s="193">
        <v>0</v>
      </c>
      <c r="AV46" s="193">
        <v>0</v>
      </c>
      <c r="AW46" s="193">
        <v>0</v>
      </c>
      <c r="AX46" s="193">
        <v>0</v>
      </c>
      <c r="AY46" s="193">
        <v>0</v>
      </c>
      <c r="AZ46" s="193">
        <v>0</v>
      </c>
      <c r="BA46" s="193">
        <v>0</v>
      </c>
      <c r="BB46" s="193">
        <v>190000</v>
      </c>
      <c r="BC46" s="193">
        <v>0</v>
      </c>
      <c r="BD46" s="193">
        <v>190000</v>
      </c>
    </row>
    <row r="47" spans="1:56" s="232" customFormat="1">
      <c r="A47" s="189">
        <v>-11</v>
      </c>
      <c r="B47" s="190" t="s">
        <v>845</v>
      </c>
      <c r="C47" s="191">
        <v>200000</v>
      </c>
      <c r="D47" s="192">
        <v>0</v>
      </c>
      <c r="E47" s="192">
        <v>0</v>
      </c>
      <c r="F47" s="192">
        <v>0</v>
      </c>
      <c r="G47" s="192">
        <v>0</v>
      </c>
      <c r="H47" s="192">
        <v>0</v>
      </c>
      <c r="I47" s="192">
        <v>0</v>
      </c>
      <c r="J47" s="192">
        <v>0</v>
      </c>
      <c r="K47" s="192">
        <v>0</v>
      </c>
      <c r="L47" s="192">
        <v>0</v>
      </c>
      <c r="M47" s="192">
        <v>0</v>
      </c>
      <c r="N47" s="192">
        <v>0</v>
      </c>
      <c r="O47" s="192">
        <v>0</v>
      </c>
      <c r="P47" s="192">
        <v>0</v>
      </c>
      <c r="Q47" s="192">
        <v>0</v>
      </c>
      <c r="R47" s="192">
        <v>0</v>
      </c>
      <c r="S47" s="192">
        <v>0</v>
      </c>
      <c r="T47" s="192">
        <v>0</v>
      </c>
      <c r="U47" s="192">
        <v>0</v>
      </c>
      <c r="V47" s="192">
        <v>0</v>
      </c>
      <c r="W47" s="192">
        <v>0</v>
      </c>
      <c r="X47" s="192">
        <v>0</v>
      </c>
      <c r="Y47" s="192">
        <v>0</v>
      </c>
      <c r="Z47" s="192">
        <v>0</v>
      </c>
      <c r="AA47" s="192">
        <v>0</v>
      </c>
      <c r="AB47" s="192">
        <v>0</v>
      </c>
      <c r="AC47" s="192">
        <v>0</v>
      </c>
      <c r="AD47" s="193">
        <v>0</v>
      </c>
      <c r="AE47" s="193">
        <v>0</v>
      </c>
      <c r="AF47" s="193">
        <v>0</v>
      </c>
      <c r="AG47" s="193">
        <v>0</v>
      </c>
      <c r="AH47" s="193">
        <v>0</v>
      </c>
      <c r="AI47" s="193">
        <v>0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0</v>
      </c>
      <c r="AR47" s="193">
        <v>0</v>
      </c>
      <c r="AS47" s="193">
        <v>0</v>
      </c>
      <c r="AT47" s="193">
        <v>0</v>
      </c>
      <c r="AU47" s="193">
        <v>0</v>
      </c>
      <c r="AV47" s="193">
        <v>0</v>
      </c>
      <c r="AW47" s="193">
        <v>0</v>
      </c>
      <c r="AX47" s="193">
        <v>0</v>
      </c>
      <c r="AY47" s="193">
        <v>0</v>
      </c>
      <c r="AZ47" s="193">
        <v>0</v>
      </c>
      <c r="BA47" s="193">
        <v>0</v>
      </c>
      <c r="BB47" s="193">
        <v>0</v>
      </c>
      <c r="BC47" s="193">
        <v>0</v>
      </c>
      <c r="BD47" s="193">
        <v>0</v>
      </c>
    </row>
    <row r="48" spans="1:56" s="232" customFormat="1">
      <c r="A48" s="189">
        <v>-12</v>
      </c>
      <c r="B48" s="190" t="s">
        <v>846</v>
      </c>
      <c r="C48" s="191">
        <v>210000</v>
      </c>
      <c r="D48" s="192">
        <v>0</v>
      </c>
      <c r="E48" s="192">
        <v>0</v>
      </c>
      <c r="F48" s="192">
        <v>0</v>
      </c>
      <c r="G48" s="192">
        <v>0</v>
      </c>
      <c r="H48" s="192">
        <v>0</v>
      </c>
      <c r="I48" s="192">
        <v>0</v>
      </c>
      <c r="J48" s="192">
        <v>0</v>
      </c>
      <c r="K48" s="192">
        <v>0</v>
      </c>
      <c r="L48" s="192">
        <v>0</v>
      </c>
      <c r="M48" s="192">
        <v>0</v>
      </c>
      <c r="N48" s="192">
        <v>0</v>
      </c>
      <c r="O48" s="192">
        <v>0</v>
      </c>
      <c r="P48" s="192">
        <v>0</v>
      </c>
      <c r="Q48" s="192">
        <v>0</v>
      </c>
      <c r="R48" s="192">
        <v>0</v>
      </c>
      <c r="S48" s="192">
        <v>0</v>
      </c>
      <c r="T48" s="192">
        <v>0</v>
      </c>
      <c r="U48" s="192">
        <v>0</v>
      </c>
      <c r="V48" s="192">
        <v>0</v>
      </c>
      <c r="W48" s="192">
        <v>0</v>
      </c>
      <c r="X48" s="192">
        <v>0</v>
      </c>
      <c r="Y48" s="192">
        <v>0</v>
      </c>
      <c r="Z48" s="192">
        <v>0</v>
      </c>
      <c r="AA48" s="192">
        <v>0</v>
      </c>
      <c r="AB48" s="192">
        <v>0</v>
      </c>
      <c r="AC48" s="192">
        <v>0</v>
      </c>
      <c r="AD48" s="193">
        <v>0</v>
      </c>
      <c r="AE48" s="193">
        <v>0</v>
      </c>
      <c r="AF48" s="193">
        <v>0</v>
      </c>
      <c r="AG48" s="193">
        <v>0</v>
      </c>
      <c r="AH48" s="193">
        <v>0</v>
      </c>
      <c r="AI48" s="193">
        <v>0</v>
      </c>
      <c r="AJ48" s="193">
        <v>0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0</v>
      </c>
      <c r="AQ48" s="193">
        <v>0</v>
      </c>
      <c r="AR48" s="193">
        <v>0</v>
      </c>
      <c r="AS48" s="193">
        <v>0</v>
      </c>
      <c r="AT48" s="193">
        <v>0</v>
      </c>
      <c r="AU48" s="193">
        <v>0</v>
      </c>
      <c r="AV48" s="193">
        <v>0</v>
      </c>
      <c r="AW48" s="193">
        <v>0</v>
      </c>
      <c r="AX48" s="193">
        <v>0</v>
      </c>
      <c r="AY48" s="193">
        <v>0</v>
      </c>
      <c r="AZ48" s="193">
        <v>0</v>
      </c>
      <c r="BA48" s="193">
        <v>0</v>
      </c>
      <c r="BB48" s="193">
        <v>0</v>
      </c>
      <c r="BC48" s="193">
        <v>0</v>
      </c>
      <c r="BD48" s="193">
        <v>0</v>
      </c>
    </row>
    <row r="49" spans="1:56" s="232" customFormat="1">
      <c r="A49" s="189">
        <v>-13</v>
      </c>
      <c r="B49" s="190" t="s">
        <v>847</v>
      </c>
      <c r="C49" s="191">
        <v>220000</v>
      </c>
      <c r="D49" s="192">
        <v>0</v>
      </c>
      <c r="E49" s="192">
        <v>0</v>
      </c>
      <c r="F49" s="192">
        <v>0</v>
      </c>
      <c r="G49" s="192">
        <v>0</v>
      </c>
      <c r="H49" s="192">
        <v>0</v>
      </c>
      <c r="I49" s="192">
        <v>0</v>
      </c>
      <c r="J49" s="192">
        <v>0</v>
      </c>
      <c r="K49" s="192">
        <v>0</v>
      </c>
      <c r="L49" s="192">
        <v>0</v>
      </c>
      <c r="M49" s="192">
        <v>0</v>
      </c>
      <c r="N49" s="192">
        <v>0</v>
      </c>
      <c r="O49" s="192">
        <v>0</v>
      </c>
      <c r="P49" s="192">
        <v>0</v>
      </c>
      <c r="Q49" s="192">
        <v>0</v>
      </c>
      <c r="R49" s="192">
        <v>0</v>
      </c>
      <c r="S49" s="192">
        <v>0</v>
      </c>
      <c r="T49" s="192">
        <v>0</v>
      </c>
      <c r="U49" s="192">
        <v>0</v>
      </c>
      <c r="V49" s="192">
        <v>0</v>
      </c>
      <c r="W49" s="192">
        <v>0</v>
      </c>
      <c r="X49" s="192">
        <v>0</v>
      </c>
      <c r="Y49" s="192">
        <v>0</v>
      </c>
      <c r="Z49" s="192">
        <v>0</v>
      </c>
      <c r="AA49" s="192">
        <v>0</v>
      </c>
      <c r="AB49" s="192">
        <v>0</v>
      </c>
      <c r="AC49" s="192">
        <v>0</v>
      </c>
      <c r="AD49" s="193">
        <v>0</v>
      </c>
      <c r="AE49" s="193">
        <v>0</v>
      </c>
      <c r="AF49" s="193">
        <v>0</v>
      </c>
      <c r="AG49" s="193">
        <v>0</v>
      </c>
      <c r="AH49" s="193">
        <v>0</v>
      </c>
      <c r="AI49" s="193">
        <v>0</v>
      </c>
      <c r="AJ49" s="193">
        <v>0</v>
      </c>
      <c r="AK49" s="193">
        <v>0</v>
      </c>
      <c r="AL49" s="193">
        <v>0</v>
      </c>
      <c r="AM49" s="193">
        <v>0</v>
      </c>
      <c r="AN49" s="193">
        <v>0</v>
      </c>
      <c r="AO49" s="193">
        <v>0</v>
      </c>
      <c r="AP49" s="193">
        <v>0</v>
      </c>
      <c r="AQ49" s="193">
        <v>0</v>
      </c>
      <c r="AR49" s="193">
        <v>0</v>
      </c>
      <c r="AS49" s="193">
        <v>0</v>
      </c>
      <c r="AT49" s="193">
        <v>0</v>
      </c>
      <c r="AU49" s="193">
        <v>0</v>
      </c>
      <c r="AV49" s="193">
        <v>0</v>
      </c>
      <c r="AW49" s="193">
        <v>0</v>
      </c>
      <c r="AX49" s="193">
        <v>0</v>
      </c>
      <c r="AY49" s="193">
        <v>0</v>
      </c>
      <c r="AZ49" s="193">
        <v>0</v>
      </c>
      <c r="BA49" s="193">
        <v>0</v>
      </c>
      <c r="BB49" s="193">
        <v>0</v>
      </c>
      <c r="BC49" s="193">
        <v>0</v>
      </c>
      <c r="BD49" s="193">
        <v>0</v>
      </c>
    </row>
    <row r="50" spans="1:56" s="232" customFormat="1">
      <c r="A50" s="189">
        <v>-14</v>
      </c>
      <c r="B50" s="190" t="s">
        <v>848</v>
      </c>
      <c r="C50" s="191">
        <v>220000</v>
      </c>
      <c r="D50" s="192">
        <v>0</v>
      </c>
      <c r="E50" s="192">
        <v>0</v>
      </c>
      <c r="F50" s="192">
        <v>0</v>
      </c>
      <c r="G50" s="192">
        <v>0</v>
      </c>
      <c r="H50" s="192">
        <v>0</v>
      </c>
      <c r="I50" s="192">
        <v>0</v>
      </c>
      <c r="J50" s="192">
        <v>0</v>
      </c>
      <c r="K50" s="192">
        <v>0</v>
      </c>
      <c r="L50" s="192">
        <v>0</v>
      </c>
      <c r="M50" s="192">
        <v>0</v>
      </c>
      <c r="N50" s="192">
        <v>0</v>
      </c>
      <c r="O50" s="192">
        <v>0</v>
      </c>
      <c r="P50" s="192">
        <v>0</v>
      </c>
      <c r="Q50" s="192">
        <v>0</v>
      </c>
      <c r="R50" s="192">
        <v>0</v>
      </c>
      <c r="S50" s="192">
        <v>0</v>
      </c>
      <c r="T50" s="192">
        <v>0</v>
      </c>
      <c r="U50" s="192">
        <v>0</v>
      </c>
      <c r="V50" s="192">
        <v>0</v>
      </c>
      <c r="W50" s="192">
        <v>0</v>
      </c>
      <c r="X50" s="192">
        <v>0</v>
      </c>
      <c r="Y50" s="192">
        <v>0</v>
      </c>
      <c r="Z50" s="192">
        <v>0</v>
      </c>
      <c r="AA50" s="192">
        <v>0</v>
      </c>
      <c r="AB50" s="192">
        <v>0</v>
      </c>
      <c r="AC50" s="192">
        <v>0</v>
      </c>
      <c r="AD50" s="193">
        <v>0</v>
      </c>
      <c r="AE50" s="193">
        <v>0</v>
      </c>
      <c r="AF50" s="193">
        <v>0</v>
      </c>
      <c r="AG50" s="193">
        <v>0</v>
      </c>
      <c r="AH50" s="193">
        <v>0</v>
      </c>
      <c r="AI50" s="193">
        <v>0</v>
      </c>
      <c r="AJ50" s="193">
        <v>0</v>
      </c>
      <c r="AK50" s="193">
        <v>0</v>
      </c>
      <c r="AL50" s="193">
        <v>0</v>
      </c>
      <c r="AM50" s="193">
        <v>0</v>
      </c>
      <c r="AN50" s="193">
        <v>0</v>
      </c>
      <c r="AO50" s="193">
        <v>0</v>
      </c>
      <c r="AP50" s="193">
        <v>0</v>
      </c>
      <c r="AQ50" s="193">
        <v>0</v>
      </c>
      <c r="AR50" s="193">
        <v>0</v>
      </c>
      <c r="AS50" s="193">
        <v>0</v>
      </c>
      <c r="AT50" s="193">
        <v>0</v>
      </c>
      <c r="AU50" s="193">
        <v>0</v>
      </c>
      <c r="AV50" s="193">
        <v>0</v>
      </c>
      <c r="AW50" s="193">
        <v>0</v>
      </c>
      <c r="AX50" s="193">
        <v>0</v>
      </c>
      <c r="AY50" s="193">
        <v>0</v>
      </c>
      <c r="AZ50" s="193">
        <v>0</v>
      </c>
      <c r="BA50" s="193">
        <v>0</v>
      </c>
      <c r="BB50" s="193">
        <v>0</v>
      </c>
      <c r="BC50" s="193">
        <v>0</v>
      </c>
      <c r="BD50" s="193">
        <v>0</v>
      </c>
    </row>
    <row r="51" spans="1:56" s="229" customFormat="1">
      <c r="A51" s="189">
        <v>-15</v>
      </c>
      <c r="B51" s="194" t="s">
        <v>849</v>
      </c>
      <c r="C51" s="191">
        <v>220000</v>
      </c>
      <c r="D51" s="192">
        <v>1</v>
      </c>
      <c r="E51" s="192">
        <v>0</v>
      </c>
      <c r="F51" s="192">
        <v>0</v>
      </c>
      <c r="G51" s="192">
        <v>0</v>
      </c>
      <c r="H51" s="192">
        <v>0</v>
      </c>
      <c r="I51" s="192">
        <v>0</v>
      </c>
      <c r="J51" s="192">
        <v>0</v>
      </c>
      <c r="K51" s="192">
        <v>0</v>
      </c>
      <c r="L51" s="192">
        <v>0</v>
      </c>
      <c r="M51" s="192">
        <v>0</v>
      </c>
      <c r="N51" s="192">
        <v>0</v>
      </c>
      <c r="O51" s="192">
        <v>2</v>
      </c>
      <c r="P51" s="192">
        <v>0</v>
      </c>
      <c r="Q51" s="192">
        <v>0</v>
      </c>
      <c r="R51" s="192">
        <v>0</v>
      </c>
      <c r="S51" s="192">
        <v>0</v>
      </c>
      <c r="T51" s="192">
        <v>0</v>
      </c>
      <c r="U51" s="192">
        <v>0</v>
      </c>
      <c r="V51" s="192">
        <v>0</v>
      </c>
      <c r="W51" s="192">
        <v>0</v>
      </c>
      <c r="X51" s="192">
        <v>0</v>
      </c>
      <c r="Y51" s="192">
        <v>0</v>
      </c>
      <c r="Z51" s="192">
        <v>0</v>
      </c>
      <c r="AA51" s="192">
        <v>0</v>
      </c>
      <c r="AB51" s="192">
        <v>1</v>
      </c>
      <c r="AC51" s="192">
        <v>2</v>
      </c>
      <c r="AD51" s="193">
        <v>220000</v>
      </c>
      <c r="AE51" s="193">
        <v>0</v>
      </c>
      <c r="AF51" s="193">
        <v>0</v>
      </c>
      <c r="AG51" s="193">
        <v>0</v>
      </c>
      <c r="AH51" s="193">
        <v>0</v>
      </c>
      <c r="AI51" s="193">
        <v>0</v>
      </c>
      <c r="AJ51" s="193">
        <v>0</v>
      </c>
      <c r="AK51" s="193">
        <v>0</v>
      </c>
      <c r="AL51" s="193">
        <v>0</v>
      </c>
      <c r="AM51" s="193">
        <v>0</v>
      </c>
      <c r="AN51" s="193">
        <v>0</v>
      </c>
      <c r="AO51" s="193">
        <v>440000</v>
      </c>
      <c r="AP51" s="193">
        <v>0</v>
      </c>
      <c r="AQ51" s="193">
        <v>0</v>
      </c>
      <c r="AR51" s="193">
        <v>0</v>
      </c>
      <c r="AS51" s="193">
        <v>0</v>
      </c>
      <c r="AT51" s="193">
        <v>0</v>
      </c>
      <c r="AU51" s="193">
        <v>0</v>
      </c>
      <c r="AV51" s="193">
        <v>0</v>
      </c>
      <c r="AW51" s="193">
        <v>0</v>
      </c>
      <c r="AX51" s="193">
        <v>0</v>
      </c>
      <c r="AY51" s="193">
        <v>0</v>
      </c>
      <c r="AZ51" s="193">
        <v>0</v>
      </c>
      <c r="BA51" s="193">
        <v>0</v>
      </c>
      <c r="BB51" s="193">
        <v>220000</v>
      </c>
      <c r="BC51" s="193">
        <v>440000</v>
      </c>
      <c r="BD51" s="193">
        <v>660000</v>
      </c>
    </row>
    <row r="52" spans="1:56" s="229" customFormat="1">
      <c r="A52" s="189">
        <v>-16</v>
      </c>
      <c r="B52" s="194" t="s">
        <v>850</v>
      </c>
      <c r="C52" s="191">
        <v>225000</v>
      </c>
      <c r="D52" s="192">
        <v>0</v>
      </c>
      <c r="E52" s="192">
        <v>0</v>
      </c>
      <c r="F52" s="192">
        <v>0</v>
      </c>
      <c r="G52" s="192">
        <v>0</v>
      </c>
      <c r="H52" s="192">
        <v>0</v>
      </c>
      <c r="I52" s="192">
        <v>0</v>
      </c>
      <c r="J52" s="192">
        <v>1</v>
      </c>
      <c r="K52" s="192">
        <v>0</v>
      </c>
      <c r="L52" s="192">
        <v>0</v>
      </c>
      <c r="M52" s="192">
        <v>0</v>
      </c>
      <c r="N52" s="192">
        <v>0</v>
      </c>
      <c r="O52" s="192">
        <v>0</v>
      </c>
      <c r="P52" s="192">
        <v>0</v>
      </c>
      <c r="Q52" s="192">
        <v>0</v>
      </c>
      <c r="R52" s="192">
        <v>0</v>
      </c>
      <c r="S52" s="192">
        <v>0</v>
      </c>
      <c r="T52" s="192">
        <v>0</v>
      </c>
      <c r="U52" s="192">
        <v>0</v>
      </c>
      <c r="V52" s="192">
        <v>0</v>
      </c>
      <c r="W52" s="192">
        <v>0</v>
      </c>
      <c r="X52" s="192">
        <v>0</v>
      </c>
      <c r="Y52" s="192">
        <v>0</v>
      </c>
      <c r="Z52" s="192">
        <v>1</v>
      </c>
      <c r="AA52" s="192">
        <v>0</v>
      </c>
      <c r="AB52" s="192">
        <v>2</v>
      </c>
      <c r="AC52" s="192">
        <v>0</v>
      </c>
      <c r="AD52" s="193">
        <v>0</v>
      </c>
      <c r="AE52" s="193">
        <v>0</v>
      </c>
      <c r="AF52" s="193">
        <v>0</v>
      </c>
      <c r="AG52" s="193">
        <v>0</v>
      </c>
      <c r="AH52" s="193">
        <v>0</v>
      </c>
      <c r="AI52" s="193">
        <v>0</v>
      </c>
      <c r="AJ52" s="193">
        <v>225000</v>
      </c>
      <c r="AK52" s="193">
        <v>0</v>
      </c>
      <c r="AL52" s="193">
        <v>0</v>
      </c>
      <c r="AM52" s="193">
        <v>0</v>
      </c>
      <c r="AN52" s="193">
        <v>0</v>
      </c>
      <c r="AO52" s="193">
        <v>0</v>
      </c>
      <c r="AP52" s="193">
        <v>0</v>
      </c>
      <c r="AQ52" s="193">
        <v>0</v>
      </c>
      <c r="AR52" s="193">
        <v>0</v>
      </c>
      <c r="AS52" s="193">
        <v>0</v>
      </c>
      <c r="AT52" s="193">
        <v>0</v>
      </c>
      <c r="AU52" s="193">
        <v>0</v>
      </c>
      <c r="AV52" s="193">
        <v>0</v>
      </c>
      <c r="AW52" s="193">
        <v>0</v>
      </c>
      <c r="AX52" s="193">
        <v>0</v>
      </c>
      <c r="AY52" s="193">
        <v>0</v>
      </c>
      <c r="AZ52" s="193">
        <v>225000</v>
      </c>
      <c r="BA52" s="193">
        <v>0</v>
      </c>
      <c r="BB52" s="193">
        <v>450000</v>
      </c>
      <c r="BC52" s="193">
        <v>0</v>
      </c>
      <c r="BD52" s="193">
        <v>450000</v>
      </c>
    </row>
    <row r="53" spans="1:56" s="229" customFormat="1">
      <c r="A53" s="189">
        <v>-17</v>
      </c>
      <c r="B53" s="194" t="s">
        <v>851</v>
      </c>
      <c r="C53" s="191">
        <v>240000</v>
      </c>
      <c r="D53" s="192">
        <v>1</v>
      </c>
      <c r="E53" s="192">
        <v>0</v>
      </c>
      <c r="F53" s="192">
        <v>0</v>
      </c>
      <c r="G53" s="192">
        <v>0</v>
      </c>
      <c r="H53" s="192">
        <v>1</v>
      </c>
      <c r="I53" s="192">
        <v>0</v>
      </c>
      <c r="J53" s="192">
        <v>0</v>
      </c>
      <c r="K53" s="192">
        <v>0</v>
      </c>
      <c r="L53" s="192">
        <v>0</v>
      </c>
      <c r="M53" s="192">
        <v>0</v>
      </c>
      <c r="N53" s="192">
        <v>0</v>
      </c>
      <c r="O53" s="192">
        <v>0</v>
      </c>
      <c r="P53" s="192">
        <v>0</v>
      </c>
      <c r="Q53" s="192">
        <v>0</v>
      </c>
      <c r="R53" s="192">
        <v>0</v>
      </c>
      <c r="S53" s="192">
        <v>0</v>
      </c>
      <c r="T53" s="192">
        <v>0</v>
      </c>
      <c r="U53" s="192">
        <v>0</v>
      </c>
      <c r="V53" s="192">
        <v>0</v>
      </c>
      <c r="W53" s="192">
        <v>0</v>
      </c>
      <c r="X53" s="192">
        <v>0</v>
      </c>
      <c r="Y53" s="192">
        <v>0</v>
      </c>
      <c r="Z53" s="192">
        <v>0</v>
      </c>
      <c r="AA53" s="192">
        <v>0</v>
      </c>
      <c r="AB53" s="192">
        <v>2</v>
      </c>
      <c r="AC53" s="192">
        <v>0</v>
      </c>
      <c r="AD53" s="193">
        <v>240000</v>
      </c>
      <c r="AE53" s="193">
        <v>0</v>
      </c>
      <c r="AF53" s="193">
        <v>0</v>
      </c>
      <c r="AG53" s="193">
        <v>0</v>
      </c>
      <c r="AH53" s="193">
        <v>240000</v>
      </c>
      <c r="AI53" s="193">
        <v>0</v>
      </c>
      <c r="AJ53" s="193">
        <v>0</v>
      </c>
      <c r="AK53" s="193">
        <v>0</v>
      </c>
      <c r="AL53" s="193">
        <v>0</v>
      </c>
      <c r="AM53" s="193">
        <v>0</v>
      </c>
      <c r="AN53" s="193">
        <v>0</v>
      </c>
      <c r="AO53" s="193">
        <v>0</v>
      </c>
      <c r="AP53" s="193">
        <v>0</v>
      </c>
      <c r="AQ53" s="193">
        <v>0</v>
      </c>
      <c r="AR53" s="193">
        <v>0</v>
      </c>
      <c r="AS53" s="193">
        <v>0</v>
      </c>
      <c r="AT53" s="193">
        <v>0</v>
      </c>
      <c r="AU53" s="193">
        <v>0</v>
      </c>
      <c r="AV53" s="193">
        <v>0</v>
      </c>
      <c r="AW53" s="193">
        <v>0</v>
      </c>
      <c r="AX53" s="193">
        <v>0</v>
      </c>
      <c r="AY53" s="193">
        <v>0</v>
      </c>
      <c r="AZ53" s="193">
        <v>0</v>
      </c>
      <c r="BA53" s="193">
        <v>0</v>
      </c>
      <c r="BB53" s="193">
        <v>480000</v>
      </c>
      <c r="BC53" s="193">
        <v>0</v>
      </c>
      <c r="BD53" s="193">
        <v>480000</v>
      </c>
    </row>
    <row r="54" spans="1:56" s="229" customFormat="1">
      <c r="A54" s="189">
        <v>-18</v>
      </c>
      <c r="B54" s="194" t="s">
        <v>852</v>
      </c>
      <c r="C54" s="191">
        <v>280000</v>
      </c>
      <c r="D54" s="192">
        <v>0</v>
      </c>
      <c r="E54" s="192">
        <v>0</v>
      </c>
      <c r="F54" s="192">
        <v>0</v>
      </c>
      <c r="G54" s="192">
        <v>0</v>
      </c>
      <c r="H54" s="192">
        <v>1</v>
      </c>
      <c r="I54" s="192">
        <v>0</v>
      </c>
      <c r="J54" s="192">
        <v>0</v>
      </c>
      <c r="K54" s="192">
        <v>0</v>
      </c>
      <c r="L54" s="192">
        <v>0</v>
      </c>
      <c r="M54" s="192">
        <v>0</v>
      </c>
      <c r="N54" s="192">
        <v>0</v>
      </c>
      <c r="O54" s="192">
        <v>0</v>
      </c>
      <c r="P54" s="192">
        <v>0</v>
      </c>
      <c r="Q54" s="192">
        <v>0</v>
      </c>
      <c r="R54" s="192">
        <v>0</v>
      </c>
      <c r="S54" s="192">
        <v>0</v>
      </c>
      <c r="T54" s="192">
        <v>0</v>
      </c>
      <c r="U54" s="192">
        <v>0</v>
      </c>
      <c r="V54" s="192">
        <v>0</v>
      </c>
      <c r="W54" s="192">
        <v>0</v>
      </c>
      <c r="X54" s="192">
        <v>0</v>
      </c>
      <c r="Y54" s="192">
        <v>0</v>
      </c>
      <c r="Z54" s="192">
        <v>0</v>
      </c>
      <c r="AA54" s="192">
        <v>0</v>
      </c>
      <c r="AB54" s="192">
        <v>1</v>
      </c>
      <c r="AC54" s="192">
        <v>0</v>
      </c>
      <c r="AD54" s="193">
        <v>0</v>
      </c>
      <c r="AE54" s="193">
        <v>0</v>
      </c>
      <c r="AF54" s="193">
        <v>0</v>
      </c>
      <c r="AG54" s="193">
        <v>0</v>
      </c>
      <c r="AH54" s="193">
        <v>280000</v>
      </c>
      <c r="AI54" s="193">
        <v>0</v>
      </c>
      <c r="AJ54" s="193">
        <v>0</v>
      </c>
      <c r="AK54" s="193">
        <v>0</v>
      </c>
      <c r="AL54" s="193">
        <v>0</v>
      </c>
      <c r="AM54" s="193">
        <v>0</v>
      </c>
      <c r="AN54" s="193">
        <v>0</v>
      </c>
      <c r="AO54" s="193">
        <v>0</v>
      </c>
      <c r="AP54" s="193">
        <v>0</v>
      </c>
      <c r="AQ54" s="193">
        <v>0</v>
      </c>
      <c r="AR54" s="193">
        <v>0</v>
      </c>
      <c r="AS54" s="193">
        <v>0</v>
      </c>
      <c r="AT54" s="193">
        <v>0</v>
      </c>
      <c r="AU54" s="193">
        <v>0</v>
      </c>
      <c r="AV54" s="193">
        <v>0</v>
      </c>
      <c r="AW54" s="193">
        <v>0</v>
      </c>
      <c r="AX54" s="193">
        <v>0</v>
      </c>
      <c r="AY54" s="193">
        <v>0</v>
      </c>
      <c r="AZ54" s="193">
        <v>0</v>
      </c>
      <c r="BA54" s="193">
        <v>0</v>
      </c>
      <c r="BB54" s="193">
        <v>280000</v>
      </c>
      <c r="BC54" s="193">
        <v>0</v>
      </c>
      <c r="BD54" s="193">
        <v>280000</v>
      </c>
    </row>
    <row r="55" spans="1:56" s="229" customFormat="1">
      <c r="A55" s="189">
        <v>-19</v>
      </c>
      <c r="B55" s="194" t="s">
        <v>853</v>
      </c>
      <c r="C55" s="191">
        <v>300000</v>
      </c>
      <c r="D55" s="192">
        <v>1</v>
      </c>
      <c r="E55" s="192">
        <v>0</v>
      </c>
      <c r="F55" s="192">
        <v>0</v>
      </c>
      <c r="G55" s="192">
        <v>0</v>
      </c>
      <c r="H55" s="192">
        <v>0</v>
      </c>
      <c r="I55" s="192">
        <v>0</v>
      </c>
      <c r="J55" s="192">
        <v>0</v>
      </c>
      <c r="K55" s="192">
        <v>0</v>
      </c>
      <c r="L55" s="192">
        <v>0</v>
      </c>
      <c r="M55" s="192">
        <v>0</v>
      </c>
      <c r="N55" s="192">
        <v>0</v>
      </c>
      <c r="O55" s="192">
        <v>1</v>
      </c>
      <c r="P55" s="192">
        <v>0</v>
      </c>
      <c r="Q55" s="192">
        <v>0</v>
      </c>
      <c r="R55" s="192">
        <v>0</v>
      </c>
      <c r="S55" s="192">
        <v>1</v>
      </c>
      <c r="T55" s="192">
        <v>1</v>
      </c>
      <c r="U55" s="192">
        <v>0</v>
      </c>
      <c r="V55" s="192">
        <v>0</v>
      </c>
      <c r="W55" s="192">
        <v>0</v>
      </c>
      <c r="X55" s="192">
        <v>0</v>
      </c>
      <c r="Y55" s="192">
        <v>0</v>
      </c>
      <c r="Z55" s="192">
        <v>0</v>
      </c>
      <c r="AA55" s="192">
        <v>0</v>
      </c>
      <c r="AB55" s="192">
        <v>2</v>
      </c>
      <c r="AC55" s="192">
        <v>2</v>
      </c>
      <c r="AD55" s="193">
        <v>300000</v>
      </c>
      <c r="AE55" s="193">
        <v>0</v>
      </c>
      <c r="AF55" s="193">
        <v>0</v>
      </c>
      <c r="AG55" s="193">
        <v>0</v>
      </c>
      <c r="AH55" s="193">
        <v>0</v>
      </c>
      <c r="AI55" s="193">
        <v>0</v>
      </c>
      <c r="AJ55" s="193">
        <v>0</v>
      </c>
      <c r="AK55" s="193">
        <v>0</v>
      </c>
      <c r="AL55" s="193">
        <v>0</v>
      </c>
      <c r="AM55" s="193">
        <v>0</v>
      </c>
      <c r="AN55" s="193">
        <v>0</v>
      </c>
      <c r="AO55" s="193">
        <v>300000</v>
      </c>
      <c r="AP55" s="193">
        <v>0</v>
      </c>
      <c r="AQ55" s="193">
        <v>0</v>
      </c>
      <c r="AR55" s="193">
        <v>0</v>
      </c>
      <c r="AS55" s="193">
        <v>300000</v>
      </c>
      <c r="AT55" s="193">
        <v>300000</v>
      </c>
      <c r="AU55" s="193">
        <v>0</v>
      </c>
      <c r="AV55" s="193">
        <v>0</v>
      </c>
      <c r="AW55" s="193">
        <v>0</v>
      </c>
      <c r="AX55" s="193">
        <v>0</v>
      </c>
      <c r="AY55" s="193">
        <v>0</v>
      </c>
      <c r="AZ55" s="193">
        <v>0</v>
      </c>
      <c r="BA55" s="193">
        <v>0</v>
      </c>
      <c r="BB55" s="193">
        <v>600000</v>
      </c>
      <c r="BC55" s="193">
        <v>600000</v>
      </c>
      <c r="BD55" s="193">
        <v>1200000</v>
      </c>
    </row>
    <row r="56" spans="1:56" s="232" customFormat="1">
      <c r="A56" s="189">
        <v>-20</v>
      </c>
      <c r="B56" s="190" t="s">
        <v>854</v>
      </c>
      <c r="C56" s="191">
        <v>300000</v>
      </c>
      <c r="D56" s="192">
        <v>1</v>
      </c>
      <c r="E56" s="192">
        <v>0</v>
      </c>
      <c r="F56" s="192">
        <v>0</v>
      </c>
      <c r="G56" s="192">
        <v>0</v>
      </c>
      <c r="H56" s="192">
        <v>0</v>
      </c>
      <c r="I56" s="192">
        <v>0</v>
      </c>
      <c r="J56" s="192">
        <v>0</v>
      </c>
      <c r="K56" s="192">
        <v>0</v>
      </c>
      <c r="L56" s="192">
        <v>0</v>
      </c>
      <c r="M56" s="192">
        <v>0</v>
      </c>
      <c r="N56" s="192">
        <v>1</v>
      </c>
      <c r="O56" s="192">
        <v>1</v>
      </c>
      <c r="P56" s="192">
        <v>0</v>
      </c>
      <c r="Q56" s="192">
        <v>0</v>
      </c>
      <c r="R56" s="192">
        <v>0</v>
      </c>
      <c r="S56" s="192">
        <v>1</v>
      </c>
      <c r="T56" s="192">
        <v>1</v>
      </c>
      <c r="U56" s="192">
        <v>0</v>
      </c>
      <c r="V56" s="192">
        <v>0</v>
      </c>
      <c r="W56" s="192">
        <v>0</v>
      </c>
      <c r="X56" s="192">
        <v>0</v>
      </c>
      <c r="Y56" s="192">
        <v>0</v>
      </c>
      <c r="Z56" s="192">
        <v>0</v>
      </c>
      <c r="AA56" s="192">
        <v>0</v>
      </c>
      <c r="AB56" s="192">
        <v>3</v>
      </c>
      <c r="AC56" s="192">
        <v>2</v>
      </c>
      <c r="AD56" s="193">
        <v>300000</v>
      </c>
      <c r="AE56" s="193">
        <v>0</v>
      </c>
      <c r="AF56" s="193">
        <v>0</v>
      </c>
      <c r="AG56" s="193">
        <v>0</v>
      </c>
      <c r="AH56" s="193">
        <v>0</v>
      </c>
      <c r="AI56" s="193">
        <v>0</v>
      </c>
      <c r="AJ56" s="193">
        <v>0</v>
      </c>
      <c r="AK56" s="193">
        <v>0</v>
      </c>
      <c r="AL56" s="193">
        <v>0</v>
      </c>
      <c r="AM56" s="193">
        <v>0</v>
      </c>
      <c r="AN56" s="193">
        <v>300000</v>
      </c>
      <c r="AO56" s="193">
        <v>300000</v>
      </c>
      <c r="AP56" s="193">
        <v>0</v>
      </c>
      <c r="AQ56" s="193">
        <v>0</v>
      </c>
      <c r="AR56" s="193">
        <v>0</v>
      </c>
      <c r="AS56" s="193">
        <v>300000</v>
      </c>
      <c r="AT56" s="193">
        <v>300000</v>
      </c>
      <c r="AU56" s="193">
        <v>0</v>
      </c>
      <c r="AV56" s="193">
        <v>0</v>
      </c>
      <c r="AW56" s="193">
        <v>0</v>
      </c>
      <c r="AX56" s="193">
        <v>0</v>
      </c>
      <c r="AY56" s="193">
        <v>0</v>
      </c>
      <c r="AZ56" s="193">
        <v>0</v>
      </c>
      <c r="BA56" s="193">
        <v>0</v>
      </c>
      <c r="BB56" s="193">
        <v>900000</v>
      </c>
      <c r="BC56" s="193">
        <v>600000</v>
      </c>
      <c r="BD56" s="193">
        <v>1500000</v>
      </c>
    </row>
    <row r="57" spans="1:56" s="229" customFormat="1">
      <c r="A57" s="189">
        <v>-21</v>
      </c>
      <c r="B57" s="194" t="s">
        <v>855</v>
      </c>
      <c r="C57" s="191">
        <v>340000</v>
      </c>
      <c r="D57" s="192">
        <v>1</v>
      </c>
      <c r="E57" s="192">
        <v>0</v>
      </c>
      <c r="F57" s="192">
        <v>0</v>
      </c>
      <c r="G57" s="192">
        <v>0</v>
      </c>
      <c r="H57" s="192">
        <v>0</v>
      </c>
      <c r="I57" s="192">
        <v>0</v>
      </c>
      <c r="J57" s="192">
        <v>0</v>
      </c>
      <c r="K57" s="192">
        <v>0</v>
      </c>
      <c r="L57" s="192">
        <v>0</v>
      </c>
      <c r="M57" s="192">
        <v>0</v>
      </c>
      <c r="N57" s="192">
        <v>1</v>
      </c>
      <c r="O57" s="192">
        <v>0</v>
      </c>
      <c r="P57" s="192">
        <v>0</v>
      </c>
      <c r="Q57" s="192">
        <v>0</v>
      </c>
      <c r="R57" s="192">
        <v>1</v>
      </c>
      <c r="S57" s="192">
        <v>0</v>
      </c>
      <c r="T57" s="192">
        <v>1</v>
      </c>
      <c r="U57" s="192">
        <v>0</v>
      </c>
      <c r="V57" s="192">
        <v>0</v>
      </c>
      <c r="W57" s="192">
        <v>0</v>
      </c>
      <c r="X57" s="192">
        <v>0</v>
      </c>
      <c r="Y57" s="192">
        <v>0</v>
      </c>
      <c r="Z57" s="192">
        <v>0</v>
      </c>
      <c r="AA57" s="192">
        <v>0</v>
      </c>
      <c r="AB57" s="192">
        <v>4</v>
      </c>
      <c r="AC57" s="192">
        <v>0</v>
      </c>
      <c r="AD57" s="193">
        <v>340000</v>
      </c>
      <c r="AE57" s="193">
        <v>0</v>
      </c>
      <c r="AF57" s="193">
        <v>0</v>
      </c>
      <c r="AG57" s="193">
        <v>0</v>
      </c>
      <c r="AH57" s="193">
        <v>0</v>
      </c>
      <c r="AI57" s="193">
        <v>0</v>
      </c>
      <c r="AJ57" s="193">
        <v>0</v>
      </c>
      <c r="AK57" s="193">
        <v>0</v>
      </c>
      <c r="AL57" s="193">
        <v>0</v>
      </c>
      <c r="AM57" s="193">
        <v>0</v>
      </c>
      <c r="AN57" s="193">
        <v>340000</v>
      </c>
      <c r="AO57" s="193">
        <v>0</v>
      </c>
      <c r="AP57" s="193">
        <v>0</v>
      </c>
      <c r="AQ57" s="193">
        <v>0</v>
      </c>
      <c r="AR57" s="193">
        <v>340000</v>
      </c>
      <c r="AS57" s="193">
        <v>0</v>
      </c>
      <c r="AT57" s="193">
        <v>340000</v>
      </c>
      <c r="AU57" s="193">
        <v>0</v>
      </c>
      <c r="AV57" s="193">
        <v>0</v>
      </c>
      <c r="AW57" s="193">
        <v>0</v>
      </c>
      <c r="AX57" s="193">
        <v>0</v>
      </c>
      <c r="AY57" s="193">
        <v>0</v>
      </c>
      <c r="AZ57" s="193">
        <v>0</v>
      </c>
      <c r="BA57" s="193">
        <v>0</v>
      </c>
      <c r="BB57" s="193">
        <v>1360000</v>
      </c>
      <c r="BC57" s="193">
        <v>0</v>
      </c>
      <c r="BD57" s="193">
        <v>1360000</v>
      </c>
    </row>
    <row r="58" spans="1:56" s="229" customFormat="1">
      <c r="A58" s="189">
        <v>-22</v>
      </c>
      <c r="B58" s="190" t="s">
        <v>856</v>
      </c>
      <c r="C58" s="191">
        <v>350000</v>
      </c>
      <c r="D58" s="192">
        <v>1</v>
      </c>
      <c r="E58" s="192">
        <v>0</v>
      </c>
      <c r="F58" s="192">
        <v>0</v>
      </c>
      <c r="G58" s="192">
        <v>1</v>
      </c>
      <c r="H58" s="192">
        <v>0</v>
      </c>
      <c r="I58" s="192">
        <v>0</v>
      </c>
      <c r="J58" s="192">
        <v>0</v>
      </c>
      <c r="K58" s="192">
        <v>0</v>
      </c>
      <c r="L58" s="192">
        <v>0</v>
      </c>
      <c r="M58" s="192">
        <v>0</v>
      </c>
      <c r="N58" s="192">
        <v>0</v>
      </c>
      <c r="O58" s="192">
        <v>0</v>
      </c>
      <c r="P58" s="192">
        <v>0</v>
      </c>
      <c r="Q58" s="192">
        <v>0</v>
      </c>
      <c r="R58" s="192">
        <v>0</v>
      </c>
      <c r="S58" s="192">
        <v>0</v>
      </c>
      <c r="T58" s="192">
        <v>0</v>
      </c>
      <c r="U58" s="192">
        <v>0</v>
      </c>
      <c r="V58" s="192">
        <v>0</v>
      </c>
      <c r="W58" s="192">
        <v>0</v>
      </c>
      <c r="X58" s="192">
        <v>0</v>
      </c>
      <c r="Y58" s="192">
        <v>0</v>
      </c>
      <c r="Z58" s="192">
        <v>0</v>
      </c>
      <c r="AA58" s="192">
        <v>0</v>
      </c>
      <c r="AB58" s="192">
        <v>1</v>
      </c>
      <c r="AC58" s="192">
        <v>1</v>
      </c>
      <c r="AD58" s="193">
        <v>350000</v>
      </c>
      <c r="AE58" s="193">
        <v>0</v>
      </c>
      <c r="AF58" s="193">
        <v>0</v>
      </c>
      <c r="AG58" s="193">
        <v>350000</v>
      </c>
      <c r="AH58" s="193">
        <v>0</v>
      </c>
      <c r="AI58" s="193">
        <v>0</v>
      </c>
      <c r="AJ58" s="193">
        <v>0</v>
      </c>
      <c r="AK58" s="193">
        <v>0</v>
      </c>
      <c r="AL58" s="193">
        <v>0</v>
      </c>
      <c r="AM58" s="193">
        <v>0</v>
      </c>
      <c r="AN58" s="193">
        <v>0</v>
      </c>
      <c r="AO58" s="193">
        <v>0</v>
      </c>
      <c r="AP58" s="193">
        <v>0</v>
      </c>
      <c r="AQ58" s="193">
        <v>0</v>
      </c>
      <c r="AR58" s="193">
        <v>0</v>
      </c>
      <c r="AS58" s="193">
        <v>0</v>
      </c>
      <c r="AT58" s="193">
        <v>0</v>
      </c>
      <c r="AU58" s="193">
        <v>0</v>
      </c>
      <c r="AV58" s="193">
        <v>0</v>
      </c>
      <c r="AW58" s="193">
        <v>0</v>
      </c>
      <c r="AX58" s="193">
        <v>0</v>
      </c>
      <c r="AY58" s="193">
        <v>0</v>
      </c>
      <c r="AZ58" s="193">
        <v>0</v>
      </c>
      <c r="BA58" s="193">
        <v>0</v>
      </c>
      <c r="BB58" s="193">
        <v>350000</v>
      </c>
      <c r="BC58" s="193">
        <v>350000</v>
      </c>
      <c r="BD58" s="193">
        <v>700000</v>
      </c>
    </row>
    <row r="59" spans="1:56" s="229" customFormat="1">
      <c r="A59" s="189">
        <v>-23</v>
      </c>
      <c r="B59" s="190" t="s">
        <v>857</v>
      </c>
      <c r="C59" s="191">
        <v>385000</v>
      </c>
      <c r="D59" s="192">
        <v>0</v>
      </c>
      <c r="E59" s="192">
        <v>0</v>
      </c>
      <c r="F59" s="192">
        <v>0</v>
      </c>
      <c r="G59" s="192">
        <v>0</v>
      </c>
      <c r="H59" s="192">
        <v>0</v>
      </c>
      <c r="I59" s="192">
        <v>0</v>
      </c>
      <c r="J59" s="192">
        <v>0</v>
      </c>
      <c r="K59" s="192">
        <v>0</v>
      </c>
      <c r="L59" s="192">
        <v>0</v>
      </c>
      <c r="M59" s="192">
        <v>0</v>
      </c>
      <c r="N59" s="192">
        <v>0</v>
      </c>
      <c r="O59" s="192">
        <v>0</v>
      </c>
      <c r="P59" s="192">
        <v>0</v>
      </c>
      <c r="Q59" s="192">
        <v>0</v>
      </c>
      <c r="R59" s="192">
        <v>0</v>
      </c>
      <c r="S59" s="192">
        <v>0</v>
      </c>
      <c r="T59" s="192">
        <v>0</v>
      </c>
      <c r="U59" s="192">
        <v>0</v>
      </c>
      <c r="V59" s="192">
        <v>0</v>
      </c>
      <c r="W59" s="192">
        <v>0</v>
      </c>
      <c r="X59" s="192">
        <v>0</v>
      </c>
      <c r="Y59" s="192">
        <v>0</v>
      </c>
      <c r="Z59" s="192">
        <v>0</v>
      </c>
      <c r="AA59" s="192">
        <v>0</v>
      </c>
      <c r="AB59" s="192">
        <v>0</v>
      </c>
      <c r="AC59" s="192">
        <v>0</v>
      </c>
      <c r="AD59" s="193">
        <v>0</v>
      </c>
      <c r="AE59" s="193">
        <v>0</v>
      </c>
      <c r="AF59" s="193">
        <v>0</v>
      </c>
      <c r="AG59" s="193">
        <v>0</v>
      </c>
      <c r="AH59" s="193">
        <v>0</v>
      </c>
      <c r="AI59" s="193">
        <v>0</v>
      </c>
      <c r="AJ59" s="193">
        <v>0</v>
      </c>
      <c r="AK59" s="193">
        <v>0</v>
      </c>
      <c r="AL59" s="193">
        <v>0</v>
      </c>
      <c r="AM59" s="193">
        <v>0</v>
      </c>
      <c r="AN59" s="193">
        <v>0</v>
      </c>
      <c r="AO59" s="193">
        <v>0</v>
      </c>
      <c r="AP59" s="193">
        <v>0</v>
      </c>
      <c r="AQ59" s="193">
        <v>0</v>
      </c>
      <c r="AR59" s="193">
        <v>0</v>
      </c>
      <c r="AS59" s="193">
        <v>0</v>
      </c>
      <c r="AT59" s="193">
        <v>0</v>
      </c>
      <c r="AU59" s="193">
        <v>0</v>
      </c>
      <c r="AV59" s="193">
        <v>0</v>
      </c>
      <c r="AW59" s="193">
        <v>0</v>
      </c>
      <c r="AX59" s="193">
        <v>0</v>
      </c>
      <c r="AY59" s="193">
        <v>0</v>
      </c>
      <c r="AZ59" s="193">
        <v>0</v>
      </c>
      <c r="BA59" s="193">
        <v>0</v>
      </c>
      <c r="BB59" s="193">
        <v>0</v>
      </c>
      <c r="BC59" s="193">
        <v>0</v>
      </c>
      <c r="BD59" s="193">
        <v>0</v>
      </c>
    </row>
    <row r="60" spans="1:56" s="229" customFormat="1">
      <c r="A60" s="189">
        <v>-24</v>
      </c>
      <c r="B60" s="194" t="s">
        <v>858</v>
      </c>
      <c r="C60" s="191">
        <v>400000</v>
      </c>
      <c r="D60" s="192">
        <v>1</v>
      </c>
      <c r="E60" s="192">
        <v>0</v>
      </c>
      <c r="F60" s="192">
        <v>1</v>
      </c>
      <c r="G60" s="192">
        <v>0</v>
      </c>
      <c r="H60" s="192">
        <v>0</v>
      </c>
      <c r="I60" s="192">
        <v>0</v>
      </c>
      <c r="J60" s="192">
        <v>0</v>
      </c>
      <c r="K60" s="192">
        <v>0</v>
      </c>
      <c r="L60" s="192">
        <v>0</v>
      </c>
      <c r="M60" s="192">
        <v>0</v>
      </c>
      <c r="N60" s="192">
        <v>0</v>
      </c>
      <c r="O60" s="192">
        <v>0</v>
      </c>
      <c r="P60" s="192">
        <v>0</v>
      </c>
      <c r="Q60" s="192">
        <v>0</v>
      </c>
      <c r="R60" s="192">
        <v>0</v>
      </c>
      <c r="S60" s="192">
        <v>0</v>
      </c>
      <c r="T60" s="192">
        <v>0</v>
      </c>
      <c r="U60" s="192">
        <v>0</v>
      </c>
      <c r="V60" s="192">
        <v>0</v>
      </c>
      <c r="W60" s="192">
        <v>0</v>
      </c>
      <c r="X60" s="192">
        <v>0</v>
      </c>
      <c r="Y60" s="192">
        <v>0</v>
      </c>
      <c r="Z60" s="192">
        <v>0</v>
      </c>
      <c r="AA60" s="192">
        <v>0</v>
      </c>
      <c r="AB60" s="192">
        <v>2</v>
      </c>
      <c r="AC60" s="192">
        <v>0</v>
      </c>
      <c r="AD60" s="193">
        <v>400000</v>
      </c>
      <c r="AE60" s="193">
        <v>0</v>
      </c>
      <c r="AF60" s="193">
        <v>400000</v>
      </c>
      <c r="AG60" s="193">
        <v>0</v>
      </c>
      <c r="AH60" s="193">
        <v>0</v>
      </c>
      <c r="AI60" s="193">
        <v>0</v>
      </c>
      <c r="AJ60" s="193">
        <v>0</v>
      </c>
      <c r="AK60" s="193">
        <v>0</v>
      </c>
      <c r="AL60" s="193">
        <v>0</v>
      </c>
      <c r="AM60" s="193">
        <v>0</v>
      </c>
      <c r="AN60" s="193">
        <v>0</v>
      </c>
      <c r="AO60" s="193">
        <v>0</v>
      </c>
      <c r="AP60" s="193">
        <v>0</v>
      </c>
      <c r="AQ60" s="193">
        <v>0</v>
      </c>
      <c r="AR60" s="193">
        <v>0</v>
      </c>
      <c r="AS60" s="193">
        <v>0</v>
      </c>
      <c r="AT60" s="193">
        <v>0</v>
      </c>
      <c r="AU60" s="193">
        <v>0</v>
      </c>
      <c r="AV60" s="193">
        <v>0</v>
      </c>
      <c r="AW60" s="193">
        <v>0</v>
      </c>
      <c r="AX60" s="193">
        <v>0</v>
      </c>
      <c r="AY60" s="193">
        <v>0</v>
      </c>
      <c r="AZ60" s="193">
        <v>0</v>
      </c>
      <c r="BA60" s="193">
        <v>0</v>
      </c>
      <c r="BB60" s="193">
        <v>800000</v>
      </c>
      <c r="BC60" s="193">
        <v>0</v>
      </c>
      <c r="BD60" s="193">
        <v>800000</v>
      </c>
    </row>
    <row r="61" spans="1:56" s="229" customFormat="1">
      <c r="A61" s="189">
        <v>-25</v>
      </c>
      <c r="B61" s="194" t="s">
        <v>859</v>
      </c>
      <c r="C61" s="191">
        <v>450000</v>
      </c>
      <c r="D61" s="192">
        <v>1</v>
      </c>
      <c r="E61" s="192">
        <v>0</v>
      </c>
      <c r="F61" s="192">
        <v>0</v>
      </c>
      <c r="G61" s="192">
        <v>0</v>
      </c>
      <c r="H61" s="192">
        <v>0</v>
      </c>
      <c r="I61" s="192">
        <v>0</v>
      </c>
      <c r="J61" s="192">
        <v>0</v>
      </c>
      <c r="K61" s="192">
        <v>0</v>
      </c>
      <c r="L61" s="192">
        <v>0</v>
      </c>
      <c r="M61" s="192">
        <v>0</v>
      </c>
      <c r="N61" s="192">
        <v>1</v>
      </c>
      <c r="O61" s="192">
        <v>0</v>
      </c>
      <c r="P61" s="192">
        <v>0</v>
      </c>
      <c r="Q61" s="192">
        <v>0</v>
      </c>
      <c r="R61" s="192">
        <v>0</v>
      </c>
      <c r="S61" s="192">
        <v>0</v>
      </c>
      <c r="T61" s="192">
        <v>0</v>
      </c>
      <c r="U61" s="192">
        <v>0</v>
      </c>
      <c r="V61" s="192">
        <v>0</v>
      </c>
      <c r="W61" s="192">
        <v>0</v>
      </c>
      <c r="X61" s="192">
        <v>1</v>
      </c>
      <c r="Y61" s="192">
        <v>0</v>
      </c>
      <c r="Z61" s="192">
        <v>0</v>
      </c>
      <c r="AA61" s="192">
        <v>0</v>
      </c>
      <c r="AB61" s="192">
        <v>3</v>
      </c>
      <c r="AC61" s="192">
        <v>0</v>
      </c>
      <c r="AD61" s="193">
        <v>450000</v>
      </c>
      <c r="AE61" s="193">
        <v>0</v>
      </c>
      <c r="AF61" s="193">
        <v>0</v>
      </c>
      <c r="AG61" s="193">
        <v>0</v>
      </c>
      <c r="AH61" s="193">
        <v>0</v>
      </c>
      <c r="AI61" s="193">
        <v>0</v>
      </c>
      <c r="AJ61" s="193">
        <v>0</v>
      </c>
      <c r="AK61" s="193">
        <v>0</v>
      </c>
      <c r="AL61" s="193">
        <v>0</v>
      </c>
      <c r="AM61" s="193">
        <v>0</v>
      </c>
      <c r="AN61" s="193">
        <v>450000</v>
      </c>
      <c r="AO61" s="193">
        <v>0</v>
      </c>
      <c r="AP61" s="193">
        <v>0</v>
      </c>
      <c r="AQ61" s="193">
        <v>0</v>
      </c>
      <c r="AR61" s="193">
        <v>0</v>
      </c>
      <c r="AS61" s="193">
        <v>0</v>
      </c>
      <c r="AT61" s="193">
        <v>0</v>
      </c>
      <c r="AU61" s="193">
        <v>0</v>
      </c>
      <c r="AV61" s="193">
        <v>0</v>
      </c>
      <c r="AW61" s="193">
        <v>0</v>
      </c>
      <c r="AX61" s="193">
        <v>450000</v>
      </c>
      <c r="AY61" s="193">
        <v>0</v>
      </c>
      <c r="AZ61" s="193">
        <v>0</v>
      </c>
      <c r="BA61" s="193">
        <v>0</v>
      </c>
      <c r="BB61" s="193">
        <v>1350000</v>
      </c>
      <c r="BC61" s="193">
        <v>0</v>
      </c>
      <c r="BD61" s="193">
        <v>1350000</v>
      </c>
    </row>
    <row r="62" spans="1:56" s="229" customFormat="1">
      <c r="A62" s="189">
        <v>-26</v>
      </c>
      <c r="B62" s="194" t="s">
        <v>860</v>
      </c>
      <c r="C62" s="191">
        <v>450000</v>
      </c>
      <c r="D62" s="192">
        <v>1</v>
      </c>
      <c r="E62" s="192">
        <v>0</v>
      </c>
      <c r="F62" s="192">
        <v>0</v>
      </c>
      <c r="G62" s="192">
        <v>0</v>
      </c>
      <c r="H62" s="192">
        <v>0</v>
      </c>
      <c r="I62" s="192">
        <v>0</v>
      </c>
      <c r="J62" s="192">
        <v>0</v>
      </c>
      <c r="K62" s="192">
        <v>0</v>
      </c>
      <c r="L62" s="192">
        <v>0</v>
      </c>
      <c r="M62" s="192">
        <v>0</v>
      </c>
      <c r="N62" s="192">
        <v>0</v>
      </c>
      <c r="O62" s="192">
        <v>0</v>
      </c>
      <c r="P62" s="192">
        <v>0</v>
      </c>
      <c r="Q62" s="192">
        <v>0</v>
      </c>
      <c r="R62" s="192">
        <v>0</v>
      </c>
      <c r="S62" s="192">
        <v>0</v>
      </c>
      <c r="T62" s="192">
        <v>0</v>
      </c>
      <c r="U62" s="192">
        <v>0</v>
      </c>
      <c r="V62" s="192">
        <v>0</v>
      </c>
      <c r="W62" s="192">
        <v>0</v>
      </c>
      <c r="X62" s="192">
        <v>0</v>
      </c>
      <c r="Y62" s="192">
        <v>0</v>
      </c>
      <c r="Z62" s="192">
        <v>0</v>
      </c>
      <c r="AA62" s="192">
        <v>0</v>
      </c>
      <c r="AB62" s="192">
        <v>1</v>
      </c>
      <c r="AC62" s="192">
        <v>0</v>
      </c>
      <c r="AD62" s="193">
        <v>450000</v>
      </c>
      <c r="AE62" s="193">
        <v>0</v>
      </c>
      <c r="AF62" s="193">
        <v>0</v>
      </c>
      <c r="AG62" s="193">
        <v>0</v>
      </c>
      <c r="AH62" s="193">
        <v>0</v>
      </c>
      <c r="AI62" s="193">
        <v>0</v>
      </c>
      <c r="AJ62" s="193">
        <v>0</v>
      </c>
      <c r="AK62" s="193">
        <v>0</v>
      </c>
      <c r="AL62" s="193">
        <v>0</v>
      </c>
      <c r="AM62" s="193">
        <v>0</v>
      </c>
      <c r="AN62" s="193">
        <v>0</v>
      </c>
      <c r="AO62" s="193">
        <v>0</v>
      </c>
      <c r="AP62" s="193">
        <v>0</v>
      </c>
      <c r="AQ62" s="193">
        <v>0</v>
      </c>
      <c r="AR62" s="193">
        <v>0</v>
      </c>
      <c r="AS62" s="193">
        <v>0</v>
      </c>
      <c r="AT62" s="193">
        <v>0</v>
      </c>
      <c r="AU62" s="193">
        <v>0</v>
      </c>
      <c r="AV62" s="193">
        <v>0</v>
      </c>
      <c r="AW62" s="193">
        <v>0</v>
      </c>
      <c r="AX62" s="193">
        <v>0</v>
      </c>
      <c r="AY62" s="193">
        <v>0</v>
      </c>
      <c r="AZ62" s="193">
        <v>0</v>
      </c>
      <c r="BA62" s="193">
        <v>0</v>
      </c>
      <c r="BB62" s="193">
        <v>450000</v>
      </c>
      <c r="BC62" s="193">
        <v>0</v>
      </c>
      <c r="BD62" s="193">
        <v>450000</v>
      </c>
    </row>
    <row r="63" spans="1:56" s="229" customFormat="1">
      <c r="A63" s="189">
        <v>-27</v>
      </c>
      <c r="B63" s="194" t="s">
        <v>861</v>
      </c>
      <c r="C63" s="191">
        <v>460000</v>
      </c>
      <c r="D63" s="192">
        <v>1</v>
      </c>
      <c r="E63" s="192">
        <v>0</v>
      </c>
      <c r="F63" s="192">
        <v>0</v>
      </c>
      <c r="G63" s="192">
        <v>0</v>
      </c>
      <c r="H63" s="192">
        <v>0</v>
      </c>
      <c r="I63" s="192">
        <v>0</v>
      </c>
      <c r="J63" s="192">
        <v>1</v>
      </c>
      <c r="K63" s="192">
        <v>0</v>
      </c>
      <c r="L63" s="192">
        <v>0</v>
      </c>
      <c r="M63" s="192">
        <v>0</v>
      </c>
      <c r="N63" s="192">
        <v>0</v>
      </c>
      <c r="O63" s="192">
        <v>0</v>
      </c>
      <c r="P63" s="192">
        <v>0</v>
      </c>
      <c r="Q63" s="192">
        <v>0</v>
      </c>
      <c r="R63" s="192">
        <v>0</v>
      </c>
      <c r="S63" s="192">
        <v>0</v>
      </c>
      <c r="T63" s="192">
        <v>0</v>
      </c>
      <c r="U63" s="192">
        <v>0</v>
      </c>
      <c r="V63" s="192">
        <v>0</v>
      </c>
      <c r="W63" s="192">
        <v>0</v>
      </c>
      <c r="X63" s="192">
        <v>0</v>
      </c>
      <c r="Y63" s="192">
        <v>0</v>
      </c>
      <c r="Z63" s="192">
        <v>0</v>
      </c>
      <c r="AA63" s="192">
        <v>0</v>
      </c>
      <c r="AB63" s="192">
        <v>2</v>
      </c>
      <c r="AC63" s="192">
        <v>0</v>
      </c>
      <c r="AD63" s="193">
        <v>460000</v>
      </c>
      <c r="AE63" s="193">
        <v>0</v>
      </c>
      <c r="AF63" s="193">
        <v>0</v>
      </c>
      <c r="AG63" s="193">
        <v>0</v>
      </c>
      <c r="AH63" s="193">
        <v>0</v>
      </c>
      <c r="AI63" s="193">
        <v>0</v>
      </c>
      <c r="AJ63" s="193">
        <v>460000</v>
      </c>
      <c r="AK63" s="193">
        <v>0</v>
      </c>
      <c r="AL63" s="193">
        <v>0</v>
      </c>
      <c r="AM63" s="193">
        <v>0</v>
      </c>
      <c r="AN63" s="193">
        <v>0</v>
      </c>
      <c r="AO63" s="193">
        <v>0</v>
      </c>
      <c r="AP63" s="193">
        <v>0</v>
      </c>
      <c r="AQ63" s="193">
        <v>0</v>
      </c>
      <c r="AR63" s="193">
        <v>0</v>
      </c>
      <c r="AS63" s="193">
        <v>0</v>
      </c>
      <c r="AT63" s="193">
        <v>0</v>
      </c>
      <c r="AU63" s="193">
        <v>0</v>
      </c>
      <c r="AV63" s="193">
        <v>0</v>
      </c>
      <c r="AW63" s="193">
        <v>0</v>
      </c>
      <c r="AX63" s="193">
        <v>0</v>
      </c>
      <c r="AY63" s="193">
        <v>0</v>
      </c>
      <c r="AZ63" s="193">
        <v>0</v>
      </c>
      <c r="BA63" s="193">
        <v>0</v>
      </c>
      <c r="BB63" s="193">
        <v>920000</v>
      </c>
      <c r="BC63" s="193">
        <v>0</v>
      </c>
      <c r="BD63" s="193">
        <v>920000</v>
      </c>
    </row>
    <row r="64" spans="1:56" s="229" customFormat="1">
      <c r="A64" s="189">
        <v>-28</v>
      </c>
      <c r="B64" s="194" t="s">
        <v>863</v>
      </c>
      <c r="C64" s="191">
        <v>460000</v>
      </c>
      <c r="D64" s="192">
        <v>0</v>
      </c>
      <c r="E64" s="192">
        <v>0</v>
      </c>
      <c r="F64" s="192">
        <v>0</v>
      </c>
      <c r="G64" s="192">
        <v>0</v>
      </c>
      <c r="H64" s="192">
        <v>0</v>
      </c>
      <c r="I64" s="192">
        <v>0</v>
      </c>
      <c r="J64" s="192">
        <v>0</v>
      </c>
      <c r="K64" s="192">
        <v>0</v>
      </c>
      <c r="L64" s="192">
        <v>0</v>
      </c>
      <c r="M64" s="192">
        <v>0</v>
      </c>
      <c r="N64" s="192">
        <v>0</v>
      </c>
      <c r="O64" s="192">
        <v>0</v>
      </c>
      <c r="P64" s="192">
        <v>0</v>
      </c>
      <c r="Q64" s="192">
        <v>0</v>
      </c>
      <c r="R64" s="192">
        <v>0</v>
      </c>
      <c r="S64" s="192">
        <v>0</v>
      </c>
      <c r="T64" s="192">
        <v>0</v>
      </c>
      <c r="U64" s="192">
        <v>0</v>
      </c>
      <c r="V64" s="192">
        <v>0</v>
      </c>
      <c r="W64" s="192">
        <v>0</v>
      </c>
      <c r="X64" s="192">
        <v>0</v>
      </c>
      <c r="Y64" s="192">
        <v>0</v>
      </c>
      <c r="Z64" s="192">
        <v>0</v>
      </c>
      <c r="AA64" s="192">
        <v>0</v>
      </c>
      <c r="AB64" s="192">
        <v>0</v>
      </c>
      <c r="AC64" s="192">
        <v>0</v>
      </c>
      <c r="AD64" s="193">
        <v>0</v>
      </c>
      <c r="AE64" s="193">
        <v>0</v>
      </c>
      <c r="AF64" s="193">
        <v>0</v>
      </c>
      <c r="AG64" s="193">
        <v>0</v>
      </c>
      <c r="AH64" s="193">
        <v>0</v>
      </c>
      <c r="AI64" s="193">
        <v>0</v>
      </c>
      <c r="AJ64" s="193">
        <v>0</v>
      </c>
      <c r="AK64" s="193">
        <v>0</v>
      </c>
      <c r="AL64" s="193">
        <v>0</v>
      </c>
      <c r="AM64" s="193">
        <v>0</v>
      </c>
      <c r="AN64" s="193">
        <v>0</v>
      </c>
      <c r="AO64" s="193">
        <v>0</v>
      </c>
      <c r="AP64" s="193">
        <v>0</v>
      </c>
      <c r="AQ64" s="193">
        <v>0</v>
      </c>
      <c r="AR64" s="193">
        <v>0</v>
      </c>
      <c r="AS64" s="193">
        <v>0</v>
      </c>
      <c r="AT64" s="193">
        <v>0</v>
      </c>
      <c r="AU64" s="193">
        <v>0</v>
      </c>
      <c r="AV64" s="193">
        <v>0</v>
      </c>
      <c r="AW64" s="193">
        <v>0</v>
      </c>
      <c r="AX64" s="193">
        <v>0</v>
      </c>
      <c r="AY64" s="193">
        <v>0</v>
      </c>
      <c r="AZ64" s="193">
        <v>0</v>
      </c>
      <c r="BA64" s="193">
        <v>0</v>
      </c>
      <c r="BB64" s="193">
        <v>0</v>
      </c>
      <c r="BC64" s="193">
        <v>0</v>
      </c>
      <c r="BD64" s="193">
        <v>0</v>
      </c>
    </row>
    <row r="65" spans="1:56" s="229" customFormat="1">
      <c r="A65" s="189">
        <v>-29</v>
      </c>
      <c r="B65" s="194" t="s">
        <v>864</v>
      </c>
      <c r="C65" s="191">
        <v>620000</v>
      </c>
      <c r="D65" s="192">
        <v>0</v>
      </c>
      <c r="E65" s="192">
        <v>0</v>
      </c>
      <c r="F65" s="192">
        <v>0</v>
      </c>
      <c r="G65" s="192">
        <v>0</v>
      </c>
      <c r="H65" s="192">
        <v>0</v>
      </c>
      <c r="I65" s="192">
        <v>0</v>
      </c>
      <c r="J65" s="192">
        <v>1</v>
      </c>
      <c r="K65" s="192">
        <v>0</v>
      </c>
      <c r="L65" s="192">
        <v>0</v>
      </c>
      <c r="M65" s="192">
        <v>0</v>
      </c>
      <c r="N65" s="192">
        <v>1</v>
      </c>
      <c r="O65" s="192">
        <v>0</v>
      </c>
      <c r="P65" s="192">
        <v>0</v>
      </c>
      <c r="Q65" s="192">
        <v>0</v>
      </c>
      <c r="R65" s="192">
        <v>0</v>
      </c>
      <c r="S65" s="192">
        <v>0</v>
      </c>
      <c r="T65" s="192">
        <v>0</v>
      </c>
      <c r="U65" s="192">
        <v>0</v>
      </c>
      <c r="V65" s="192">
        <v>0</v>
      </c>
      <c r="W65" s="192">
        <v>0</v>
      </c>
      <c r="X65" s="192">
        <v>0</v>
      </c>
      <c r="Y65" s="192">
        <v>0</v>
      </c>
      <c r="Z65" s="192">
        <v>0</v>
      </c>
      <c r="AA65" s="192">
        <v>0</v>
      </c>
      <c r="AB65" s="192">
        <v>2</v>
      </c>
      <c r="AC65" s="192">
        <v>0</v>
      </c>
      <c r="AD65" s="193">
        <v>0</v>
      </c>
      <c r="AE65" s="193">
        <v>0</v>
      </c>
      <c r="AF65" s="193">
        <v>0</v>
      </c>
      <c r="AG65" s="193">
        <v>0</v>
      </c>
      <c r="AH65" s="193">
        <v>0</v>
      </c>
      <c r="AI65" s="193">
        <v>0</v>
      </c>
      <c r="AJ65" s="193">
        <v>620000</v>
      </c>
      <c r="AK65" s="193">
        <v>0</v>
      </c>
      <c r="AL65" s="193">
        <v>0</v>
      </c>
      <c r="AM65" s="193">
        <v>0</v>
      </c>
      <c r="AN65" s="193">
        <v>620000</v>
      </c>
      <c r="AO65" s="193">
        <v>0</v>
      </c>
      <c r="AP65" s="193">
        <v>0</v>
      </c>
      <c r="AQ65" s="193">
        <v>0</v>
      </c>
      <c r="AR65" s="193">
        <v>0</v>
      </c>
      <c r="AS65" s="193">
        <v>0</v>
      </c>
      <c r="AT65" s="193">
        <v>0</v>
      </c>
      <c r="AU65" s="193">
        <v>0</v>
      </c>
      <c r="AV65" s="193">
        <v>0</v>
      </c>
      <c r="AW65" s="193">
        <v>0</v>
      </c>
      <c r="AX65" s="193">
        <v>0</v>
      </c>
      <c r="AY65" s="193">
        <v>0</v>
      </c>
      <c r="AZ65" s="193">
        <v>0</v>
      </c>
      <c r="BA65" s="193">
        <v>0</v>
      </c>
      <c r="BB65" s="193">
        <v>1240000</v>
      </c>
      <c r="BC65" s="193">
        <v>0</v>
      </c>
      <c r="BD65" s="193">
        <v>1240000</v>
      </c>
    </row>
    <row r="66" spans="1:56" s="229" customFormat="1">
      <c r="A66" s="189">
        <v>-30</v>
      </c>
      <c r="B66" s="194" t="s">
        <v>865</v>
      </c>
      <c r="C66" s="191">
        <v>675000</v>
      </c>
      <c r="D66" s="192">
        <v>0</v>
      </c>
      <c r="E66" s="192">
        <v>0</v>
      </c>
      <c r="F66" s="192">
        <v>0</v>
      </c>
      <c r="G66" s="192">
        <v>0</v>
      </c>
      <c r="H66" s="192">
        <v>0</v>
      </c>
      <c r="I66" s="192">
        <v>0</v>
      </c>
      <c r="J66" s="192">
        <v>0</v>
      </c>
      <c r="K66" s="192">
        <v>0</v>
      </c>
      <c r="L66" s="192">
        <v>0</v>
      </c>
      <c r="M66" s="192">
        <v>0</v>
      </c>
      <c r="N66" s="192">
        <v>0</v>
      </c>
      <c r="O66" s="192">
        <v>0</v>
      </c>
      <c r="P66" s="192">
        <v>0</v>
      </c>
      <c r="Q66" s="192">
        <v>0</v>
      </c>
      <c r="R66" s="192">
        <v>0</v>
      </c>
      <c r="S66" s="192">
        <v>0</v>
      </c>
      <c r="T66" s="192">
        <v>1</v>
      </c>
      <c r="U66" s="192">
        <v>0</v>
      </c>
      <c r="V66" s="192">
        <v>0</v>
      </c>
      <c r="W66" s="192">
        <v>0</v>
      </c>
      <c r="X66" s="192">
        <v>0</v>
      </c>
      <c r="Y66" s="192">
        <v>0</v>
      </c>
      <c r="Z66" s="192">
        <v>0</v>
      </c>
      <c r="AA66" s="192">
        <v>0</v>
      </c>
      <c r="AB66" s="192">
        <v>1</v>
      </c>
      <c r="AC66" s="192">
        <v>0</v>
      </c>
      <c r="AD66" s="193">
        <v>0</v>
      </c>
      <c r="AE66" s="193">
        <v>0</v>
      </c>
      <c r="AF66" s="193">
        <v>0</v>
      </c>
      <c r="AG66" s="193">
        <v>0</v>
      </c>
      <c r="AH66" s="193">
        <v>0</v>
      </c>
      <c r="AI66" s="193">
        <v>0</v>
      </c>
      <c r="AJ66" s="193">
        <v>0</v>
      </c>
      <c r="AK66" s="193">
        <v>0</v>
      </c>
      <c r="AL66" s="193">
        <v>0</v>
      </c>
      <c r="AM66" s="193">
        <v>0</v>
      </c>
      <c r="AN66" s="193">
        <v>0</v>
      </c>
      <c r="AO66" s="193">
        <v>0</v>
      </c>
      <c r="AP66" s="193">
        <v>0</v>
      </c>
      <c r="AQ66" s="193">
        <v>0</v>
      </c>
      <c r="AR66" s="193">
        <v>0</v>
      </c>
      <c r="AS66" s="193">
        <v>0</v>
      </c>
      <c r="AT66" s="193">
        <v>675000</v>
      </c>
      <c r="AU66" s="193">
        <v>0</v>
      </c>
      <c r="AV66" s="193">
        <v>0</v>
      </c>
      <c r="AW66" s="193">
        <v>0</v>
      </c>
      <c r="AX66" s="193">
        <v>0</v>
      </c>
      <c r="AY66" s="193">
        <v>0</v>
      </c>
      <c r="AZ66" s="193">
        <v>0</v>
      </c>
      <c r="BA66" s="193">
        <v>0</v>
      </c>
      <c r="BB66" s="193">
        <v>675000</v>
      </c>
      <c r="BC66" s="193">
        <v>0</v>
      </c>
      <c r="BD66" s="193">
        <v>675000</v>
      </c>
    </row>
    <row r="67" spans="1:56" s="229" customFormat="1" ht="18.75">
      <c r="A67" s="189">
        <v>-31</v>
      </c>
      <c r="B67" s="194" t="s">
        <v>866</v>
      </c>
      <c r="C67" s="191">
        <v>900000</v>
      </c>
      <c r="D67" s="192">
        <v>1</v>
      </c>
      <c r="E67" s="192">
        <v>0</v>
      </c>
      <c r="F67" s="192">
        <v>0</v>
      </c>
      <c r="G67" s="192">
        <v>0</v>
      </c>
      <c r="H67" s="192">
        <v>0</v>
      </c>
      <c r="I67" s="192">
        <v>0</v>
      </c>
      <c r="J67" s="192">
        <v>0</v>
      </c>
      <c r="K67" s="192">
        <v>0</v>
      </c>
      <c r="L67" s="192">
        <v>0</v>
      </c>
      <c r="M67" s="192">
        <v>0</v>
      </c>
      <c r="N67" s="192">
        <v>0</v>
      </c>
      <c r="O67" s="192">
        <v>0</v>
      </c>
      <c r="P67" s="192">
        <v>0</v>
      </c>
      <c r="Q67" s="192">
        <v>0</v>
      </c>
      <c r="R67" s="192">
        <v>0</v>
      </c>
      <c r="S67" s="192">
        <v>0</v>
      </c>
      <c r="T67" s="192">
        <v>0</v>
      </c>
      <c r="U67" s="192">
        <v>0</v>
      </c>
      <c r="V67" s="192">
        <v>0</v>
      </c>
      <c r="W67" s="192">
        <v>0</v>
      </c>
      <c r="X67" s="192">
        <v>1</v>
      </c>
      <c r="Y67" s="192">
        <v>0</v>
      </c>
      <c r="Z67" s="192">
        <v>0</v>
      </c>
      <c r="AA67" s="192">
        <v>0</v>
      </c>
      <c r="AB67" s="192">
        <v>2</v>
      </c>
      <c r="AC67" s="192">
        <v>0</v>
      </c>
      <c r="AD67" s="193">
        <v>900000</v>
      </c>
      <c r="AE67" s="193">
        <v>0</v>
      </c>
      <c r="AF67" s="193">
        <v>0</v>
      </c>
      <c r="AG67" s="193">
        <v>0</v>
      </c>
      <c r="AH67" s="193">
        <v>0</v>
      </c>
      <c r="AI67" s="193">
        <v>0</v>
      </c>
      <c r="AJ67" s="193">
        <v>0</v>
      </c>
      <c r="AK67" s="193">
        <v>0</v>
      </c>
      <c r="AL67" s="193">
        <v>0</v>
      </c>
      <c r="AM67" s="193">
        <v>0</v>
      </c>
      <c r="AN67" s="193">
        <v>0</v>
      </c>
      <c r="AO67" s="193">
        <v>0</v>
      </c>
      <c r="AP67" s="193">
        <v>0</v>
      </c>
      <c r="AQ67" s="193">
        <v>0</v>
      </c>
      <c r="AR67" s="193">
        <v>0</v>
      </c>
      <c r="AS67" s="193">
        <v>0</v>
      </c>
      <c r="AT67" s="193">
        <v>0</v>
      </c>
      <c r="AU67" s="193">
        <v>0</v>
      </c>
      <c r="AV67" s="193">
        <v>0</v>
      </c>
      <c r="AW67" s="193">
        <v>0</v>
      </c>
      <c r="AX67" s="193">
        <v>900000</v>
      </c>
      <c r="AY67" s="193">
        <v>0</v>
      </c>
      <c r="AZ67" s="193">
        <v>0</v>
      </c>
      <c r="BA67" s="193">
        <v>0</v>
      </c>
      <c r="BB67" s="193">
        <v>1800000</v>
      </c>
      <c r="BC67" s="193">
        <v>0</v>
      </c>
      <c r="BD67" s="193">
        <v>1800000</v>
      </c>
    </row>
    <row r="68" spans="1:56" s="229" customFormat="1">
      <c r="A68" s="189">
        <v>-32</v>
      </c>
      <c r="B68" s="194" t="s">
        <v>867</v>
      </c>
      <c r="C68" s="191">
        <v>1100000</v>
      </c>
      <c r="D68" s="192">
        <v>0</v>
      </c>
      <c r="E68" s="192">
        <v>0</v>
      </c>
      <c r="F68" s="192">
        <v>0</v>
      </c>
      <c r="G68" s="192">
        <v>0</v>
      </c>
      <c r="H68" s="192">
        <v>1</v>
      </c>
      <c r="I68" s="192">
        <v>0</v>
      </c>
      <c r="J68" s="192">
        <v>0</v>
      </c>
      <c r="K68" s="192">
        <v>0</v>
      </c>
      <c r="L68" s="192">
        <v>0</v>
      </c>
      <c r="M68" s="192">
        <v>0</v>
      </c>
      <c r="N68" s="192">
        <v>1</v>
      </c>
      <c r="O68" s="192">
        <v>0</v>
      </c>
      <c r="P68" s="192">
        <v>0</v>
      </c>
      <c r="Q68" s="192">
        <v>0</v>
      </c>
      <c r="R68" s="192">
        <v>0</v>
      </c>
      <c r="S68" s="192">
        <v>0</v>
      </c>
      <c r="T68" s="192">
        <v>0</v>
      </c>
      <c r="U68" s="192">
        <v>0</v>
      </c>
      <c r="V68" s="192">
        <v>0</v>
      </c>
      <c r="W68" s="192">
        <v>0</v>
      </c>
      <c r="X68" s="192">
        <v>0</v>
      </c>
      <c r="Y68" s="192">
        <v>0</v>
      </c>
      <c r="Z68" s="192">
        <v>0</v>
      </c>
      <c r="AA68" s="192">
        <v>0</v>
      </c>
      <c r="AB68" s="192">
        <v>2</v>
      </c>
      <c r="AC68" s="192">
        <v>0</v>
      </c>
      <c r="AD68" s="193">
        <v>0</v>
      </c>
      <c r="AE68" s="193">
        <v>0</v>
      </c>
      <c r="AF68" s="193">
        <v>0</v>
      </c>
      <c r="AG68" s="193">
        <v>0</v>
      </c>
      <c r="AH68" s="193">
        <v>1100000</v>
      </c>
      <c r="AI68" s="193">
        <v>0</v>
      </c>
      <c r="AJ68" s="193">
        <v>0</v>
      </c>
      <c r="AK68" s="193">
        <v>0</v>
      </c>
      <c r="AL68" s="193">
        <v>0</v>
      </c>
      <c r="AM68" s="193">
        <v>0</v>
      </c>
      <c r="AN68" s="193">
        <v>1100000</v>
      </c>
      <c r="AO68" s="193">
        <v>0</v>
      </c>
      <c r="AP68" s="193">
        <v>0</v>
      </c>
      <c r="AQ68" s="193">
        <v>0</v>
      </c>
      <c r="AR68" s="193">
        <v>0</v>
      </c>
      <c r="AS68" s="193">
        <v>0</v>
      </c>
      <c r="AT68" s="193">
        <v>0</v>
      </c>
      <c r="AU68" s="193">
        <v>0</v>
      </c>
      <c r="AV68" s="193">
        <v>0</v>
      </c>
      <c r="AW68" s="193">
        <v>0</v>
      </c>
      <c r="AX68" s="193">
        <v>0</v>
      </c>
      <c r="AY68" s="193">
        <v>0</v>
      </c>
      <c r="AZ68" s="193">
        <v>0</v>
      </c>
      <c r="BA68" s="193">
        <v>0</v>
      </c>
      <c r="BB68" s="193">
        <v>2200000</v>
      </c>
      <c r="BC68" s="193">
        <v>0</v>
      </c>
      <c r="BD68" s="193">
        <v>2200000</v>
      </c>
    </row>
    <row r="69" spans="1:56" s="229" customFormat="1">
      <c r="A69" s="189">
        <v>-33</v>
      </c>
      <c r="B69" s="194" t="s">
        <v>868</v>
      </c>
      <c r="C69" s="191">
        <v>1400000</v>
      </c>
      <c r="D69" s="192">
        <v>0</v>
      </c>
      <c r="E69" s="192">
        <v>0</v>
      </c>
      <c r="F69" s="192">
        <v>0</v>
      </c>
      <c r="G69" s="192">
        <v>0</v>
      </c>
      <c r="H69" s="192">
        <v>0</v>
      </c>
      <c r="I69" s="192">
        <v>0</v>
      </c>
      <c r="J69" s="192">
        <v>0</v>
      </c>
      <c r="K69" s="192">
        <v>0</v>
      </c>
      <c r="L69" s="192">
        <v>0</v>
      </c>
      <c r="M69" s="192">
        <v>0</v>
      </c>
      <c r="N69" s="192">
        <v>1</v>
      </c>
      <c r="O69" s="192">
        <v>0</v>
      </c>
      <c r="P69" s="192">
        <v>0</v>
      </c>
      <c r="Q69" s="192">
        <v>0</v>
      </c>
      <c r="R69" s="192">
        <v>0</v>
      </c>
      <c r="S69" s="192">
        <v>0</v>
      </c>
      <c r="T69" s="192">
        <v>0</v>
      </c>
      <c r="U69" s="192">
        <v>0</v>
      </c>
      <c r="V69" s="192">
        <v>0</v>
      </c>
      <c r="W69" s="192">
        <v>0</v>
      </c>
      <c r="X69" s="192">
        <v>0</v>
      </c>
      <c r="Y69" s="192">
        <v>0</v>
      </c>
      <c r="Z69" s="192">
        <v>0</v>
      </c>
      <c r="AA69" s="192">
        <v>0</v>
      </c>
      <c r="AB69" s="192">
        <v>1</v>
      </c>
      <c r="AC69" s="192">
        <v>0</v>
      </c>
      <c r="AD69" s="193">
        <v>0</v>
      </c>
      <c r="AE69" s="193">
        <v>0</v>
      </c>
      <c r="AF69" s="193">
        <v>0</v>
      </c>
      <c r="AG69" s="193">
        <v>0</v>
      </c>
      <c r="AH69" s="193">
        <v>0</v>
      </c>
      <c r="AI69" s="193">
        <v>0</v>
      </c>
      <c r="AJ69" s="193">
        <v>0</v>
      </c>
      <c r="AK69" s="193">
        <v>0</v>
      </c>
      <c r="AL69" s="193">
        <v>0</v>
      </c>
      <c r="AM69" s="193">
        <v>0</v>
      </c>
      <c r="AN69" s="193">
        <v>1400000</v>
      </c>
      <c r="AO69" s="193">
        <v>0</v>
      </c>
      <c r="AP69" s="193">
        <v>0</v>
      </c>
      <c r="AQ69" s="193">
        <v>0</v>
      </c>
      <c r="AR69" s="193">
        <v>0</v>
      </c>
      <c r="AS69" s="193">
        <v>0</v>
      </c>
      <c r="AT69" s="193">
        <v>0</v>
      </c>
      <c r="AU69" s="193">
        <v>0</v>
      </c>
      <c r="AV69" s="193">
        <v>0</v>
      </c>
      <c r="AW69" s="193">
        <v>0</v>
      </c>
      <c r="AX69" s="193">
        <v>0</v>
      </c>
      <c r="AY69" s="193">
        <v>0</v>
      </c>
      <c r="AZ69" s="193">
        <v>0</v>
      </c>
      <c r="BA69" s="193">
        <v>0</v>
      </c>
      <c r="BB69" s="193">
        <v>1400000</v>
      </c>
      <c r="BC69" s="193">
        <v>0</v>
      </c>
      <c r="BD69" s="193">
        <v>1400000</v>
      </c>
    </row>
    <row r="70" spans="1:56" s="229" customFormat="1">
      <c r="A70" s="189">
        <v>-34</v>
      </c>
      <c r="B70" s="194" t="s">
        <v>869</v>
      </c>
      <c r="C70" s="191">
        <v>1500000</v>
      </c>
      <c r="D70" s="192">
        <v>0</v>
      </c>
      <c r="E70" s="192">
        <v>0</v>
      </c>
      <c r="F70" s="192">
        <v>0</v>
      </c>
      <c r="G70" s="192">
        <v>0</v>
      </c>
      <c r="H70" s="192">
        <v>1</v>
      </c>
      <c r="I70" s="192">
        <v>0</v>
      </c>
      <c r="J70" s="192">
        <v>0</v>
      </c>
      <c r="K70" s="192">
        <v>0</v>
      </c>
      <c r="L70" s="192">
        <v>0</v>
      </c>
      <c r="M70" s="192">
        <v>0</v>
      </c>
      <c r="N70" s="192">
        <v>0</v>
      </c>
      <c r="O70" s="192">
        <v>0</v>
      </c>
      <c r="P70" s="192">
        <v>0</v>
      </c>
      <c r="Q70" s="192">
        <v>0</v>
      </c>
      <c r="R70" s="192">
        <v>0</v>
      </c>
      <c r="S70" s="192">
        <v>0</v>
      </c>
      <c r="T70" s="192">
        <v>0</v>
      </c>
      <c r="U70" s="192">
        <v>0</v>
      </c>
      <c r="V70" s="192">
        <v>0</v>
      </c>
      <c r="W70" s="192">
        <v>0</v>
      </c>
      <c r="X70" s="192">
        <v>0</v>
      </c>
      <c r="Y70" s="192">
        <v>0</v>
      </c>
      <c r="Z70" s="192">
        <v>0</v>
      </c>
      <c r="AA70" s="192">
        <v>0</v>
      </c>
      <c r="AB70" s="192">
        <v>1</v>
      </c>
      <c r="AC70" s="192">
        <v>0</v>
      </c>
      <c r="AD70" s="193">
        <v>0</v>
      </c>
      <c r="AE70" s="193">
        <v>0</v>
      </c>
      <c r="AF70" s="193">
        <v>0</v>
      </c>
      <c r="AG70" s="193">
        <v>0</v>
      </c>
      <c r="AH70" s="193">
        <v>1500000</v>
      </c>
      <c r="AI70" s="193">
        <v>0</v>
      </c>
      <c r="AJ70" s="193">
        <v>0</v>
      </c>
      <c r="AK70" s="193">
        <v>0</v>
      </c>
      <c r="AL70" s="193">
        <v>0</v>
      </c>
      <c r="AM70" s="193">
        <v>0</v>
      </c>
      <c r="AN70" s="193">
        <v>0</v>
      </c>
      <c r="AO70" s="193">
        <v>0</v>
      </c>
      <c r="AP70" s="193">
        <v>0</v>
      </c>
      <c r="AQ70" s="193">
        <v>0</v>
      </c>
      <c r="AR70" s="193">
        <v>0</v>
      </c>
      <c r="AS70" s="193">
        <v>0</v>
      </c>
      <c r="AT70" s="193">
        <v>0</v>
      </c>
      <c r="AU70" s="193">
        <v>0</v>
      </c>
      <c r="AV70" s="193">
        <v>0</v>
      </c>
      <c r="AW70" s="193">
        <v>0</v>
      </c>
      <c r="AX70" s="193">
        <v>0</v>
      </c>
      <c r="AY70" s="193">
        <v>0</v>
      </c>
      <c r="AZ70" s="193">
        <v>0</v>
      </c>
      <c r="BA70" s="193">
        <v>0</v>
      </c>
      <c r="BB70" s="193">
        <v>1500000</v>
      </c>
      <c r="BC70" s="193">
        <v>0</v>
      </c>
      <c r="BD70" s="193">
        <v>1500000</v>
      </c>
    </row>
    <row r="71" spans="1:56" s="229" customFormat="1" ht="18.75">
      <c r="A71" s="189">
        <v>-35</v>
      </c>
      <c r="B71" s="190" t="s">
        <v>1065</v>
      </c>
      <c r="C71" s="191">
        <v>1600000</v>
      </c>
      <c r="D71" s="192">
        <v>0</v>
      </c>
      <c r="E71" s="192">
        <v>0</v>
      </c>
      <c r="F71" s="192">
        <v>0</v>
      </c>
      <c r="G71" s="192">
        <v>0</v>
      </c>
      <c r="H71" s="192">
        <v>0</v>
      </c>
      <c r="I71" s="192">
        <v>0</v>
      </c>
      <c r="J71" s="192">
        <v>0</v>
      </c>
      <c r="K71" s="192">
        <v>0</v>
      </c>
      <c r="L71" s="192">
        <v>0</v>
      </c>
      <c r="M71" s="192">
        <v>0</v>
      </c>
      <c r="N71" s="192">
        <v>0</v>
      </c>
      <c r="O71" s="192">
        <v>0</v>
      </c>
      <c r="P71" s="192">
        <v>0</v>
      </c>
      <c r="Q71" s="192">
        <v>0</v>
      </c>
      <c r="R71" s="192">
        <v>0</v>
      </c>
      <c r="S71" s="192">
        <v>1</v>
      </c>
      <c r="T71" s="192">
        <v>0</v>
      </c>
      <c r="U71" s="192">
        <v>0</v>
      </c>
      <c r="V71" s="192">
        <v>0</v>
      </c>
      <c r="W71" s="192">
        <v>0</v>
      </c>
      <c r="X71" s="192">
        <v>0</v>
      </c>
      <c r="Y71" s="192">
        <v>0</v>
      </c>
      <c r="Z71" s="192">
        <v>0</v>
      </c>
      <c r="AA71" s="192">
        <v>0</v>
      </c>
      <c r="AB71" s="192">
        <v>0</v>
      </c>
      <c r="AC71" s="192">
        <v>1</v>
      </c>
      <c r="AD71" s="193">
        <v>0</v>
      </c>
      <c r="AE71" s="193">
        <v>0</v>
      </c>
      <c r="AF71" s="193">
        <v>0</v>
      </c>
      <c r="AG71" s="193">
        <v>0</v>
      </c>
      <c r="AH71" s="193">
        <v>0</v>
      </c>
      <c r="AI71" s="193">
        <v>0</v>
      </c>
      <c r="AJ71" s="193">
        <v>0</v>
      </c>
      <c r="AK71" s="193">
        <v>0</v>
      </c>
      <c r="AL71" s="193">
        <v>0</v>
      </c>
      <c r="AM71" s="193">
        <v>0</v>
      </c>
      <c r="AN71" s="193">
        <v>0</v>
      </c>
      <c r="AO71" s="193">
        <v>0</v>
      </c>
      <c r="AP71" s="193">
        <v>0</v>
      </c>
      <c r="AQ71" s="193">
        <v>0</v>
      </c>
      <c r="AR71" s="193">
        <v>0</v>
      </c>
      <c r="AS71" s="193">
        <v>1600000</v>
      </c>
      <c r="AT71" s="193">
        <v>0</v>
      </c>
      <c r="AU71" s="193">
        <v>0</v>
      </c>
      <c r="AV71" s="193">
        <v>0</v>
      </c>
      <c r="AW71" s="193">
        <v>0</v>
      </c>
      <c r="AX71" s="193">
        <v>0</v>
      </c>
      <c r="AY71" s="193">
        <v>0</v>
      </c>
      <c r="AZ71" s="193">
        <v>0</v>
      </c>
      <c r="BA71" s="193">
        <v>0</v>
      </c>
      <c r="BB71" s="193">
        <v>0</v>
      </c>
      <c r="BC71" s="193">
        <v>1600000</v>
      </c>
      <c r="BD71" s="193">
        <v>1600000</v>
      </c>
    </row>
    <row r="72" spans="1:56" s="229" customFormat="1" ht="18.75">
      <c r="A72" s="189">
        <v>-36</v>
      </c>
      <c r="B72" s="194" t="s">
        <v>870</v>
      </c>
      <c r="C72" s="191">
        <v>1700000</v>
      </c>
      <c r="D72" s="192">
        <v>1</v>
      </c>
      <c r="E72" s="192">
        <v>0</v>
      </c>
      <c r="F72" s="192">
        <v>0</v>
      </c>
      <c r="G72" s="192">
        <v>0</v>
      </c>
      <c r="H72" s="192">
        <v>0</v>
      </c>
      <c r="I72" s="192">
        <v>0</v>
      </c>
      <c r="J72" s="192">
        <v>1</v>
      </c>
      <c r="K72" s="192">
        <v>0</v>
      </c>
      <c r="L72" s="192">
        <v>0</v>
      </c>
      <c r="M72" s="192">
        <v>0</v>
      </c>
      <c r="N72" s="192">
        <v>0</v>
      </c>
      <c r="O72" s="192">
        <v>0</v>
      </c>
      <c r="P72" s="192">
        <v>0</v>
      </c>
      <c r="Q72" s="192">
        <v>0</v>
      </c>
      <c r="R72" s="192">
        <v>0</v>
      </c>
      <c r="S72" s="192">
        <v>0</v>
      </c>
      <c r="T72" s="192">
        <v>0</v>
      </c>
      <c r="U72" s="192">
        <v>0</v>
      </c>
      <c r="V72" s="192">
        <v>0</v>
      </c>
      <c r="W72" s="192">
        <v>0</v>
      </c>
      <c r="X72" s="192">
        <v>0</v>
      </c>
      <c r="Y72" s="192">
        <v>0</v>
      </c>
      <c r="Z72" s="192">
        <v>0</v>
      </c>
      <c r="AA72" s="192">
        <v>0</v>
      </c>
      <c r="AB72" s="192">
        <v>2</v>
      </c>
      <c r="AC72" s="192">
        <v>0</v>
      </c>
      <c r="AD72" s="193">
        <v>1700000</v>
      </c>
      <c r="AE72" s="193">
        <v>0</v>
      </c>
      <c r="AF72" s="193">
        <v>0</v>
      </c>
      <c r="AG72" s="193">
        <v>0</v>
      </c>
      <c r="AH72" s="193">
        <v>0</v>
      </c>
      <c r="AI72" s="193">
        <v>0</v>
      </c>
      <c r="AJ72" s="193">
        <v>1700000</v>
      </c>
      <c r="AK72" s="193">
        <v>0</v>
      </c>
      <c r="AL72" s="193">
        <v>0</v>
      </c>
      <c r="AM72" s="193">
        <v>0</v>
      </c>
      <c r="AN72" s="193">
        <v>0</v>
      </c>
      <c r="AO72" s="193">
        <v>0</v>
      </c>
      <c r="AP72" s="193">
        <v>0</v>
      </c>
      <c r="AQ72" s="193">
        <v>0</v>
      </c>
      <c r="AR72" s="193">
        <v>0</v>
      </c>
      <c r="AS72" s="193">
        <v>0</v>
      </c>
      <c r="AT72" s="193">
        <v>0</v>
      </c>
      <c r="AU72" s="193">
        <v>0</v>
      </c>
      <c r="AV72" s="193">
        <v>0</v>
      </c>
      <c r="AW72" s="193">
        <v>0</v>
      </c>
      <c r="AX72" s="193">
        <v>0</v>
      </c>
      <c r="AY72" s="193">
        <v>0</v>
      </c>
      <c r="AZ72" s="193">
        <v>0</v>
      </c>
      <c r="BA72" s="193">
        <v>0</v>
      </c>
      <c r="BB72" s="193">
        <v>3400000</v>
      </c>
      <c r="BC72" s="193">
        <v>0</v>
      </c>
      <c r="BD72" s="193">
        <v>3400000</v>
      </c>
    </row>
    <row r="73" spans="1:56" s="229" customFormat="1">
      <c r="A73" s="189">
        <v>-37</v>
      </c>
      <c r="B73" s="190" t="s">
        <v>871</v>
      </c>
      <c r="C73" s="191">
        <v>1900000</v>
      </c>
      <c r="D73" s="192">
        <v>0</v>
      </c>
      <c r="E73" s="192">
        <v>0</v>
      </c>
      <c r="F73" s="192">
        <v>0</v>
      </c>
      <c r="G73" s="192">
        <v>0</v>
      </c>
      <c r="H73" s="192">
        <v>0</v>
      </c>
      <c r="I73" s="192">
        <v>0</v>
      </c>
      <c r="J73" s="192">
        <v>0</v>
      </c>
      <c r="K73" s="192">
        <v>0</v>
      </c>
      <c r="L73" s="192">
        <v>0</v>
      </c>
      <c r="M73" s="192">
        <v>0</v>
      </c>
      <c r="N73" s="192">
        <v>1</v>
      </c>
      <c r="O73" s="192">
        <v>0</v>
      </c>
      <c r="P73" s="192">
        <v>0</v>
      </c>
      <c r="Q73" s="192">
        <v>0</v>
      </c>
      <c r="R73" s="192">
        <v>0</v>
      </c>
      <c r="S73" s="192">
        <v>0</v>
      </c>
      <c r="T73" s="192">
        <v>0</v>
      </c>
      <c r="U73" s="192">
        <v>0</v>
      </c>
      <c r="V73" s="192">
        <v>0</v>
      </c>
      <c r="W73" s="192">
        <v>0</v>
      </c>
      <c r="X73" s="192">
        <v>0</v>
      </c>
      <c r="Y73" s="192">
        <v>0</v>
      </c>
      <c r="Z73" s="192">
        <v>0</v>
      </c>
      <c r="AA73" s="192">
        <v>0</v>
      </c>
      <c r="AB73" s="192">
        <v>1</v>
      </c>
      <c r="AC73" s="192">
        <v>0</v>
      </c>
      <c r="AD73" s="193">
        <v>0</v>
      </c>
      <c r="AE73" s="193">
        <v>0</v>
      </c>
      <c r="AF73" s="193">
        <v>0</v>
      </c>
      <c r="AG73" s="193">
        <v>0</v>
      </c>
      <c r="AH73" s="193">
        <v>0</v>
      </c>
      <c r="AI73" s="193">
        <v>0</v>
      </c>
      <c r="AJ73" s="193">
        <v>0</v>
      </c>
      <c r="AK73" s="193">
        <v>0</v>
      </c>
      <c r="AL73" s="193">
        <v>0</v>
      </c>
      <c r="AM73" s="193">
        <v>0</v>
      </c>
      <c r="AN73" s="193">
        <v>1900000</v>
      </c>
      <c r="AO73" s="193">
        <v>0</v>
      </c>
      <c r="AP73" s="193">
        <v>0</v>
      </c>
      <c r="AQ73" s="193">
        <v>0</v>
      </c>
      <c r="AR73" s="193">
        <v>0</v>
      </c>
      <c r="AS73" s="193">
        <v>0</v>
      </c>
      <c r="AT73" s="193">
        <v>0</v>
      </c>
      <c r="AU73" s="193">
        <v>0</v>
      </c>
      <c r="AV73" s="193">
        <v>0</v>
      </c>
      <c r="AW73" s="193">
        <v>0</v>
      </c>
      <c r="AX73" s="193">
        <v>0</v>
      </c>
      <c r="AY73" s="193">
        <v>0</v>
      </c>
      <c r="AZ73" s="193">
        <v>0</v>
      </c>
      <c r="BA73" s="193">
        <v>0</v>
      </c>
      <c r="BB73" s="193">
        <v>1900000</v>
      </c>
      <c r="BC73" s="193">
        <v>0</v>
      </c>
      <c r="BD73" s="193">
        <v>1900000</v>
      </c>
    </row>
    <row r="74" spans="1:56" s="229" customFormat="1">
      <c r="A74" s="189">
        <v>-38</v>
      </c>
      <c r="B74" s="190" t="s">
        <v>1066</v>
      </c>
      <c r="C74" s="191">
        <v>2000000</v>
      </c>
      <c r="D74" s="192">
        <v>0</v>
      </c>
      <c r="E74" s="192">
        <v>0</v>
      </c>
      <c r="F74" s="192">
        <v>0</v>
      </c>
      <c r="G74" s="192">
        <v>0</v>
      </c>
      <c r="H74" s="192">
        <v>0</v>
      </c>
      <c r="I74" s="192">
        <v>0</v>
      </c>
      <c r="J74" s="192">
        <v>0</v>
      </c>
      <c r="K74" s="192">
        <v>0</v>
      </c>
      <c r="L74" s="192">
        <v>0</v>
      </c>
      <c r="M74" s="192">
        <v>0</v>
      </c>
      <c r="N74" s="192">
        <v>0</v>
      </c>
      <c r="O74" s="192">
        <v>0</v>
      </c>
      <c r="P74" s="192">
        <v>0</v>
      </c>
      <c r="Q74" s="192">
        <v>0</v>
      </c>
      <c r="R74" s="192">
        <v>0</v>
      </c>
      <c r="S74" s="192">
        <v>0</v>
      </c>
      <c r="T74" s="192">
        <v>0</v>
      </c>
      <c r="U74" s="192">
        <v>0</v>
      </c>
      <c r="V74" s="192">
        <v>0</v>
      </c>
      <c r="W74" s="192">
        <v>0</v>
      </c>
      <c r="X74" s="192">
        <v>0</v>
      </c>
      <c r="Y74" s="192">
        <v>0</v>
      </c>
      <c r="Z74" s="192">
        <v>0</v>
      </c>
      <c r="AA74" s="192">
        <v>0</v>
      </c>
      <c r="AB74" s="192">
        <v>0</v>
      </c>
      <c r="AC74" s="192">
        <v>0</v>
      </c>
      <c r="AD74" s="193">
        <v>0</v>
      </c>
      <c r="AE74" s="193">
        <v>0</v>
      </c>
      <c r="AF74" s="193">
        <v>0</v>
      </c>
      <c r="AG74" s="193">
        <v>0</v>
      </c>
      <c r="AH74" s="193">
        <v>0</v>
      </c>
      <c r="AI74" s="193">
        <v>0</v>
      </c>
      <c r="AJ74" s="193">
        <v>0</v>
      </c>
      <c r="AK74" s="193">
        <v>0</v>
      </c>
      <c r="AL74" s="193">
        <v>0</v>
      </c>
      <c r="AM74" s="193">
        <v>0</v>
      </c>
      <c r="AN74" s="193">
        <v>0</v>
      </c>
      <c r="AO74" s="193">
        <v>0</v>
      </c>
      <c r="AP74" s="193">
        <v>0</v>
      </c>
      <c r="AQ74" s="193">
        <v>0</v>
      </c>
      <c r="AR74" s="193">
        <v>0</v>
      </c>
      <c r="AS74" s="193">
        <v>0</v>
      </c>
      <c r="AT74" s="193">
        <v>0</v>
      </c>
      <c r="AU74" s="193">
        <v>0</v>
      </c>
      <c r="AV74" s="193">
        <v>0</v>
      </c>
      <c r="AW74" s="193">
        <v>0</v>
      </c>
      <c r="AX74" s="193">
        <v>0</v>
      </c>
      <c r="AY74" s="193">
        <v>0</v>
      </c>
      <c r="AZ74" s="193">
        <v>0</v>
      </c>
      <c r="BA74" s="193">
        <v>0</v>
      </c>
      <c r="BB74" s="193">
        <v>0</v>
      </c>
      <c r="BC74" s="193">
        <v>0</v>
      </c>
      <c r="BD74" s="193">
        <v>0</v>
      </c>
    </row>
    <row r="75" spans="1:56" s="229" customFormat="1">
      <c r="A75" s="189">
        <v>-39</v>
      </c>
      <c r="B75" s="194" t="s">
        <v>1067</v>
      </c>
      <c r="C75" s="191">
        <v>2000000</v>
      </c>
      <c r="D75" s="192">
        <v>0</v>
      </c>
      <c r="E75" s="192">
        <v>0</v>
      </c>
      <c r="F75" s="192">
        <v>0</v>
      </c>
      <c r="G75" s="192">
        <v>0</v>
      </c>
      <c r="H75" s="192">
        <v>0</v>
      </c>
      <c r="I75" s="192">
        <v>0</v>
      </c>
      <c r="J75" s="192">
        <v>0</v>
      </c>
      <c r="K75" s="192">
        <v>0</v>
      </c>
      <c r="L75" s="192">
        <v>0</v>
      </c>
      <c r="M75" s="192">
        <v>0</v>
      </c>
      <c r="N75" s="192">
        <v>0</v>
      </c>
      <c r="O75" s="192">
        <v>0</v>
      </c>
      <c r="P75" s="192">
        <v>0</v>
      </c>
      <c r="Q75" s="192">
        <v>0</v>
      </c>
      <c r="R75" s="192">
        <v>1</v>
      </c>
      <c r="S75" s="192">
        <v>0</v>
      </c>
      <c r="T75" s="192">
        <v>0</v>
      </c>
      <c r="U75" s="192">
        <v>0</v>
      </c>
      <c r="V75" s="192">
        <v>0</v>
      </c>
      <c r="W75" s="192">
        <v>0</v>
      </c>
      <c r="X75" s="192">
        <v>0</v>
      </c>
      <c r="Y75" s="192">
        <v>0</v>
      </c>
      <c r="Z75" s="192">
        <v>0</v>
      </c>
      <c r="AA75" s="192">
        <v>0</v>
      </c>
      <c r="AB75" s="192">
        <v>1</v>
      </c>
      <c r="AC75" s="192">
        <v>0</v>
      </c>
      <c r="AD75" s="193">
        <v>0</v>
      </c>
      <c r="AE75" s="193">
        <v>0</v>
      </c>
      <c r="AF75" s="193">
        <v>0</v>
      </c>
      <c r="AG75" s="193">
        <v>0</v>
      </c>
      <c r="AH75" s="193">
        <v>0</v>
      </c>
      <c r="AI75" s="193">
        <v>0</v>
      </c>
      <c r="AJ75" s="193">
        <v>0</v>
      </c>
      <c r="AK75" s="193">
        <v>0</v>
      </c>
      <c r="AL75" s="193">
        <v>0</v>
      </c>
      <c r="AM75" s="193">
        <v>0</v>
      </c>
      <c r="AN75" s="193">
        <v>0</v>
      </c>
      <c r="AO75" s="193">
        <v>0</v>
      </c>
      <c r="AP75" s="193">
        <v>0</v>
      </c>
      <c r="AQ75" s="193">
        <v>0</v>
      </c>
      <c r="AR75" s="193">
        <v>2000000</v>
      </c>
      <c r="AS75" s="193">
        <v>0</v>
      </c>
      <c r="AT75" s="193">
        <v>0</v>
      </c>
      <c r="AU75" s="193">
        <v>0</v>
      </c>
      <c r="AV75" s="193">
        <v>0</v>
      </c>
      <c r="AW75" s="193">
        <v>0</v>
      </c>
      <c r="AX75" s="193">
        <v>0</v>
      </c>
      <c r="AY75" s="193">
        <v>0</v>
      </c>
      <c r="AZ75" s="193">
        <v>0</v>
      </c>
      <c r="BA75" s="193">
        <v>0</v>
      </c>
      <c r="BB75" s="193">
        <v>2000000</v>
      </c>
      <c r="BC75" s="193">
        <v>0</v>
      </c>
      <c r="BD75" s="193">
        <v>2000000</v>
      </c>
    </row>
    <row r="76" spans="1:56" s="229" customFormat="1">
      <c r="A76" s="189">
        <v>-40</v>
      </c>
      <c r="B76" s="194" t="s">
        <v>872</v>
      </c>
      <c r="C76" s="191">
        <v>2250000</v>
      </c>
      <c r="D76" s="192">
        <v>1</v>
      </c>
      <c r="E76" s="192">
        <v>0</v>
      </c>
      <c r="F76" s="192">
        <v>0</v>
      </c>
      <c r="G76" s="192">
        <v>0</v>
      </c>
      <c r="H76" s="192">
        <v>0</v>
      </c>
      <c r="I76" s="192">
        <v>0</v>
      </c>
      <c r="J76" s="192">
        <v>0</v>
      </c>
      <c r="K76" s="192">
        <v>0</v>
      </c>
      <c r="L76" s="192">
        <v>0</v>
      </c>
      <c r="M76" s="192">
        <v>0</v>
      </c>
      <c r="N76" s="192">
        <v>0</v>
      </c>
      <c r="O76" s="192">
        <v>0</v>
      </c>
      <c r="P76" s="192">
        <v>0</v>
      </c>
      <c r="Q76" s="192">
        <v>0</v>
      </c>
      <c r="R76" s="192">
        <v>0</v>
      </c>
      <c r="S76" s="192">
        <v>0</v>
      </c>
      <c r="T76" s="192">
        <v>0</v>
      </c>
      <c r="U76" s="192">
        <v>0</v>
      </c>
      <c r="V76" s="192">
        <v>0</v>
      </c>
      <c r="W76" s="192">
        <v>0</v>
      </c>
      <c r="X76" s="192">
        <v>1</v>
      </c>
      <c r="Y76" s="192">
        <v>0</v>
      </c>
      <c r="Z76" s="192">
        <v>0</v>
      </c>
      <c r="AA76" s="192">
        <v>0</v>
      </c>
      <c r="AB76" s="192">
        <v>2</v>
      </c>
      <c r="AC76" s="192">
        <v>0</v>
      </c>
      <c r="AD76" s="193">
        <v>2250000</v>
      </c>
      <c r="AE76" s="193">
        <v>0</v>
      </c>
      <c r="AF76" s="193">
        <v>0</v>
      </c>
      <c r="AG76" s="193">
        <v>0</v>
      </c>
      <c r="AH76" s="193">
        <v>0</v>
      </c>
      <c r="AI76" s="193">
        <v>0</v>
      </c>
      <c r="AJ76" s="193">
        <v>0</v>
      </c>
      <c r="AK76" s="193">
        <v>0</v>
      </c>
      <c r="AL76" s="193">
        <v>0</v>
      </c>
      <c r="AM76" s="193">
        <v>0</v>
      </c>
      <c r="AN76" s="193">
        <v>0</v>
      </c>
      <c r="AO76" s="193">
        <v>0</v>
      </c>
      <c r="AP76" s="193">
        <v>0</v>
      </c>
      <c r="AQ76" s="193">
        <v>0</v>
      </c>
      <c r="AR76" s="193">
        <v>0</v>
      </c>
      <c r="AS76" s="193">
        <v>0</v>
      </c>
      <c r="AT76" s="193">
        <v>0</v>
      </c>
      <c r="AU76" s="193">
        <v>0</v>
      </c>
      <c r="AV76" s="193">
        <v>0</v>
      </c>
      <c r="AW76" s="193">
        <v>0</v>
      </c>
      <c r="AX76" s="193">
        <v>2250000</v>
      </c>
      <c r="AY76" s="193">
        <v>0</v>
      </c>
      <c r="AZ76" s="193">
        <v>0</v>
      </c>
      <c r="BA76" s="193">
        <v>0</v>
      </c>
      <c r="BB76" s="193">
        <v>4500000</v>
      </c>
      <c r="BC76" s="193">
        <v>0</v>
      </c>
      <c r="BD76" s="193">
        <v>4500000</v>
      </c>
    </row>
    <row r="77" spans="1:56" s="229" customFormat="1">
      <c r="A77" s="189">
        <v>-41</v>
      </c>
      <c r="B77" s="194" t="s">
        <v>873</v>
      </c>
      <c r="C77" s="191">
        <v>2250000</v>
      </c>
      <c r="D77" s="192">
        <v>2</v>
      </c>
      <c r="E77" s="192">
        <v>0</v>
      </c>
      <c r="F77" s="192">
        <v>0</v>
      </c>
      <c r="G77" s="192">
        <v>0</v>
      </c>
      <c r="H77" s="192">
        <v>1</v>
      </c>
      <c r="I77" s="192">
        <v>0</v>
      </c>
      <c r="J77" s="192">
        <v>0</v>
      </c>
      <c r="K77" s="192">
        <v>0</v>
      </c>
      <c r="L77" s="192">
        <v>0</v>
      </c>
      <c r="M77" s="192">
        <v>1</v>
      </c>
      <c r="N77" s="192">
        <v>0</v>
      </c>
      <c r="O77" s="192">
        <v>0</v>
      </c>
      <c r="P77" s="192">
        <v>0</v>
      </c>
      <c r="Q77" s="192">
        <v>0</v>
      </c>
      <c r="R77" s="192">
        <v>0</v>
      </c>
      <c r="S77" s="192">
        <v>0</v>
      </c>
      <c r="T77" s="192">
        <v>0</v>
      </c>
      <c r="U77" s="192">
        <v>0</v>
      </c>
      <c r="V77" s="192">
        <v>0</v>
      </c>
      <c r="W77" s="192">
        <v>0</v>
      </c>
      <c r="X77" s="192">
        <v>0</v>
      </c>
      <c r="Y77" s="192">
        <v>0</v>
      </c>
      <c r="Z77" s="192">
        <v>0</v>
      </c>
      <c r="AA77" s="192">
        <v>0</v>
      </c>
      <c r="AB77" s="192">
        <v>3</v>
      </c>
      <c r="AC77" s="192">
        <v>1</v>
      </c>
      <c r="AD77" s="193">
        <v>4500000</v>
      </c>
      <c r="AE77" s="193">
        <v>0</v>
      </c>
      <c r="AF77" s="193">
        <v>0</v>
      </c>
      <c r="AG77" s="193">
        <v>0</v>
      </c>
      <c r="AH77" s="193">
        <v>2250000</v>
      </c>
      <c r="AI77" s="193">
        <v>0</v>
      </c>
      <c r="AJ77" s="193">
        <v>0</v>
      </c>
      <c r="AK77" s="193">
        <v>0</v>
      </c>
      <c r="AL77" s="193">
        <v>0</v>
      </c>
      <c r="AM77" s="193">
        <v>2250000</v>
      </c>
      <c r="AN77" s="193">
        <v>0</v>
      </c>
      <c r="AO77" s="193">
        <v>0</v>
      </c>
      <c r="AP77" s="193">
        <v>0</v>
      </c>
      <c r="AQ77" s="193">
        <v>0</v>
      </c>
      <c r="AR77" s="193">
        <v>0</v>
      </c>
      <c r="AS77" s="193">
        <v>0</v>
      </c>
      <c r="AT77" s="193">
        <v>0</v>
      </c>
      <c r="AU77" s="193">
        <v>0</v>
      </c>
      <c r="AV77" s="193">
        <v>0</v>
      </c>
      <c r="AW77" s="193">
        <v>0</v>
      </c>
      <c r="AX77" s="193">
        <v>0</v>
      </c>
      <c r="AY77" s="193">
        <v>0</v>
      </c>
      <c r="AZ77" s="193">
        <v>0</v>
      </c>
      <c r="BA77" s="193">
        <v>0</v>
      </c>
      <c r="BB77" s="193">
        <v>6750000</v>
      </c>
      <c r="BC77" s="193">
        <v>2250000</v>
      </c>
      <c r="BD77" s="193">
        <v>9000000</v>
      </c>
    </row>
    <row r="78" spans="1:56" s="229" customFormat="1">
      <c r="A78" s="189">
        <v>-42</v>
      </c>
      <c r="B78" s="195" t="s">
        <v>874</v>
      </c>
      <c r="C78" s="191">
        <v>2300000</v>
      </c>
      <c r="D78" s="192">
        <v>0</v>
      </c>
      <c r="E78" s="192">
        <v>0</v>
      </c>
      <c r="F78" s="192">
        <v>0</v>
      </c>
      <c r="G78" s="192">
        <v>0</v>
      </c>
      <c r="H78" s="192">
        <v>1</v>
      </c>
      <c r="I78" s="192">
        <v>0</v>
      </c>
      <c r="J78" s="192">
        <v>0</v>
      </c>
      <c r="K78" s="192">
        <v>0</v>
      </c>
      <c r="L78" s="192">
        <v>0</v>
      </c>
      <c r="M78" s="192">
        <v>0</v>
      </c>
      <c r="N78" s="192">
        <v>0</v>
      </c>
      <c r="O78" s="192">
        <v>0</v>
      </c>
      <c r="P78" s="192">
        <v>0</v>
      </c>
      <c r="Q78" s="192">
        <v>0</v>
      </c>
      <c r="R78" s="192">
        <v>0</v>
      </c>
      <c r="S78" s="192">
        <v>0</v>
      </c>
      <c r="T78" s="192">
        <v>0</v>
      </c>
      <c r="U78" s="192">
        <v>0</v>
      </c>
      <c r="V78" s="192">
        <v>0</v>
      </c>
      <c r="W78" s="192">
        <v>0</v>
      </c>
      <c r="X78" s="192">
        <v>0</v>
      </c>
      <c r="Y78" s="192">
        <v>0</v>
      </c>
      <c r="Z78" s="192">
        <v>0</v>
      </c>
      <c r="AA78" s="192">
        <v>0</v>
      </c>
      <c r="AB78" s="192">
        <v>1</v>
      </c>
      <c r="AC78" s="192">
        <v>0</v>
      </c>
      <c r="AD78" s="193">
        <v>0</v>
      </c>
      <c r="AE78" s="193">
        <v>0</v>
      </c>
      <c r="AF78" s="193">
        <v>0</v>
      </c>
      <c r="AG78" s="193">
        <v>0</v>
      </c>
      <c r="AH78" s="193">
        <v>2300000</v>
      </c>
      <c r="AI78" s="193">
        <v>0</v>
      </c>
      <c r="AJ78" s="193">
        <v>0</v>
      </c>
      <c r="AK78" s="193">
        <v>0</v>
      </c>
      <c r="AL78" s="193">
        <v>0</v>
      </c>
      <c r="AM78" s="193">
        <v>0</v>
      </c>
      <c r="AN78" s="193">
        <v>0</v>
      </c>
      <c r="AO78" s="193">
        <v>0</v>
      </c>
      <c r="AP78" s="193">
        <v>0</v>
      </c>
      <c r="AQ78" s="193">
        <v>0</v>
      </c>
      <c r="AR78" s="193">
        <v>0</v>
      </c>
      <c r="AS78" s="193">
        <v>0</v>
      </c>
      <c r="AT78" s="193">
        <v>0</v>
      </c>
      <c r="AU78" s="193">
        <v>0</v>
      </c>
      <c r="AV78" s="193">
        <v>0</v>
      </c>
      <c r="AW78" s="193">
        <v>0</v>
      </c>
      <c r="AX78" s="193">
        <v>0</v>
      </c>
      <c r="AY78" s="193">
        <v>0</v>
      </c>
      <c r="AZ78" s="193">
        <v>0</v>
      </c>
      <c r="BA78" s="193">
        <v>0</v>
      </c>
      <c r="BB78" s="193">
        <v>2300000</v>
      </c>
      <c r="BC78" s="193">
        <v>0</v>
      </c>
      <c r="BD78" s="193">
        <v>2300000</v>
      </c>
    </row>
    <row r="79" spans="1:56" s="229" customFormat="1">
      <c r="A79" s="189">
        <v>-43</v>
      </c>
      <c r="B79" s="194" t="s">
        <v>1068</v>
      </c>
      <c r="C79" s="191">
        <v>2500000</v>
      </c>
      <c r="D79" s="192">
        <v>0</v>
      </c>
      <c r="E79" s="192">
        <v>0</v>
      </c>
      <c r="F79" s="192">
        <v>0</v>
      </c>
      <c r="G79" s="192">
        <v>0</v>
      </c>
      <c r="H79" s="192">
        <v>0</v>
      </c>
      <c r="I79" s="192">
        <v>0</v>
      </c>
      <c r="J79" s="192">
        <v>0</v>
      </c>
      <c r="K79" s="192">
        <v>0</v>
      </c>
      <c r="L79" s="192">
        <v>0</v>
      </c>
      <c r="M79" s="192">
        <v>0</v>
      </c>
      <c r="N79" s="192">
        <v>0</v>
      </c>
      <c r="O79" s="192">
        <v>0</v>
      </c>
      <c r="P79" s="192">
        <v>0</v>
      </c>
      <c r="Q79" s="192">
        <v>0</v>
      </c>
      <c r="R79" s="192">
        <v>0</v>
      </c>
      <c r="S79" s="192">
        <v>0</v>
      </c>
      <c r="T79" s="192">
        <v>0</v>
      </c>
      <c r="U79" s="192">
        <v>0</v>
      </c>
      <c r="V79" s="192">
        <v>0</v>
      </c>
      <c r="W79" s="192">
        <v>0</v>
      </c>
      <c r="X79" s="192">
        <v>0</v>
      </c>
      <c r="Y79" s="192">
        <v>0</v>
      </c>
      <c r="Z79" s="192">
        <v>0</v>
      </c>
      <c r="AA79" s="192">
        <v>0</v>
      </c>
      <c r="AB79" s="192">
        <v>0</v>
      </c>
      <c r="AC79" s="192">
        <v>0</v>
      </c>
      <c r="AD79" s="193">
        <v>0</v>
      </c>
      <c r="AE79" s="193">
        <v>0</v>
      </c>
      <c r="AF79" s="193">
        <v>0</v>
      </c>
      <c r="AG79" s="193">
        <v>0</v>
      </c>
      <c r="AH79" s="193">
        <v>0</v>
      </c>
      <c r="AI79" s="193">
        <v>0</v>
      </c>
      <c r="AJ79" s="193">
        <v>0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0</v>
      </c>
      <c r="AT79" s="193">
        <v>0</v>
      </c>
      <c r="AU79" s="193">
        <v>0</v>
      </c>
      <c r="AV79" s="193">
        <v>0</v>
      </c>
      <c r="AW79" s="193">
        <v>0</v>
      </c>
      <c r="AX79" s="193">
        <v>0</v>
      </c>
      <c r="AY79" s="193">
        <v>0</v>
      </c>
      <c r="AZ79" s="193">
        <v>0</v>
      </c>
      <c r="BA79" s="193">
        <v>0</v>
      </c>
      <c r="BB79" s="193">
        <v>0</v>
      </c>
      <c r="BC79" s="193">
        <v>0</v>
      </c>
      <c r="BD79" s="193">
        <v>0</v>
      </c>
    </row>
    <row r="80" spans="1:56" s="229" customFormat="1">
      <c r="A80" s="189">
        <v>-44</v>
      </c>
      <c r="B80" s="194" t="s">
        <v>875</v>
      </c>
      <c r="C80" s="191">
        <v>3000000</v>
      </c>
      <c r="D80" s="192">
        <v>0</v>
      </c>
      <c r="E80" s="192">
        <v>0</v>
      </c>
      <c r="F80" s="192">
        <v>0</v>
      </c>
      <c r="G80" s="192">
        <v>0</v>
      </c>
      <c r="H80" s="192">
        <v>0</v>
      </c>
      <c r="I80" s="192">
        <v>0</v>
      </c>
      <c r="J80" s="192">
        <v>0</v>
      </c>
      <c r="K80" s="192">
        <v>0</v>
      </c>
      <c r="L80" s="192">
        <v>0</v>
      </c>
      <c r="M80" s="192">
        <v>0</v>
      </c>
      <c r="N80" s="192">
        <v>0</v>
      </c>
      <c r="O80" s="192">
        <v>0</v>
      </c>
      <c r="P80" s="192">
        <v>0</v>
      </c>
      <c r="Q80" s="192">
        <v>0</v>
      </c>
      <c r="R80" s="192">
        <v>0</v>
      </c>
      <c r="S80" s="192">
        <v>0</v>
      </c>
      <c r="T80" s="192">
        <v>0</v>
      </c>
      <c r="U80" s="192">
        <v>0</v>
      </c>
      <c r="V80" s="192">
        <v>0</v>
      </c>
      <c r="W80" s="192">
        <v>0</v>
      </c>
      <c r="X80" s="192">
        <v>0</v>
      </c>
      <c r="Y80" s="192">
        <v>0</v>
      </c>
      <c r="Z80" s="192">
        <v>0</v>
      </c>
      <c r="AA80" s="192">
        <v>0</v>
      </c>
      <c r="AB80" s="192">
        <v>0</v>
      </c>
      <c r="AC80" s="192">
        <v>0</v>
      </c>
      <c r="AD80" s="193">
        <v>0</v>
      </c>
      <c r="AE80" s="193">
        <v>0</v>
      </c>
      <c r="AF80" s="193">
        <v>0</v>
      </c>
      <c r="AG80" s="193">
        <v>0</v>
      </c>
      <c r="AH80" s="193">
        <v>0</v>
      </c>
      <c r="AI80" s="193">
        <v>0</v>
      </c>
      <c r="AJ80" s="193">
        <v>0</v>
      </c>
      <c r="AK80" s="193">
        <v>0</v>
      </c>
      <c r="AL80" s="193">
        <v>0</v>
      </c>
      <c r="AM80" s="193">
        <v>0</v>
      </c>
      <c r="AN80" s="193">
        <v>0</v>
      </c>
      <c r="AO80" s="193">
        <v>0</v>
      </c>
      <c r="AP80" s="193">
        <v>0</v>
      </c>
      <c r="AQ80" s="193">
        <v>0</v>
      </c>
      <c r="AR80" s="193">
        <v>0</v>
      </c>
      <c r="AS80" s="193">
        <v>0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0</v>
      </c>
    </row>
    <row r="81" spans="1:56" s="229" customFormat="1">
      <c r="A81" s="189">
        <v>-45</v>
      </c>
      <c r="B81" s="195" t="s">
        <v>1069</v>
      </c>
      <c r="C81" s="191">
        <v>3000000</v>
      </c>
      <c r="D81" s="192">
        <v>0</v>
      </c>
      <c r="E81" s="192">
        <v>0</v>
      </c>
      <c r="F81" s="192">
        <v>0</v>
      </c>
      <c r="G81" s="192">
        <v>0</v>
      </c>
      <c r="H81" s="192">
        <v>0</v>
      </c>
      <c r="I81" s="192">
        <v>0</v>
      </c>
      <c r="J81" s="192">
        <v>0</v>
      </c>
      <c r="K81" s="192">
        <v>0</v>
      </c>
      <c r="L81" s="192">
        <v>0</v>
      </c>
      <c r="M81" s="192">
        <v>0</v>
      </c>
      <c r="N81" s="192">
        <v>0</v>
      </c>
      <c r="O81" s="192">
        <v>0</v>
      </c>
      <c r="P81" s="192">
        <v>0</v>
      </c>
      <c r="Q81" s="192">
        <v>0</v>
      </c>
      <c r="R81" s="192">
        <v>0</v>
      </c>
      <c r="S81" s="192">
        <v>0</v>
      </c>
      <c r="T81" s="192">
        <v>0</v>
      </c>
      <c r="U81" s="192">
        <v>0</v>
      </c>
      <c r="V81" s="192">
        <v>0</v>
      </c>
      <c r="W81" s="192">
        <v>0</v>
      </c>
      <c r="X81" s="192">
        <v>0</v>
      </c>
      <c r="Y81" s="192">
        <v>0</v>
      </c>
      <c r="Z81" s="192">
        <v>0</v>
      </c>
      <c r="AA81" s="192">
        <v>0</v>
      </c>
      <c r="AB81" s="192">
        <v>0</v>
      </c>
      <c r="AC81" s="192">
        <v>0</v>
      </c>
      <c r="AD81" s="193">
        <v>0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0</v>
      </c>
      <c r="AK81" s="193">
        <v>0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</row>
    <row r="82" spans="1:56" s="229" customFormat="1">
      <c r="A82" s="189">
        <v>-46</v>
      </c>
      <c r="B82" s="194" t="s">
        <v>1070</v>
      </c>
      <c r="C82" s="191">
        <v>4300000</v>
      </c>
      <c r="D82" s="192">
        <v>0</v>
      </c>
      <c r="E82" s="192">
        <v>0</v>
      </c>
      <c r="F82" s="192">
        <v>0</v>
      </c>
      <c r="G82" s="192">
        <v>0</v>
      </c>
      <c r="H82" s="192">
        <v>0</v>
      </c>
      <c r="I82" s="192">
        <v>0</v>
      </c>
      <c r="J82" s="192">
        <v>0</v>
      </c>
      <c r="K82" s="192">
        <v>0</v>
      </c>
      <c r="L82" s="192">
        <v>0</v>
      </c>
      <c r="M82" s="192">
        <v>0</v>
      </c>
      <c r="N82" s="192">
        <v>0</v>
      </c>
      <c r="O82" s="192">
        <v>0</v>
      </c>
      <c r="P82" s="192">
        <v>0</v>
      </c>
      <c r="Q82" s="192">
        <v>0</v>
      </c>
      <c r="R82" s="192">
        <v>0</v>
      </c>
      <c r="S82" s="192">
        <v>1</v>
      </c>
      <c r="T82" s="192">
        <v>0</v>
      </c>
      <c r="U82" s="192">
        <v>0</v>
      </c>
      <c r="V82" s="192">
        <v>0</v>
      </c>
      <c r="W82" s="192">
        <v>0</v>
      </c>
      <c r="X82" s="192">
        <v>0</v>
      </c>
      <c r="Y82" s="192">
        <v>0</v>
      </c>
      <c r="Z82" s="192">
        <v>0</v>
      </c>
      <c r="AA82" s="192">
        <v>0</v>
      </c>
      <c r="AB82" s="192">
        <v>0</v>
      </c>
      <c r="AC82" s="192">
        <v>1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4300000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4300000</v>
      </c>
      <c r="BD82" s="193">
        <v>4300000</v>
      </c>
    </row>
    <row r="83" spans="1:56" s="229" customFormat="1">
      <c r="A83" s="189">
        <v>-47</v>
      </c>
      <c r="B83" s="194" t="s">
        <v>876</v>
      </c>
      <c r="C83" s="191">
        <v>4400000</v>
      </c>
      <c r="D83" s="192">
        <v>0</v>
      </c>
      <c r="E83" s="192">
        <v>0</v>
      </c>
      <c r="F83" s="192">
        <v>0</v>
      </c>
      <c r="G83" s="192">
        <v>0</v>
      </c>
      <c r="H83" s="192">
        <v>0</v>
      </c>
      <c r="I83" s="192">
        <v>0</v>
      </c>
      <c r="J83" s="192">
        <v>0</v>
      </c>
      <c r="K83" s="192">
        <v>0</v>
      </c>
      <c r="L83" s="192">
        <v>0</v>
      </c>
      <c r="M83" s="192">
        <v>0</v>
      </c>
      <c r="N83" s="192">
        <v>0</v>
      </c>
      <c r="O83" s="192">
        <v>0</v>
      </c>
      <c r="P83" s="192">
        <v>0</v>
      </c>
      <c r="Q83" s="192">
        <v>0</v>
      </c>
      <c r="R83" s="192">
        <v>0</v>
      </c>
      <c r="S83" s="192">
        <v>0</v>
      </c>
      <c r="T83" s="192">
        <v>0</v>
      </c>
      <c r="U83" s="192">
        <v>0</v>
      </c>
      <c r="V83" s="192">
        <v>0</v>
      </c>
      <c r="W83" s="192">
        <v>0</v>
      </c>
      <c r="X83" s="192">
        <v>0</v>
      </c>
      <c r="Y83" s="192">
        <v>0</v>
      </c>
      <c r="Z83" s="192">
        <v>0</v>
      </c>
      <c r="AA83" s="192">
        <v>0</v>
      </c>
      <c r="AB83" s="192">
        <v>0</v>
      </c>
      <c r="AC83" s="192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</row>
    <row r="84" spans="1:56" s="229" customFormat="1">
      <c r="A84" s="189">
        <v>-48</v>
      </c>
      <c r="B84" s="190" t="s">
        <v>877</v>
      </c>
      <c r="C84" s="191">
        <v>4500000</v>
      </c>
      <c r="D84" s="192">
        <v>0</v>
      </c>
      <c r="E84" s="192">
        <v>0</v>
      </c>
      <c r="F84" s="192">
        <v>0</v>
      </c>
      <c r="G84" s="192">
        <v>0</v>
      </c>
      <c r="H84" s="192">
        <v>0</v>
      </c>
      <c r="I84" s="192">
        <v>0</v>
      </c>
      <c r="J84" s="192">
        <v>0</v>
      </c>
      <c r="K84" s="192">
        <v>0</v>
      </c>
      <c r="L84" s="192">
        <v>0</v>
      </c>
      <c r="M84" s="192">
        <v>0</v>
      </c>
      <c r="N84" s="192">
        <v>0</v>
      </c>
      <c r="O84" s="192">
        <v>0</v>
      </c>
      <c r="P84" s="192">
        <v>0</v>
      </c>
      <c r="Q84" s="192">
        <v>0</v>
      </c>
      <c r="R84" s="192">
        <v>0</v>
      </c>
      <c r="S84" s="192">
        <v>0</v>
      </c>
      <c r="T84" s="192">
        <v>1</v>
      </c>
      <c r="U84" s="192">
        <v>0</v>
      </c>
      <c r="V84" s="192">
        <v>0</v>
      </c>
      <c r="W84" s="192">
        <v>0</v>
      </c>
      <c r="X84" s="192">
        <v>0</v>
      </c>
      <c r="Y84" s="192">
        <v>0</v>
      </c>
      <c r="Z84" s="192">
        <v>0</v>
      </c>
      <c r="AA84" s="192">
        <v>0</v>
      </c>
      <c r="AB84" s="192">
        <v>1</v>
      </c>
      <c r="AC84" s="192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4500000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4500000</v>
      </c>
      <c r="BC84" s="193">
        <v>0</v>
      </c>
      <c r="BD84" s="193">
        <v>4500000</v>
      </c>
    </row>
    <row r="85" spans="1:56">
      <c r="A85" s="196"/>
      <c r="B85" s="190" t="s">
        <v>1071</v>
      </c>
      <c r="C85" s="196"/>
      <c r="D85" s="192">
        <v>20</v>
      </c>
      <c r="E85" s="192">
        <v>0</v>
      </c>
      <c r="F85" s="192">
        <v>1</v>
      </c>
      <c r="G85" s="192">
        <v>1</v>
      </c>
      <c r="H85" s="192">
        <v>7</v>
      </c>
      <c r="I85" s="192">
        <v>0</v>
      </c>
      <c r="J85" s="192">
        <v>4</v>
      </c>
      <c r="K85" s="192">
        <v>0</v>
      </c>
      <c r="L85" s="192">
        <v>0</v>
      </c>
      <c r="M85" s="192">
        <v>1</v>
      </c>
      <c r="N85" s="192">
        <v>10</v>
      </c>
      <c r="O85" s="192">
        <v>4</v>
      </c>
      <c r="P85" s="192">
        <v>0</v>
      </c>
      <c r="Q85" s="192">
        <v>0</v>
      </c>
      <c r="R85" s="192">
        <v>2</v>
      </c>
      <c r="S85" s="192">
        <v>6</v>
      </c>
      <c r="T85" s="192">
        <v>7</v>
      </c>
      <c r="U85" s="192">
        <v>0</v>
      </c>
      <c r="V85" s="192">
        <v>0</v>
      </c>
      <c r="W85" s="192">
        <v>0</v>
      </c>
      <c r="X85" s="192">
        <v>4</v>
      </c>
      <c r="Y85" s="192">
        <v>0</v>
      </c>
      <c r="Z85" s="192">
        <v>3</v>
      </c>
      <c r="AA85" s="192">
        <v>1</v>
      </c>
      <c r="AB85" s="192">
        <v>58</v>
      </c>
      <c r="AC85" s="192">
        <v>13</v>
      </c>
      <c r="AD85" s="193">
        <v>15095000</v>
      </c>
      <c r="AE85" s="193">
        <v>0</v>
      </c>
      <c r="AF85" s="193">
        <v>400000</v>
      </c>
      <c r="AG85" s="193">
        <v>350000</v>
      </c>
      <c r="AH85" s="193">
        <v>7820000</v>
      </c>
      <c r="AI85" s="193">
        <v>0</v>
      </c>
      <c r="AJ85" s="193">
        <v>3005000</v>
      </c>
      <c r="AK85" s="193">
        <v>0</v>
      </c>
      <c r="AL85" s="193">
        <v>0</v>
      </c>
      <c r="AM85" s="193">
        <v>2250000</v>
      </c>
      <c r="AN85" s="193">
        <v>6570000</v>
      </c>
      <c r="AO85" s="193">
        <v>1040000</v>
      </c>
      <c r="AP85" s="193">
        <v>0</v>
      </c>
      <c r="AQ85" s="193">
        <v>0</v>
      </c>
      <c r="AR85" s="193">
        <v>2340000</v>
      </c>
      <c r="AS85" s="193">
        <v>6810000</v>
      </c>
      <c r="AT85" s="193">
        <v>8385000</v>
      </c>
      <c r="AU85" s="193">
        <v>0</v>
      </c>
      <c r="AV85" s="193">
        <v>0</v>
      </c>
      <c r="AW85" s="193">
        <v>0</v>
      </c>
      <c r="AX85" s="193">
        <v>5200000</v>
      </c>
      <c r="AY85" s="193">
        <v>0</v>
      </c>
      <c r="AZ85" s="193">
        <v>2465000</v>
      </c>
      <c r="BA85" s="193">
        <v>170000</v>
      </c>
      <c r="BB85" s="193">
        <v>51280000</v>
      </c>
      <c r="BC85" s="193">
        <v>10620000</v>
      </c>
      <c r="BD85" s="193">
        <v>61900000</v>
      </c>
    </row>
    <row r="86" spans="1:56" s="229" customFormat="1">
      <c r="A86" s="184">
        <v>3</v>
      </c>
      <c r="B86" s="185" t="s">
        <v>879</v>
      </c>
      <c r="C86" s="197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</row>
    <row r="87" spans="1:56" s="188" customFormat="1">
      <c r="A87" s="189">
        <v>-1</v>
      </c>
      <c r="B87" s="231" t="s">
        <v>1057</v>
      </c>
      <c r="C87" s="191">
        <v>110000</v>
      </c>
      <c r="D87" s="192">
        <v>0</v>
      </c>
      <c r="E87" s="192">
        <v>0</v>
      </c>
      <c r="F87" s="192">
        <v>0</v>
      </c>
      <c r="G87" s="192">
        <v>0</v>
      </c>
      <c r="H87" s="192">
        <v>0</v>
      </c>
      <c r="I87" s="192">
        <v>0</v>
      </c>
      <c r="J87" s="192">
        <v>0</v>
      </c>
      <c r="K87" s="192">
        <v>0</v>
      </c>
      <c r="L87" s="192">
        <v>0</v>
      </c>
      <c r="M87" s="192">
        <v>0</v>
      </c>
      <c r="N87" s="192">
        <v>0</v>
      </c>
      <c r="O87" s="192">
        <v>0</v>
      </c>
      <c r="P87" s="192">
        <v>0</v>
      </c>
      <c r="Q87" s="192">
        <v>0</v>
      </c>
      <c r="R87" s="192">
        <v>0</v>
      </c>
      <c r="S87" s="192">
        <v>0</v>
      </c>
      <c r="T87" s="192">
        <v>0</v>
      </c>
      <c r="U87" s="192">
        <v>0</v>
      </c>
      <c r="V87" s="192">
        <v>0</v>
      </c>
      <c r="W87" s="192">
        <v>0</v>
      </c>
      <c r="X87" s="192">
        <v>0</v>
      </c>
      <c r="Y87" s="192">
        <v>0</v>
      </c>
      <c r="Z87" s="192">
        <v>0</v>
      </c>
      <c r="AA87" s="192">
        <v>0</v>
      </c>
      <c r="AB87" s="192">
        <v>0</v>
      </c>
      <c r="AC87" s="192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</row>
    <row r="88" spans="1:56" s="188" customFormat="1">
      <c r="A88" s="189">
        <v>-2</v>
      </c>
      <c r="B88" s="190" t="s">
        <v>881</v>
      </c>
      <c r="C88" s="191">
        <v>340000</v>
      </c>
      <c r="D88" s="192">
        <v>0</v>
      </c>
      <c r="E88" s="192">
        <v>0</v>
      </c>
      <c r="F88" s="192">
        <v>0</v>
      </c>
      <c r="G88" s="192">
        <v>0</v>
      </c>
      <c r="H88" s="192">
        <v>0</v>
      </c>
      <c r="I88" s="192">
        <v>0</v>
      </c>
      <c r="J88" s="192">
        <v>0</v>
      </c>
      <c r="K88" s="192">
        <v>0</v>
      </c>
      <c r="L88" s="192">
        <v>0</v>
      </c>
      <c r="M88" s="192">
        <v>0</v>
      </c>
      <c r="N88" s="192">
        <v>1</v>
      </c>
      <c r="O88" s="192">
        <v>1</v>
      </c>
      <c r="P88" s="192">
        <v>0</v>
      </c>
      <c r="Q88" s="192">
        <v>0</v>
      </c>
      <c r="R88" s="192">
        <v>0</v>
      </c>
      <c r="S88" s="192">
        <v>0</v>
      </c>
      <c r="T88" s="192">
        <v>0</v>
      </c>
      <c r="U88" s="192">
        <v>0</v>
      </c>
      <c r="V88" s="192">
        <v>0</v>
      </c>
      <c r="W88" s="192">
        <v>0</v>
      </c>
      <c r="X88" s="192">
        <v>0</v>
      </c>
      <c r="Y88" s="192">
        <v>0</v>
      </c>
      <c r="Z88" s="192">
        <v>0</v>
      </c>
      <c r="AA88" s="192">
        <v>0</v>
      </c>
      <c r="AB88" s="192">
        <v>1</v>
      </c>
      <c r="AC88" s="192">
        <v>1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0</v>
      </c>
      <c r="AK88" s="193">
        <v>0</v>
      </c>
      <c r="AL88" s="193">
        <v>0</v>
      </c>
      <c r="AM88" s="193">
        <v>0</v>
      </c>
      <c r="AN88" s="193">
        <v>340000</v>
      </c>
      <c r="AO88" s="193">
        <v>340000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340000</v>
      </c>
      <c r="BC88" s="193">
        <v>340000</v>
      </c>
      <c r="BD88" s="193">
        <v>680000</v>
      </c>
    </row>
    <row r="89" spans="1:56" s="188" customFormat="1">
      <c r="A89" s="189">
        <v>-3</v>
      </c>
      <c r="B89" s="190" t="s">
        <v>882</v>
      </c>
      <c r="C89" s="191">
        <v>450000</v>
      </c>
      <c r="D89" s="192">
        <v>0</v>
      </c>
      <c r="E89" s="192">
        <v>0</v>
      </c>
      <c r="F89" s="192">
        <v>0</v>
      </c>
      <c r="G89" s="192">
        <v>0</v>
      </c>
      <c r="H89" s="192">
        <v>0</v>
      </c>
      <c r="I89" s="192">
        <v>0</v>
      </c>
      <c r="J89" s="192">
        <v>0</v>
      </c>
      <c r="K89" s="192">
        <v>0</v>
      </c>
      <c r="L89" s="192">
        <v>0</v>
      </c>
      <c r="M89" s="192">
        <v>0</v>
      </c>
      <c r="N89" s="192">
        <v>1</v>
      </c>
      <c r="O89" s="192">
        <v>1</v>
      </c>
      <c r="P89" s="192">
        <v>0</v>
      </c>
      <c r="Q89" s="192">
        <v>0</v>
      </c>
      <c r="R89" s="192">
        <v>1</v>
      </c>
      <c r="S89" s="192">
        <v>0</v>
      </c>
      <c r="T89" s="192">
        <v>0</v>
      </c>
      <c r="U89" s="192">
        <v>0</v>
      </c>
      <c r="V89" s="192">
        <v>0</v>
      </c>
      <c r="W89" s="192">
        <v>0</v>
      </c>
      <c r="X89" s="192">
        <v>0</v>
      </c>
      <c r="Y89" s="192">
        <v>0</v>
      </c>
      <c r="Z89" s="192">
        <v>0</v>
      </c>
      <c r="AA89" s="192">
        <v>0</v>
      </c>
      <c r="AB89" s="192">
        <v>2</v>
      </c>
      <c r="AC89" s="192">
        <v>1</v>
      </c>
      <c r="AD89" s="193">
        <v>0</v>
      </c>
      <c r="AE89" s="193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0</v>
      </c>
      <c r="AK89" s="193">
        <v>0</v>
      </c>
      <c r="AL89" s="193">
        <v>0</v>
      </c>
      <c r="AM89" s="193">
        <v>0</v>
      </c>
      <c r="AN89" s="193">
        <v>450000</v>
      </c>
      <c r="AO89" s="193">
        <v>450000</v>
      </c>
      <c r="AP89" s="193">
        <v>0</v>
      </c>
      <c r="AQ89" s="193">
        <v>0</v>
      </c>
      <c r="AR89" s="193">
        <v>450000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900000</v>
      </c>
      <c r="BC89" s="193">
        <v>450000</v>
      </c>
      <c r="BD89" s="193">
        <v>1350000</v>
      </c>
    </row>
    <row r="90" spans="1:56" s="188" customFormat="1">
      <c r="A90" s="189">
        <v>-4</v>
      </c>
      <c r="B90" s="190" t="s">
        <v>883</v>
      </c>
      <c r="C90" s="191">
        <v>1125000</v>
      </c>
      <c r="D90" s="192">
        <v>0</v>
      </c>
      <c r="E90" s="192">
        <v>0</v>
      </c>
      <c r="F90" s="192">
        <v>0</v>
      </c>
      <c r="G90" s="192">
        <v>0</v>
      </c>
      <c r="H90" s="192">
        <v>0</v>
      </c>
      <c r="I90" s="192">
        <v>0</v>
      </c>
      <c r="J90" s="192">
        <v>0</v>
      </c>
      <c r="K90" s="192">
        <v>0</v>
      </c>
      <c r="L90" s="192">
        <v>0</v>
      </c>
      <c r="M90" s="192">
        <v>0</v>
      </c>
      <c r="N90" s="192">
        <v>0</v>
      </c>
      <c r="O90" s="192">
        <v>0</v>
      </c>
      <c r="P90" s="192">
        <v>0</v>
      </c>
      <c r="Q90" s="192">
        <v>0</v>
      </c>
      <c r="R90" s="192">
        <v>0</v>
      </c>
      <c r="S90" s="192">
        <v>0</v>
      </c>
      <c r="T90" s="192">
        <v>0</v>
      </c>
      <c r="U90" s="192">
        <v>0</v>
      </c>
      <c r="V90" s="192">
        <v>0</v>
      </c>
      <c r="W90" s="192">
        <v>0</v>
      </c>
      <c r="X90" s="192">
        <v>0</v>
      </c>
      <c r="Y90" s="192">
        <v>0</v>
      </c>
      <c r="Z90" s="192">
        <v>1</v>
      </c>
      <c r="AA90" s="192">
        <v>0</v>
      </c>
      <c r="AB90" s="192">
        <v>1</v>
      </c>
      <c r="AC90" s="192">
        <v>0</v>
      </c>
      <c r="AD90" s="193">
        <v>0</v>
      </c>
      <c r="AE90" s="193">
        <v>0</v>
      </c>
      <c r="AF90" s="193">
        <v>0</v>
      </c>
      <c r="AG90" s="193">
        <v>0</v>
      </c>
      <c r="AH90" s="193">
        <v>0</v>
      </c>
      <c r="AI90" s="193">
        <v>0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0</v>
      </c>
      <c r="AT90" s="193">
        <v>0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1125000</v>
      </c>
      <c r="BA90" s="193">
        <v>0</v>
      </c>
      <c r="BB90" s="193">
        <v>1125000</v>
      </c>
      <c r="BC90" s="193">
        <v>0</v>
      </c>
      <c r="BD90" s="193">
        <v>1125000</v>
      </c>
    </row>
    <row r="91" spans="1:56" s="188" customFormat="1">
      <c r="A91" s="189">
        <v>-5</v>
      </c>
      <c r="B91" s="190" t="s">
        <v>884</v>
      </c>
      <c r="C91" s="191">
        <v>3600000</v>
      </c>
      <c r="D91" s="192">
        <v>0</v>
      </c>
      <c r="E91" s="192">
        <v>0</v>
      </c>
      <c r="F91" s="192">
        <v>0</v>
      </c>
      <c r="G91" s="192">
        <v>0</v>
      </c>
      <c r="H91" s="192">
        <v>0</v>
      </c>
      <c r="I91" s="192">
        <v>0</v>
      </c>
      <c r="J91" s="192">
        <v>0</v>
      </c>
      <c r="K91" s="192">
        <v>0</v>
      </c>
      <c r="L91" s="192">
        <v>0</v>
      </c>
      <c r="M91" s="192">
        <v>0</v>
      </c>
      <c r="N91" s="192">
        <v>0</v>
      </c>
      <c r="O91" s="192">
        <v>0</v>
      </c>
      <c r="P91" s="192">
        <v>0</v>
      </c>
      <c r="Q91" s="192">
        <v>0</v>
      </c>
      <c r="R91" s="192">
        <v>0</v>
      </c>
      <c r="S91" s="192">
        <v>0</v>
      </c>
      <c r="T91" s="192">
        <v>0</v>
      </c>
      <c r="U91" s="192">
        <v>0</v>
      </c>
      <c r="V91" s="192">
        <v>0</v>
      </c>
      <c r="W91" s="192">
        <v>0</v>
      </c>
      <c r="X91" s="192">
        <v>0</v>
      </c>
      <c r="Y91" s="192">
        <v>0</v>
      </c>
      <c r="Z91" s="192">
        <v>0</v>
      </c>
      <c r="AA91" s="192">
        <v>0</v>
      </c>
      <c r="AB91" s="192">
        <v>0</v>
      </c>
      <c r="AC91" s="192">
        <v>0</v>
      </c>
      <c r="AD91" s="193">
        <v>0</v>
      </c>
      <c r="AE91" s="193">
        <v>0</v>
      </c>
      <c r="AF91" s="193">
        <v>0</v>
      </c>
      <c r="AG91" s="193">
        <v>0</v>
      </c>
      <c r="AH91" s="193">
        <v>0</v>
      </c>
      <c r="AI91" s="193">
        <v>0</v>
      </c>
      <c r="AJ91" s="193">
        <v>0</v>
      </c>
      <c r="AK91" s="193">
        <v>0</v>
      </c>
      <c r="AL91" s="193">
        <v>0</v>
      </c>
      <c r="AM91" s="193">
        <v>0</v>
      </c>
      <c r="AN91" s="193">
        <v>0</v>
      </c>
      <c r="AO91" s="193">
        <v>0</v>
      </c>
      <c r="AP91" s="193">
        <v>0</v>
      </c>
      <c r="AQ91" s="193">
        <v>0</v>
      </c>
      <c r="AR91" s="193">
        <v>0</v>
      </c>
      <c r="AS91" s="193">
        <v>0</v>
      </c>
      <c r="AT91" s="193">
        <v>0</v>
      </c>
      <c r="AU91" s="193">
        <v>0</v>
      </c>
      <c r="AV91" s="193">
        <v>0</v>
      </c>
      <c r="AW91" s="193">
        <v>0</v>
      </c>
      <c r="AX91" s="193">
        <v>0</v>
      </c>
      <c r="AY91" s="193">
        <v>0</v>
      </c>
      <c r="AZ91" s="193">
        <v>0</v>
      </c>
      <c r="BA91" s="193">
        <v>0</v>
      </c>
      <c r="BB91" s="193">
        <v>0</v>
      </c>
      <c r="BC91" s="193">
        <v>0</v>
      </c>
      <c r="BD91" s="193">
        <v>0</v>
      </c>
    </row>
    <row r="92" spans="1:56" s="188" customFormat="1">
      <c r="A92" s="189">
        <v>-6</v>
      </c>
      <c r="B92" s="199" t="s">
        <v>885</v>
      </c>
      <c r="C92" s="191">
        <v>120000</v>
      </c>
      <c r="D92" s="192">
        <v>0</v>
      </c>
      <c r="E92" s="192">
        <v>0</v>
      </c>
      <c r="F92" s="192">
        <v>0</v>
      </c>
      <c r="G92" s="192">
        <v>1</v>
      </c>
      <c r="H92" s="192">
        <v>0</v>
      </c>
      <c r="I92" s="192">
        <v>1</v>
      </c>
      <c r="J92" s="192">
        <v>0</v>
      </c>
      <c r="K92" s="192">
        <v>0</v>
      </c>
      <c r="L92" s="192">
        <v>1</v>
      </c>
      <c r="M92" s="192">
        <v>0</v>
      </c>
      <c r="N92" s="192">
        <v>1</v>
      </c>
      <c r="O92" s="192">
        <v>1</v>
      </c>
      <c r="P92" s="192">
        <v>0</v>
      </c>
      <c r="Q92" s="192">
        <v>0</v>
      </c>
      <c r="R92" s="192">
        <v>1</v>
      </c>
      <c r="S92" s="192">
        <v>0</v>
      </c>
      <c r="T92" s="192">
        <v>0</v>
      </c>
      <c r="U92" s="192">
        <v>0</v>
      </c>
      <c r="V92" s="192">
        <v>0</v>
      </c>
      <c r="W92" s="192">
        <v>0</v>
      </c>
      <c r="X92" s="192">
        <v>1</v>
      </c>
      <c r="Y92" s="192">
        <v>0</v>
      </c>
      <c r="Z92" s="192">
        <v>2</v>
      </c>
      <c r="AA92" s="192">
        <v>0</v>
      </c>
      <c r="AB92" s="192">
        <v>6</v>
      </c>
      <c r="AC92" s="192">
        <v>3</v>
      </c>
      <c r="AD92" s="193">
        <v>0</v>
      </c>
      <c r="AE92" s="193">
        <v>0</v>
      </c>
      <c r="AF92" s="193">
        <v>0</v>
      </c>
      <c r="AG92" s="193">
        <v>120000</v>
      </c>
      <c r="AH92" s="193">
        <v>0</v>
      </c>
      <c r="AI92" s="193">
        <v>120000</v>
      </c>
      <c r="AJ92" s="193">
        <v>0</v>
      </c>
      <c r="AK92" s="193">
        <v>0</v>
      </c>
      <c r="AL92" s="193">
        <v>120000</v>
      </c>
      <c r="AM92" s="193">
        <v>0</v>
      </c>
      <c r="AN92" s="193">
        <v>120000</v>
      </c>
      <c r="AO92" s="193">
        <v>120000</v>
      </c>
      <c r="AP92" s="193">
        <v>0</v>
      </c>
      <c r="AQ92" s="193">
        <v>0</v>
      </c>
      <c r="AR92" s="193">
        <v>120000</v>
      </c>
      <c r="AS92" s="193">
        <v>0</v>
      </c>
      <c r="AT92" s="193">
        <v>0</v>
      </c>
      <c r="AU92" s="193">
        <v>0</v>
      </c>
      <c r="AV92" s="193">
        <v>0</v>
      </c>
      <c r="AW92" s="193">
        <v>0</v>
      </c>
      <c r="AX92" s="193">
        <v>120000</v>
      </c>
      <c r="AY92" s="193">
        <v>0</v>
      </c>
      <c r="AZ92" s="193">
        <v>240000</v>
      </c>
      <c r="BA92" s="193">
        <v>0</v>
      </c>
      <c r="BB92" s="193">
        <v>720000</v>
      </c>
      <c r="BC92" s="193">
        <v>360000</v>
      </c>
      <c r="BD92" s="193">
        <v>1080000</v>
      </c>
    </row>
    <row r="93" spans="1:56" s="188" customFormat="1">
      <c r="A93" s="189">
        <v>-7</v>
      </c>
      <c r="B93" s="200" t="s">
        <v>886</v>
      </c>
      <c r="C93" s="191">
        <v>150000</v>
      </c>
      <c r="D93" s="192">
        <v>0</v>
      </c>
      <c r="E93" s="192">
        <v>0</v>
      </c>
      <c r="F93" s="192">
        <v>0</v>
      </c>
      <c r="G93" s="192">
        <v>0</v>
      </c>
      <c r="H93" s="192">
        <v>0</v>
      </c>
      <c r="I93" s="192">
        <v>0</v>
      </c>
      <c r="J93" s="192">
        <v>0</v>
      </c>
      <c r="K93" s="192">
        <v>0</v>
      </c>
      <c r="L93" s="192">
        <v>0</v>
      </c>
      <c r="M93" s="192">
        <v>0</v>
      </c>
      <c r="N93" s="192">
        <v>0</v>
      </c>
      <c r="O93" s="192">
        <v>0</v>
      </c>
      <c r="P93" s="192">
        <v>0</v>
      </c>
      <c r="Q93" s="192">
        <v>0</v>
      </c>
      <c r="R93" s="192">
        <v>0</v>
      </c>
      <c r="S93" s="192">
        <v>0</v>
      </c>
      <c r="T93" s="192">
        <v>0</v>
      </c>
      <c r="U93" s="192">
        <v>0</v>
      </c>
      <c r="V93" s="192">
        <v>0</v>
      </c>
      <c r="W93" s="192">
        <v>0</v>
      </c>
      <c r="X93" s="192">
        <v>0</v>
      </c>
      <c r="Y93" s="192">
        <v>0</v>
      </c>
      <c r="Z93" s="192">
        <v>0</v>
      </c>
      <c r="AA93" s="192">
        <v>0</v>
      </c>
      <c r="AB93" s="192">
        <v>0</v>
      </c>
      <c r="AC93" s="192">
        <v>0</v>
      </c>
      <c r="AD93" s="193">
        <v>0</v>
      </c>
      <c r="AE93" s="193">
        <v>0</v>
      </c>
      <c r="AF93" s="193">
        <v>0</v>
      </c>
      <c r="AG93" s="193">
        <v>0</v>
      </c>
      <c r="AH93" s="193">
        <v>0</v>
      </c>
      <c r="AI93" s="193">
        <v>0</v>
      </c>
      <c r="AJ93" s="193">
        <v>0</v>
      </c>
      <c r="AK93" s="193">
        <v>0</v>
      </c>
      <c r="AL93" s="193">
        <v>0</v>
      </c>
      <c r="AM93" s="193">
        <v>0</v>
      </c>
      <c r="AN93" s="193">
        <v>0</v>
      </c>
      <c r="AO93" s="193">
        <v>0</v>
      </c>
      <c r="AP93" s="193">
        <v>0</v>
      </c>
      <c r="AQ93" s="193">
        <v>0</v>
      </c>
      <c r="AR93" s="193">
        <v>0</v>
      </c>
      <c r="AS93" s="193">
        <v>0</v>
      </c>
      <c r="AT93" s="193">
        <v>0</v>
      </c>
      <c r="AU93" s="193">
        <v>0</v>
      </c>
      <c r="AV93" s="193">
        <v>0</v>
      </c>
      <c r="AW93" s="193">
        <v>0</v>
      </c>
      <c r="AX93" s="193">
        <v>0</v>
      </c>
      <c r="AY93" s="193">
        <v>0</v>
      </c>
      <c r="AZ93" s="193">
        <v>0</v>
      </c>
      <c r="BA93" s="193">
        <v>0</v>
      </c>
      <c r="BB93" s="193">
        <v>0</v>
      </c>
      <c r="BC93" s="193">
        <v>0</v>
      </c>
      <c r="BD93" s="193">
        <v>0</v>
      </c>
    </row>
    <row r="94" spans="1:56" s="232" customFormat="1">
      <c r="A94" s="189">
        <v>-8</v>
      </c>
      <c r="B94" s="190" t="s">
        <v>844</v>
      </c>
      <c r="C94" s="191">
        <v>190000</v>
      </c>
      <c r="D94" s="192">
        <v>1</v>
      </c>
      <c r="E94" s="192">
        <v>0</v>
      </c>
      <c r="F94" s="192">
        <v>0</v>
      </c>
      <c r="G94" s="192">
        <v>0</v>
      </c>
      <c r="H94" s="192">
        <v>0</v>
      </c>
      <c r="I94" s="192">
        <v>0</v>
      </c>
      <c r="J94" s="192">
        <v>0</v>
      </c>
      <c r="K94" s="192">
        <v>0</v>
      </c>
      <c r="L94" s="192">
        <v>0</v>
      </c>
      <c r="M94" s="192">
        <v>0</v>
      </c>
      <c r="N94" s="192">
        <v>0</v>
      </c>
      <c r="O94" s="192">
        <v>0</v>
      </c>
      <c r="P94" s="192">
        <v>0</v>
      </c>
      <c r="Q94" s="192">
        <v>0</v>
      </c>
      <c r="R94" s="192">
        <v>0</v>
      </c>
      <c r="S94" s="192">
        <v>0</v>
      </c>
      <c r="T94" s="192">
        <v>0</v>
      </c>
      <c r="U94" s="192">
        <v>0</v>
      </c>
      <c r="V94" s="192">
        <v>0</v>
      </c>
      <c r="W94" s="192">
        <v>0</v>
      </c>
      <c r="X94" s="192">
        <v>0</v>
      </c>
      <c r="Y94" s="192">
        <v>0</v>
      </c>
      <c r="Z94" s="192">
        <v>0</v>
      </c>
      <c r="AA94" s="192">
        <v>0</v>
      </c>
      <c r="AB94" s="192">
        <v>1</v>
      </c>
      <c r="AC94" s="192">
        <v>0</v>
      </c>
      <c r="AD94" s="193">
        <v>190000</v>
      </c>
      <c r="AE94" s="193">
        <v>0</v>
      </c>
      <c r="AF94" s="193">
        <v>0</v>
      </c>
      <c r="AG94" s="193">
        <v>0</v>
      </c>
      <c r="AH94" s="193">
        <v>0</v>
      </c>
      <c r="AI94" s="193">
        <v>0</v>
      </c>
      <c r="AJ94" s="193">
        <v>0</v>
      </c>
      <c r="AK94" s="193">
        <v>0</v>
      </c>
      <c r="AL94" s="193">
        <v>0</v>
      </c>
      <c r="AM94" s="193">
        <v>0</v>
      </c>
      <c r="AN94" s="193">
        <v>0</v>
      </c>
      <c r="AO94" s="193">
        <v>0</v>
      </c>
      <c r="AP94" s="193">
        <v>0</v>
      </c>
      <c r="AQ94" s="193">
        <v>0</v>
      </c>
      <c r="AR94" s="193">
        <v>0</v>
      </c>
      <c r="AS94" s="193">
        <v>0</v>
      </c>
      <c r="AT94" s="193">
        <v>0</v>
      </c>
      <c r="AU94" s="193">
        <v>0</v>
      </c>
      <c r="AV94" s="193">
        <v>0</v>
      </c>
      <c r="AW94" s="193">
        <v>0</v>
      </c>
      <c r="AX94" s="193">
        <v>0</v>
      </c>
      <c r="AY94" s="193">
        <v>0</v>
      </c>
      <c r="AZ94" s="193">
        <v>0</v>
      </c>
      <c r="BA94" s="193">
        <v>0</v>
      </c>
      <c r="BB94" s="193">
        <v>190000</v>
      </c>
      <c r="BC94" s="193">
        <v>0</v>
      </c>
      <c r="BD94" s="193">
        <v>190000</v>
      </c>
    </row>
    <row r="95" spans="1:56" s="188" customFormat="1">
      <c r="A95" s="189">
        <v>-9</v>
      </c>
      <c r="B95" s="190" t="s">
        <v>846</v>
      </c>
      <c r="C95" s="191">
        <v>210000</v>
      </c>
      <c r="D95" s="192">
        <v>0</v>
      </c>
      <c r="E95" s="192">
        <v>0</v>
      </c>
      <c r="F95" s="192">
        <v>0</v>
      </c>
      <c r="G95" s="192">
        <v>0</v>
      </c>
      <c r="H95" s="192">
        <v>0</v>
      </c>
      <c r="I95" s="192">
        <v>0</v>
      </c>
      <c r="J95" s="192">
        <v>0</v>
      </c>
      <c r="K95" s="192">
        <v>0</v>
      </c>
      <c r="L95" s="192">
        <v>0</v>
      </c>
      <c r="M95" s="192">
        <v>0</v>
      </c>
      <c r="N95" s="192">
        <v>0</v>
      </c>
      <c r="O95" s="192">
        <v>0</v>
      </c>
      <c r="P95" s="192">
        <v>0</v>
      </c>
      <c r="Q95" s="192">
        <v>0</v>
      </c>
      <c r="R95" s="192">
        <v>0</v>
      </c>
      <c r="S95" s="192">
        <v>0</v>
      </c>
      <c r="T95" s="192">
        <v>0</v>
      </c>
      <c r="U95" s="192">
        <v>0</v>
      </c>
      <c r="V95" s="192">
        <v>0</v>
      </c>
      <c r="W95" s="192">
        <v>0</v>
      </c>
      <c r="X95" s="192">
        <v>0</v>
      </c>
      <c r="Y95" s="192">
        <v>0</v>
      </c>
      <c r="Z95" s="192">
        <v>0</v>
      </c>
      <c r="AA95" s="192">
        <v>0</v>
      </c>
      <c r="AB95" s="192">
        <v>0</v>
      </c>
      <c r="AC95" s="192">
        <v>0</v>
      </c>
      <c r="AD95" s="193">
        <v>0</v>
      </c>
      <c r="AE95" s="193">
        <v>0</v>
      </c>
      <c r="AF95" s="193">
        <v>0</v>
      </c>
      <c r="AG95" s="193">
        <v>0</v>
      </c>
      <c r="AH95" s="193">
        <v>0</v>
      </c>
      <c r="AI95" s="193">
        <v>0</v>
      </c>
      <c r="AJ95" s="193">
        <v>0</v>
      </c>
      <c r="AK95" s="193">
        <v>0</v>
      </c>
      <c r="AL95" s="193">
        <v>0</v>
      </c>
      <c r="AM95" s="193">
        <v>0</v>
      </c>
      <c r="AN95" s="193">
        <v>0</v>
      </c>
      <c r="AO95" s="193">
        <v>0</v>
      </c>
      <c r="AP95" s="193">
        <v>0</v>
      </c>
      <c r="AQ95" s="193">
        <v>0</v>
      </c>
      <c r="AR95" s="193">
        <v>0</v>
      </c>
      <c r="AS95" s="193">
        <v>0</v>
      </c>
      <c r="AT95" s="193">
        <v>0</v>
      </c>
      <c r="AU95" s="193">
        <v>0</v>
      </c>
      <c r="AV95" s="193">
        <v>0</v>
      </c>
      <c r="AW95" s="193">
        <v>0</v>
      </c>
      <c r="AX95" s="193">
        <v>0</v>
      </c>
      <c r="AY95" s="193">
        <v>0</v>
      </c>
      <c r="AZ95" s="193">
        <v>0</v>
      </c>
      <c r="BA95" s="193">
        <v>0</v>
      </c>
      <c r="BB95" s="193">
        <v>0</v>
      </c>
      <c r="BC95" s="193">
        <v>0</v>
      </c>
      <c r="BD95" s="193">
        <v>0</v>
      </c>
    </row>
    <row r="96" spans="1:56" s="229" customFormat="1">
      <c r="A96" s="189">
        <v>-10</v>
      </c>
      <c r="B96" s="194" t="s">
        <v>849</v>
      </c>
      <c r="C96" s="191">
        <v>220000</v>
      </c>
      <c r="D96" s="192">
        <v>1</v>
      </c>
      <c r="E96" s="192">
        <v>0</v>
      </c>
      <c r="F96" s="192">
        <v>0</v>
      </c>
      <c r="G96" s="192">
        <v>0</v>
      </c>
      <c r="H96" s="192">
        <v>0</v>
      </c>
      <c r="I96" s="192">
        <v>0</v>
      </c>
      <c r="J96" s="192">
        <v>0</v>
      </c>
      <c r="K96" s="192">
        <v>0</v>
      </c>
      <c r="L96" s="192">
        <v>0</v>
      </c>
      <c r="M96" s="192">
        <v>0</v>
      </c>
      <c r="N96" s="192">
        <v>0</v>
      </c>
      <c r="O96" s="192">
        <v>0</v>
      </c>
      <c r="P96" s="192">
        <v>0</v>
      </c>
      <c r="Q96" s="192">
        <v>0</v>
      </c>
      <c r="R96" s="192">
        <v>0</v>
      </c>
      <c r="S96" s="192">
        <v>0</v>
      </c>
      <c r="T96" s="192">
        <v>0</v>
      </c>
      <c r="U96" s="192">
        <v>0</v>
      </c>
      <c r="V96" s="192">
        <v>0</v>
      </c>
      <c r="W96" s="192">
        <v>0</v>
      </c>
      <c r="X96" s="192">
        <v>0</v>
      </c>
      <c r="Y96" s="192">
        <v>0</v>
      </c>
      <c r="Z96" s="192">
        <v>0</v>
      </c>
      <c r="AA96" s="192">
        <v>0</v>
      </c>
      <c r="AB96" s="192">
        <v>1</v>
      </c>
      <c r="AC96" s="192">
        <v>0</v>
      </c>
      <c r="AD96" s="193">
        <v>220000</v>
      </c>
      <c r="AE96" s="193">
        <v>0</v>
      </c>
      <c r="AF96" s="193">
        <v>0</v>
      </c>
      <c r="AG96" s="193">
        <v>0</v>
      </c>
      <c r="AH96" s="193">
        <v>0</v>
      </c>
      <c r="AI96" s="193">
        <v>0</v>
      </c>
      <c r="AJ96" s="193">
        <v>0</v>
      </c>
      <c r="AK96" s="193">
        <v>0</v>
      </c>
      <c r="AL96" s="193">
        <v>0</v>
      </c>
      <c r="AM96" s="193">
        <v>0</v>
      </c>
      <c r="AN96" s="193">
        <v>0</v>
      </c>
      <c r="AO96" s="193">
        <v>0</v>
      </c>
      <c r="AP96" s="193">
        <v>0</v>
      </c>
      <c r="AQ96" s="193">
        <v>0</v>
      </c>
      <c r="AR96" s="193">
        <v>0</v>
      </c>
      <c r="AS96" s="193">
        <v>0</v>
      </c>
      <c r="AT96" s="193">
        <v>0</v>
      </c>
      <c r="AU96" s="193">
        <v>0</v>
      </c>
      <c r="AV96" s="193">
        <v>0</v>
      </c>
      <c r="AW96" s="193">
        <v>0</v>
      </c>
      <c r="AX96" s="193">
        <v>0</v>
      </c>
      <c r="AY96" s="193">
        <v>0</v>
      </c>
      <c r="AZ96" s="193">
        <v>0</v>
      </c>
      <c r="BA96" s="193">
        <v>0</v>
      </c>
      <c r="BB96" s="193">
        <v>220000</v>
      </c>
      <c r="BC96" s="193">
        <v>0</v>
      </c>
      <c r="BD96" s="193">
        <v>220000</v>
      </c>
    </row>
    <row r="97" spans="1:56" s="188" customFormat="1">
      <c r="A97" s="189">
        <v>-11</v>
      </c>
      <c r="B97" s="190" t="s">
        <v>887</v>
      </c>
      <c r="C97" s="191">
        <v>225000</v>
      </c>
      <c r="D97" s="192">
        <v>3</v>
      </c>
      <c r="E97" s="192">
        <v>1</v>
      </c>
      <c r="F97" s="192">
        <v>0</v>
      </c>
      <c r="G97" s="192">
        <v>1</v>
      </c>
      <c r="H97" s="192">
        <v>0</v>
      </c>
      <c r="I97" s="192">
        <v>0</v>
      </c>
      <c r="J97" s="192">
        <v>0</v>
      </c>
      <c r="K97" s="192">
        <v>0</v>
      </c>
      <c r="L97" s="192">
        <v>0</v>
      </c>
      <c r="M97" s="192">
        <v>0</v>
      </c>
      <c r="N97" s="192">
        <v>1</v>
      </c>
      <c r="O97" s="192">
        <v>1</v>
      </c>
      <c r="P97" s="192">
        <v>0</v>
      </c>
      <c r="Q97" s="192">
        <v>0</v>
      </c>
      <c r="R97" s="192">
        <v>0</v>
      </c>
      <c r="S97" s="192">
        <v>0</v>
      </c>
      <c r="T97" s="192">
        <v>1</v>
      </c>
      <c r="U97" s="192">
        <v>0</v>
      </c>
      <c r="V97" s="192">
        <v>0</v>
      </c>
      <c r="W97" s="192">
        <v>0</v>
      </c>
      <c r="X97" s="192">
        <v>0</v>
      </c>
      <c r="Y97" s="192">
        <v>0</v>
      </c>
      <c r="Z97" s="192">
        <v>1</v>
      </c>
      <c r="AA97" s="192">
        <v>0</v>
      </c>
      <c r="AB97" s="192">
        <v>6</v>
      </c>
      <c r="AC97" s="192">
        <v>3</v>
      </c>
      <c r="AD97" s="193">
        <v>675000</v>
      </c>
      <c r="AE97" s="193">
        <v>225000</v>
      </c>
      <c r="AF97" s="193">
        <v>0</v>
      </c>
      <c r="AG97" s="193">
        <v>225000</v>
      </c>
      <c r="AH97" s="193">
        <v>0</v>
      </c>
      <c r="AI97" s="193">
        <v>0</v>
      </c>
      <c r="AJ97" s="193">
        <v>0</v>
      </c>
      <c r="AK97" s="193">
        <v>0</v>
      </c>
      <c r="AL97" s="193">
        <v>0</v>
      </c>
      <c r="AM97" s="193">
        <v>0</v>
      </c>
      <c r="AN97" s="193">
        <v>225000</v>
      </c>
      <c r="AO97" s="193">
        <v>225000</v>
      </c>
      <c r="AP97" s="193">
        <v>0</v>
      </c>
      <c r="AQ97" s="193">
        <v>0</v>
      </c>
      <c r="AR97" s="193">
        <v>0</v>
      </c>
      <c r="AS97" s="193">
        <v>0</v>
      </c>
      <c r="AT97" s="193">
        <v>225000</v>
      </c>
      <c r="AU97" s="193">
        <v>0</v>
      </c>
      <c r="AV97" s="193">
        <v>0</v>
      </c>
      <c r="AW97" s="193">
        <v>0</v>
      </c>
      <c r="AX97" s="193">
        <v>0</v>
      </c>
      <c r="AY97" s="193">
        <v>0</v>
      </c>
      <c r="AZ97" s="193">
        <v>225000</v>
      </c>
      <c r="BA97" s="193">
        <v>0</v>
      </c>
      <c r="BB97" s="193">
        <v>1350000</v>
      </c>
      <c r="BC97" s="193">
        <v>675000</v>
      </c>
      <c r="BD97" s="193">
        <v>2025000</v>
      </c>
    </row>
    <row r="98" spans="1:56" s="188" customFormat="1">
      <c r="A98" s="189">
        <v>-12</v>
      </c>
      <c r="B98" s="201" t="s">
        <v>888</v>
      </c>
      <c r="C98" s="191">
        <v>250000</v>
      </c>
      <c r="D98" s="192">
        <v>0</v>
      </c>
      <c r="E98" s="192">
        <v>0</v>
      </c>
      <c r="F98" s="192">
        <v>0</v>
      </c>
      <c r="G98" s="192">
        <v>0</v>
      </c>
      <c r="H98" s="192">
        <v>0</v>
      </c>
      <c r="I98" s="192">
        <v>0</v>
      </c>
      <c r="J98" s="192">
        <v>0</v>
      </c>
      <c r="K98" s="192">
        <v>0</v>
      </c>
      <c r="L98" s="192">
        <v>0</v>
      </c>
      <c r="M98" s="192">
        <v>0</v>
      </c>
      <c r="N98" s="192">
        <v>0</v>
      </c>
      <c r="O98" s="192">
        <v>0</v>
      </c>
      <c r="P98" s="192">
        <v>0</v>
      </c>
      <c r="Q98" s="192">
        <v>0</v>
      </c>
      <c r="R98" s="192">
        <v>0</v>
      </c>
      <c r="S98" s="192">
        <v>0</v>
      </c>
      <c r="T98" s="192">
        <v>0</v>
      </c>
      <c r="U98" s="192">
        <v>0</v>
      </c>
      <c r="V98" s="192">
        <v>0</v>
      </c>
      <c r="W98" s="192">
        <v>0</v>
      </c>
      <c r="X98" s="192">
        <v>0</v>
      </c>
      <c r="Y98" s="192">
        <v>0</v>
      </c>
      <c r="Z98" s="192">
        <v>0</v>
      </c>
      <c r="AA98" s="192">
        <v>1</v>
      </c>
      <c r="AB98" s="192">
        <v>0</v>
      </c>
      <c r="AC98" s="192">
        <v>1</v>
      </c>
      <c r="AD98" s="193">
        <v>0</v>
      </c>
      <c r="AE98" s="193">
        <v>0</v>
      </c>
      <c r="AF98" s="193">
        <v>0</v>
      </c>
      <c r="AG98" s="193">
        <v>0</v>
      </c>
      <c r="AH98" s="193">
        <v>0</v>
      </c>
      <c r="AI98" s="193">
        <v>0</v>
      </c>
      <c r="AJ98" s="193">
        <v>0</v>
      </c>
      <c r="AK98" s="193">
        <v>0</v>
      </c>
      <c r="AL98" s="193">
        <v>0</v>
      </c>
      <c r="AM98" s="193">
        <v>0</v>
      </c>
      <c r="AN98" s="193">
        <v>0</v>
      </c>
      <c r="AO98" s="193">
        <v>0</v>
      </c>
      <c r="AP98" s="193">
        <v>0</v>
      </c>
      <c r="AQ98" s="193">
        <v>0</v>
      </c>
      <c r="AR98" s="193">
        <v>0</v>
      </c>
      <c r="AS98" s="193">
        <v>0</v>
      </c>
      <c r="AT98" s="193">
        <v>0</v>
      </c>
      <c r="AU98" s="193">
        <v>0</v>
      </c>
      <c r="AV98" s="193">
        <v>0</v>
      </c>
      <c r="AW98" s="193">
        <v>0</v>
      </c>
      <c r="AX98" s="193">
        <v>0</v>
      </c>
      <c r="AY98" s="193">
        <v>0</v>
      </c>
      <c r="AZ98" s="193">
        <v>0</v>
      </c>
      <c r="BA98" s="193">
        <v>250000</v>
      </c>
      <c r="BB98" s="193">
        <v>0</v>
      </c>
      <c r="BC98" s="193">
        <v>250000</v>
      </c>
      <c r="BD98" s="193">
        <v>250000</v>
      </c>
    </row>
    <row r="99" spans="1:56" s="188" customFormat="1">
      <c r="A99" s="189">
        <v>-13</v>
      </c>
      <c r="B99" s="190" t="s">
        <v>889</v>
      </c>
      <c r="C99" s="191">
        <v>280000</v>
      </c>
      <c r="D99" s="192">
        <v>0</v>
      </c>
      <c r="E99" s="192">
        <v>0</v>
      </c>
      <c r="F99" s="192">
        <v>0</v>
      </c>
      <c r="G99" s="192">
        <v>0</v>
      </c>
      <c r="H99" s="192">
        <v>0</v>
      </c>
      <c r="I99" s="192">
        <v>0</v>
      </c>
      <c r="J99" s="192">
        <v>0</v>
      </c>
      <c r="K99" s="192">
        <v>0</v>
      </c>
      <c r="L99" s="192">
        <v>1</v>
      </c>
      <c r="M99" s="192">
        <v>0</v>
      </c>
      <c r="N99" s="192">
        <v>0</v>
      </c>
      <c r="O99" s="192">
        <v>0</v>
      </c>
      <c r="P99" s="192">
        <v>0</v>
      </c>
      <c r="Q99" s="192">
        <v>0</v>
      </c>
      <c r="R99" s="192">
        <v>0</v>
      </c>
      <c r="S99" s="192">
        <v>0</v>
      </c>
      <c r="T99" s="192">
        <v>0</v>
      </c>
      <c r="U99" s="192">
        <v>0</v>
      </c>
      <c r="V99" s="192">
        <v>0</v>
      </c>
      <c r="W99" s="192">
        <v>0</v>
      </c>
      <c r="X99" s="192">
        <v>0</v>
      </c>
      <c r="Y99" s="192">
        <v>0</v>
      </c>
      <c r="Z99" s="192">
        <v>0</v>
      </c>
      <c r="AA99" s="192">
        <v>0</v>
      </c>
      <c r="AB99" s="192">
        <v>1</v>
      </c>
      <c r="AC99" s="192">
        <v>0</v>
      </c>
      <c r="AD99" s="193">
        <v>0</v>
      </c>
      <c r="AE99" s="193">
        <v>0</v>
      </c>
      <c r="AF99" s="193">
        <v>0</v>
      </c>
      <c r="AG99" s="193">
        <v>0</v>
      </c>
      <c r="AH99" s="193">
        <v>0</v>
      </c>
      <c r="AI99" s="193">
        <v>0</v>
      </c>
      <c r="AJ99" s="193">
        <v>0</v>
      </c>
      <c r="AK99" s="193">
        <v>0</v>
      </c>
      <c r="AL99" s="193">
        <v>280000</v>
      </c>
      <c r="AM99" s="193">
        <v>0</v>
      </c>
      <c r="AN99" s="193">
        <v>0</v>
      </c>
      <c r="AO99" s="193">
        <v>0</v>
      </c>
      <c r="AP99" s="193">
        <v>0</v>
      </c>
      <c r="AQ99" s="193">
        <v>0</v>
      </c>
      <c r="AR99" s="193">
        <v>0</v>
      </c>
      <c r="AS99" s="193">
        <v>0</v>
      </c>
      <c r="AT99" s="193">
        <v>0</v>
      </c>
      <c r="AU99" s="193">
        <v>0</v>
      </c>
      <c r="AV99" s="193">
        <v>0</v>
      </c>
      <c r="AW99" s="193">
        <v>0</v>
      </c>
      <c r="AX99" s="193">
        <v>0</v>
      </c>
      <c r="AY99" s="193">
        <v>0</v>
      </c>
      <c r="AZ99" s="193">
        <v>0</v>
      </c>
      <c r="BA99" s="193">
        <v>0</v>
      </c>
      <c r="BB99" s="193">
        <v>280000</v>
      </c>
      <c r="BC99" s="193">
        <v>0</v>
      </c>
      <c r="BD99" s="193">
        <v>280000</v>
      </c>
    </row>
    <row r="100" spans="1:56" s="229" customFormat="1">
      <c r="A100" s="189">
        <v>-14</v>
      </c>
      <c r="B100" s="194" t="s">
        <v>852</v>
      </c>
      <c r="C100" s="191">
        <v>280000</v>
      </c>
      <c r="D100" s="192">
        <v>0</v>
      </c>
      <c r="E100" s="192">
        <v>0</v>
      </c>
      <c r="F100" s="192">
        <v>0</v>
      </c>
      <c r="G100" s="192">
        <v>0</v>
      </c>
      <c r="H100" s="192">
        <v>0</v>
      </c>
      <c r="I100" s="192">
        <v>0</v>
      </c>
      <c r="J100" s="192">
        <v>0</v>
      </c>
      <c r="K100" s="192">
        <v>0</v>
      </c>
      <c r="L100" s="192">
        <v>0</v>
      </c>
      <c r="M100" s="192">
        <v>0</v>
      </c>
      <c r="N100" s="192">
        <v>0</v>
      </c>
      <c r="O100" s="192">
        <v>0</v>
      </c>
      <c r="P100" s="192">
        <v>0</v>
      </c>
      <c r="Q100" s="192">
        <v>0</v>
      </c>
      <c r="R100" s="192">
        <v>0</v>
      </c>
      <c r="S100" s="192">
        <v>0</v>
      </c>
      <c r="T100" s="192">
        <v>0</v>
      </c>
      <c r="U100" s="192">
        <v>0</v>
      </c>
      <c r="V100" s="192">
        <v>0</v>
      </c>
      <c r="W100" s="192">
        <v>0</v>
      </c>
      <c r="X100" s="192">
        <v>0</v>
      </c>
      <c r="Y100" s="192">
        <v>0</v>
      </c>
      <c r="Z100" s="192">
        <v>0</v>
      </c>
      <c r="AA100" s="192">
        <v>0</v>
      </c>
      <c r="AB100" s="192">
        <v>0</v>
      </c>
      <c r="AC100" s="192">
        <v>0</v>
      </c>
      <c r="AD100" s="193">
        <v>0</v>
      </c>
      <c r="AE100" s="193">
        <v>0</v>
      </c>
      <c r="AF100" s="193">
        <v>0</v>
      </c>
      <c r="AG100" s="193">
        <v>0</v>
      </c>
      <c r="AH100" s="193">
        <v>0</v>
      </c>
      <c r="AI100" s="193">
        <v>0</v>
      </c>
      <c r="AJ100" s="193">
        <v>0</v>
      </c>
      <c r="AK100" s="193">
        <v>0</v>
      </c>
      <c r="AL100" s="193">
        <v>0</v>
      </c>
      <c r="AM100" s="193">
        <v>0</v>
      </c>
      <c r="AN100" s="193">
        <v>0</v>
      </c>
      <c r="AO100" s="193">
        <v>0</v>
      </c>
      <c r="AP100" s="193">
        <v>0</v>
      </c>
      <c r="AQ100" s="193">
        <v>0</v>
      </c>
      <c r="AR100" s="193">
        <v>0</v>
      </c>
      <c r="AS100" s="193">
        <v>0</v>
      </c>
      <c r="AT100" s="193">
        <v>0</v>
      </c>
      <c r="AU100" s="193">
        <v>0</v>
      </c>
      <c r="AV100" s="193">
        <v>0</v>
      </c>
      <c r="AW100" s="193">
        <v>0</v>
      </c>
      <c r="AX100" s="193">
        <v>0</v>
      </c>
      <c r="AY100" s="193">
        <v>0</v>
      </c>
      <c r="AZ100" s="193">
        <v>0</v>
      </c>
      <c r="BA100" s="193">
        <v>0</v>
      </c>
      <c r="BB100" s="193">
        <v>0</v>
      </c>
      <c r="BC100" s="193">
        <v>0</v>
      </c>
      <c r="BD100" s="193">
        <v>0</v>
      </c>
    </row>
    <row r="101" spans="1:56" s="188" customFormat="1">
      <c r="A101" s="189">
        <v>-15</v>
      </c>
      <c r="B101" s="190" t="s">
        <v>890</v>
      </c>
      <c r="C101" s="191">
        <v>300000</v>
      </c>
      <c r="D101" s="192">
        <v>0</v>
      </c>
      <c r="E101" s="192">
        <v>0</v>
      </c>
      <c r="F101" s="192">
        <v>0</v>
      </c>
      <c r="G101" s="192">
        <v>0</v>
      </c>
      <c r="H101" s="192">
        <v>0</v>
      </c>
      <c r="I101" s="192">
        <v>0</v>
      </c>
      <c r="J101" s="192">
        <v>0</v>
      </c>
      <c r="K101" s="192">
        <v>0</v>
      </c>
      <c r="L101" s="192">
        <v>1</v>
      </c>
      <c r="M101" s="192">
        <v>0</v>
      </c>
      <c r="N101" s="192">
        <v>1</v>
      </c>
      <c r="O101" s="192">
        <v>1</v>
      </c>
      <c r="P101" s="192">
        <v>0</v>
      </c>
      <c r="Q101" s="192">
        <v>0</v>
      </c>
      <c r="R101" s="192">
        <v>0</v>
      </c>
      <c r="S101" s="192">
        <v>0</v>
      </c>
      <c r="T101" s="192">
        <v>1</v>
      </c>
      <c r="U101" s="192">
        <v>0</v>
      </c>
      <c r="V101" s="192">
        <v>0</v>
      </c>
      <c r="W101" s="192">
        <v>0</v>
      </c>
      <c r="X101" s="192">
        <v>0</v>
      </c>
      <c r="Y101" s="192">
        <v>0</v>
      </c>
      <c r="Z101" s="192">
        <v>0</v>
      </c>
      <c r="AA101" s="192">
        <v>0</v>
      </c>
      <c r="AB101" s="192">
        <v>3</v>
      </c>
      <c r="AC101" s="192">
        <v>1</v>
      </c>
      <c r="AD101" s="193">
        <v>0</v>
      </c>
      <c r="AE101" s="193">
        <v>0</v>
      </c>
      <c r="AF101" s="193">
        <v>0</v>
      </c>
      <c r="AG101" s="193">
        <v>0</v>
      </c>
      <c r="AH101" s="193">
        <v>0</v>
      </c>
      <c r="AI101" s="193">
        <v>0</v>
      </c>
      <c r="AJ101" s="193">
        <v>0</v>
      </c>
      <c r="AK101" s="193">
        <v>0</v>
      </c>
      <c r="AL101" s="193">
        <v>300000</v>
      </c>
      <c r="AM101" s="193">
        <v>0</v>
      </c>
      <c r="AN101" s="193">
        <v>300000</v>
      </c>
      <c r="AO101" s="193">
        <v>300000</v>
      </c>
      <c r="AP101" s="193">
        <v>0</v>
      </c>
      <c r="AQ101" s="193">
        <v>0</v>
      </c>
      <c r="AR101" s="193">
        <v>0</v>
      </c>
      <c r="AS101" s="193">
        <v>0</v>
      </c>
      <c r="AT101" s="193">
        <v>300000</v>
      </c>
      <c r="AU101" s="193">
        <v>0</v>
      </c>
      <c r="AV101" s="193">
        <v>0</v>
      </c>
      <c r="AW101" s="193">
        <v>0</v>
      </c>
      <c r="AX101" s="193">
        <v>0</v>
      </c>
      <c r="AY101" s="193">
        <v>0</v>
      </c>
      <c r="AZ101" s="193">
        <v>0</v>
      </c>
      <c r="BA101" s="193">
        <v>0</v>
      </c>
      <c r="BB101" s="193">
        <v>900000</v>
      </c>
      <c r="BC101" s="193">
        <v>300000</v>
      </c>
      <c r="BD101" s="193">
        <v>1200000</v>
      </c>
    </row>
    <row r="102" spans="1:56" s="188" customFormat="1">
      <c r="A102" s="189">
        <v>-16</v>
      </c>
      <c r="B102" s="194" t="s">
        <v>854</v>
      </c>
      <c r="C102" s="191">
        <v>300000</v>
      </c>
      <c r="D102" s="192">
        <v>0</v>
      </c>
      <c r="E102" s="192">
        <v>0</v>
      </c>
      <c r="F102" s="192">
        <v>0</v>
      </c>
      <c r="G102" s="192">
        <v>0</v>
      </c>
      <c r="H102" s="192">
        <v>0</v>
      </c>
      <c r="I102" s="192">
        <v>0</v>
      </c>
      <c r="J102" s="192">
        <v>0</v>
      </c>
      <c r="K102" s="192">
        <v>0</v>
      </c>
      <c r="L102" s="192">
        <v>1</v>
      </c>
      <c r="M102" s="192">
        <v>0</v>
      </c>
      <c r="N102" s="192">
        <v>2</v>
      </c>
      <c r="O102" s="192">
        <v>0</v>
      </c>
      <c r="P102" s="192">
        <v>0</v>
      </c>
      <c r="Q102" s="192">
        <v>0</v>
      </c>
      <c r="R102" s="192">
        <v>0</v>
      </c>
      <c r="S102" s="192">
        <v>0</v>
      </c>
      <c r="T102" s="192">
        <v>1</v>
      </c>
      <c r="U102" s="192">
        <v>0</v>
      </c>
      <c r="V102" s="192">
        <v>0</v>
      </c>
      <c r="W102" s="192">
        <v>0</v>
      </c>
      <c r="X102" s="192">
        <v>0</v>
      </c>
      <c r="Y102" s="192">
        <v>0</v>
      </c>
      <c r="Z102" s="192">
        <v>1</v>
      </c>
      <c r="AA102" s="192">
        <v>0</v>
      </c>
      <c r="AB102" s="192">
        <v>5</v>
      </c>
      <c r="AC102" s="192">
        <v>0</v>
      </c>
      <c r="AD102" s="193">
        <v>0</v>
      </c>
      <c r="AE102" s="193">
        <v>0</v>
      </c>
      <c r="AF102" s="193">
        <v>0</v>
      </c>
      <c r="AG102" s="193">
        <v>0</v>
      </c>
      <c r="AH102" s="193">
        <v>0</v>
      </c>
      <c r="AI102" s="193">
        <v>0</v>
      </c>
      <c r="AJ102" s="193">
        <v>0</v>
      </c>
      <c r="AK102" s="193">
        <v>0</v>
      </c>
      <c r="AL102" s="193">
        <v>300000</v>
      </c>
      <c r="AM102" s="193">
        <v>0</v>
      </c>
      <c r="AN102" s="193">
        <v>600000</v>
      </c>
      <c r="AO102" s="193">
        <v>0</v>
      </c>
      <c r="AP102" s="193">
        <v>0</v>
      </c>
      <c r="AQ102" s="193">
        <v>0</v>
      </c>
      <c r="AR102" s="193">
        <v>0</v>
      </c>
      <c r="AS102" s="193">
        <v>0</v>
      </c>
      <c r="AT102" s="193">
        <v>300000</v>
      </c>
      <c r="AU102" s="193">
        <v>0</v>
      </c>
      <c r="AV102" s="193">
        <v>0</v>
      </c>
      <c r="AW102" s="193">
        <v>0</v>
      </c>
      <c r="AX102" s="193">
        <v>0</v>
      </c>
      <c r="AY102" s="193">
        <v>0</v>
      </c>
      <c r="AZ102" s="193">
        <v>300000</v>
      </c>
      <c r="BA102" s="193">
        <v>0</v>
      </c>
      <c r="BB102" s="193">
        <v>1500000</v>
      </c>
      <c r="BC102" s="193">
        <v>0</v>
      </c>
      <c r="BD102" s="193">
        <v>1500000</v>
      </c>
    </row>
    <row r="103" spans="1:56" s="188" customFormat="1">
      <c r="A103" s="189">
        <v>-17</v>
      </c>
      <c r="B103" s="190" t="s">
        <v>891</v>
      </c>
      <c r="C103" s="191">
        <v>320000</v>
      </c>
      <c r="D103" s="192">
        <v>0</v>
      </c>
      <c r="E103" s="192">
        <v>0</v>
      </c>
      <c r="F103" s="192">
        <v>0</v>
      </c>
      <c r="G103" s="192">
        <v>0</v>
      </c>
      <c r="H103" s="192">
        <v>1</v>
      </c>
      <c r="I103" s="192">
        <v>0</v>
      </c>
      <c r="J103" s="192">
        <v>0</v>
      </c>
      <c r="K103" s="192">
        <v>0</v>
      </c>
      <c r="L103" s="192">
        <v>0</v>
      </c>
      <c r="M103" s="192">
        <v>0</v>
      </c>
      <c r="N103" s="192">
        <v>0</v>
      </c>
      <c r="O103" s="192">
        <v>0</v>
      </c>
      <c r="P103" s="192">
        <v>0</v>
      </c>
      <c r="Q103" s="192">
        <v>0</v>
      </c>
      <c r="R103" s="192">
        <v>0</v>
      </c>
      <c r="S103" s="192">
        <v>0</v>
      </c>
      <c r="T103" s="192">
        <v>0</v>
      </c>
      <c r="U103" s="192">
        <v>0</v>
      </c>
      <c r="V103" s="192">
        <v>0</v>
      </c>
      <c r="W103" s="192">
        <v>0</v>
      </c>
      <c r="X103" s="192">
        <v>1</v>
      </c>
      <c r="Y103" s="192">
        <v>0</v>
      </c>
      <c r="Z103" s="192">
        <v>0</v>
      </c>
      <c r="AA103" s="192">
        <v>0</v>
      </c>
      <c r="AB103" s="192">
        <v>2</v>
      </c>
      <c r="AC103" s="192">
        <v>0</v>
      </c>
      <c r="AD103" s="193">
        <v>0</v>
      </c>
      <c r="AE103" s="193">
        <v>0</v>
      </c>
      <c r="AF103" s="193">
        <v>0</v>
      </c>
      <c r="AG103" s="193">
        <v>0</v>
      </c>
      <c r="AH103" s="193">
        <v>320000</v>
      </c>
      <c r="AI103" s="193">
        <v>0</v>
      </c>
      <c r="AJ103" s="193">
        <v>0</v>
      </c>
      <c r="AK103" s="193">
        <v>0</v>
      </c>
      <c r="AL103" s="193">
        <v>0</v>
      </c>
      <c r="AM103" s="193">
        <v>0</v>
      </c>
      <c r="AN103" s="193">
        <v>0</v>
      </c>
      <c r="AO103" s="193">
        <v>0</v>
      </c>
      <c r="AP103" s="193">
        <v>0</v>
      </c>
      <c r="AQ103" s="193">
        <v>0</v>
      </c>
      <c r="AR103" s="193">
        <v>0</v>
      </c>
      <c r="AS103" s="193">
        <v>0</v>
      </c>
      <c r="AT103" s="193">
        <v>0</v>
      </c>
      <c r="AU103" s="193">
        <v>0</v>
      </c>
      <c r="AV103" s="193">
        <v>0</v>
      </c>
      <c r="AW103" s="193">
        <v>0</v>
      </c>
      <c r="AX103" s="193">
        <v>320000</v>
      </c>
      <c r="AY103" s="193">
        <v>0</v>
      </c>
      <c r="AZ103" s="193">
        <v>0</v>
      </c>
      <c r="BA103" s="193">
        <v>0</v>
      </c>
      <c r="BB103" s="193">
        <v>640000</v>
      </c>
      <c r="BC103" s="193">
        <v>0</v>
      </c>
      <c r="BD103" s="193">
        <v>640000</v>
      </c>
    </row>
    <row r="104" spans="1:56" s="188" customFormat="1">
      <c r="A104" s="189">
        <v>-18</v>
      </c>
      <c r="B104" s="190" t="s">
        <v>892</v>
      </c>
      <c r="C104" s="191">
        <v>340000</v>
      </c>
      <c r="D104" s="192">
        <v>0</v>
      </c>
      <c r="E104" s="192">
        <v>0</v>
      </c>
      <c r="F104" s="192">
        <v>0</v>
      </c>
      <c r="G104" s="192">
        <v>0</v>
      </c>
      <c r="H104" s="192">
        <v>0</v>
      </c>
      <c r="I104" s="192">
        <v>0</v>
      </c>
      <c r="J104" s="192">
        <v>0</v>
      </c>
      <c r="K104" s="192">
        <v>0</v>
      </c>
      <c r="L104" s="192">
        <v>0</v>
      </c>
      <c r="M104" s="192">
        <v>0</v>
      </c>
      <c r="N104" s="192">
        <v>1</v>
      </c>
      <c r="O104" s="192">
        <v>0</v>
      </c>
      <c r="P104" s="192">
        <v>0</v>
      </c>
      <c r="Q104" s="192">
        <v>0</v>
      </c>
      <c r="R104" s="192">
        <v>0</v>
      </c>
      <c r="S104" s="192">
        <v>0</v>
      </c>
      <c r="T104" s="192">
        <v>0</v>
      </c>
      <c r="U104" s="192">
        <v>0</v>
      </c>
      <c r="V104" s="192">
        <v>0</v>
      </c>
      <c r="W104" s="192">
        <v>0</v>
      </c>
      <c r="X104" s="192">
        <v>0</v>
      </c>
      <c r="Y104" s="192">
        <v>0</v>
      </c>
      <c r="Z104" s="192">
        <v>0</v>
      </c>
      <c r="AA104" s="192">
        <v>0</v>
      </c>
      <c r="AB104" s="192">
        <v>1</v>
      </c>
      <c r="AC104" s="192">
        <v>0</v>
      </c>
      <c r="AD104" s="193">
        <v>0</v>
      </c>
      <c r="AE104" s="193">
        <v>0</v>
      </c>
      <c r="AF104" s="193">
        <v>0</v>
      </c>
      <c r="AG104" s="193">
        <v>0</v>
      </c>
      <c r="AH104" s="193">
        <v>0</v>
      </c>
      <c r="AI104" s="193">
        <v>0</v>
      </c>
      <c r="AJ104" s="193">
        <v>0</v>
      </c>
      <c r="AK104" s="193">
        <v>0</v>
      </c>
      <c r="AL104" s="193">
        <v>0</v>
      </c>
      <c r="AM104" s="193">
        <v>0</v>
      </c>
      <c r="AN104" s="193">
        <v>340000</v>
      </c>
      <c r="AO104" s="193">
        <v>0</v>
      </c>
      <c r="AP104" s="193">
        <v>0</v>
      </c>
      <c r="AQ104" s="193">
        <v>0</v>
      </c>
      <c r="AR104" s="193">
        <v>0</v>
      </c>
      <c r="AS104" s="193">
        <v>0</v>
      </c>
      <c r="AT104" s="193">
        <v>0</v>
      </c>
      <c r="AU104" s="193">
        <v>0</v>
      </c>
      <c r="AV104" s="193">
        <v>0</v>
      </c>
      <c r="AW104" s="193">
        <v>0</v>
      </c>
      <c r="AX104" s="193">
        <v>0</v>
      </c>
      <c r="AY104" s="193">
        <v>0</v>
      </c>
      <c r="AZ104" s="193">
        <v>0</v>
      </c>
      <c r="BA104" s="193">
        <v>0</v>
      </c>
      <c r="BB104" s="193">
        <v>340000</v>
      </c>
      <c r="BC104" s="193">
        <v>0</v>
      </c>
      <c r="BD104" s="193">
        <v>340000</v>
      </c>
    </row>
    <row r="105" spans="1:56" s="188" customFormat="1">
      <c r="A105" s="189">
        <v>-19</v>
      </c>
      <c r="B105" s="194" t="s">
        <v>855</v>
      </c>
      <c r="C105" s="191">
        <v>340000</v>
      </c>
      <c r="D105" s="192">
        <v>0</v>
      </c>
      <c r="E105" s="192">
        <v>0</v>
      </c>
      <c r="F105" s="192">
        <v>0</v>
      </c>
      <c r="G105" s="192">
        <v>0</v>
      </c>
      <c r="H105" s="192">
        <v>0</v>
      </c>
      <c r="I105" s="192">
        <v>0</v>
      </c>
      <c r="J105" s="192">
        <v>0</v>
      </c>
      <c r="K105" s="192">
        <v>0</v>
      </c>
      <c r="L105" s="192">
        <v>1</v>
      </c>
      <c r="M105" s="192">
        <v>0</v>
      </c>
      <c r="N105" s="192">
        <v>1</v>
      </c>
      <c r="O105" s="192">
        <v>0</v>
      </c>
      <c r="P105" s="192">
        <v>0</v>
      </c>
      <c r="Q105" s="192">
        <v>0</v>
      </c>
      <c r="R105" s="192">
        <v>0</v>
      </c>
      <c r="S105" s="192">
        <v>0</v>
      </c>
      <c r="T105" s="192">
        <v>1</v>
      </c>
      <c r="U105" s="192">
        <v>0</v>
      </c>
      <c r="V105" s="192">
        <v>0</v>
      </c>
      <c r="W105" s="192">
        <v>0</v>
      </c>
      <c r="X105" s="192">
        <v>0</v>
      </c>
      <c r="Y105" s="192">
        <v>0</v>
      </c>
      <c r="Z105" s="192">
        <v>0</v>
      </c>
      <c r="AA105" s="192">
        <v>0</v>
      </c>
      <c r="AB105" s="192">
        <v>3</v>
      </c>
      <c r="AC105" s="192">
        <v>0</v>
      </c>
      <c r="AD105" s="193">
        <v>0</v>
      </c>
      <c r="AE105" s="193">
        <v>0</v>
      </c>
      <c r="AF105" s="193">
        <v>0</v>
      </c>
      <c r="AG105" s="193">
        <v>0</v>
      </c>
      <c r="AH105" s="193">
        <v>0</v>
      </c>
      <c r="AI105" s="193">
        <v>0</v>
      </c>
      <c r="AJ105" s="193">
        <v>0</v>
      </c>
      <c r="AK105" s="193">
        <v>0</v>
      </c>
      <c r="AL105" s="193">
        <v>340000</v>
      </c>
      <c r="AM105" s="193">
        <v>0</v>
      </c>
      <c r="AN105" s="193">
        <v>340000</v>
      </c>
      <c r="AO105" s="193">
        <v>0</v>
      </c>
      <c r="AP105" s="193">
        <v>0</v>
      </c>
      <c r="AQ105" s="193">
        <v>0</v>
      </c>
      <c r="AR105" s="193">
        <v>0</v>
      </c>
      <c r="AS105" s="193">
        <v>0</v>
      </c>
      <c r="AT105" s="193">
        <v>340000</v>
      </c>
      <c r="AU105" s="193">
        <v>0</v>
      </c>
      <c r="AV105" s="193">
        <v>0</v>
      </c>
      <c r="AW105" s="193">
        <v>0</v>
      </c>
      <c r="AX105" s="193">
        <v>0</v>
      </c>
      <c r="AY105" s="193">
        <v>0</v>
      </c>
      <c r="AZ105" s="193">
        <v>0</v>
      </c>
      <c r="BA105" s="193">
        <v>0</v>
      </c>
      <c r="BB105" s="193">
        <v>1020000</v>
      </c>
      <c r="BC105" s="193">
        <v>0</v>
      </c>
      <c r="BD105" s="193">
        <v>1020000</v>
      </c>
    </row>
    <row r="106" spans="1:56" s="188" customFormat="1">
      <c r="A106" s="189">
        <v>-20</v>
      </c>
      <c r="B106" s="190" t="s">
        <v>858</v>
      </c>
      <c r="C106" s="191">
        <v>400000</v>
      </c>
      <c r="D106" s="192">
        <v>0</v>
      </c>
      <c r="E106" s="192">
        <v>1</v>
      </c>
      <c r="F106" s="192">
        <v>0</v>
      </c>
      <c r="G106" s="192">
        <v>1</v>
      </c>
      <c r="H106" s="192">
        <v>0</v>
      </c>
      <c r="I106" s="192">
        <v>0</v>
      </c>
      <c r="J106" s="192">
        <v>0</v>
      </c>
      <c r="K106" s="192">
        <v>0</v>
      </c>
      <c r="L106" s="192">
        <v>0</v>
      </c>
      <c r="M106" s="192">
        <v>0</v>
      </c>
      <c r="N106" s="192">
        <v>1</v>
      </c>
      <c r="O106" s="192">
        <v>0</v>
      </c>
      <c r="P106" s="192">
        <v>0</v>
      </c>
      <c r="Q106" s="192">
        <v>0</v>
      </c>
      <c r="R106" s="192">
        <v>0</v>
      </c>
      <c r="S106" s="192">
        <v>0</v>
      </c>
      <c r="T106" s="192">
        <v>0</v>
      </c>
      <c r="U106" s="192">
        <v>0</v>
      </c>
      <c r="V106" s="192">
        <v>0</v>
      </c>
      <c r="W106" s="192">
        <v>0</v>
      </c>
      <c r="X106" s="192">
        <v>0</v>
      </c>
      <c r="Y106" s="192">
        <v>0</v>
      </c>
      <c r="Z106" s="192">
        <v>0</v>
      </c>
      <c r="AA106" s="192">
        <v>0</v>
      </c>
      <c r="AB106" s="192">
        <v>1</v>
      </c>
      <c r="AC106" s="192">
        <v>2</v>
      </c>
      <c r="AD106" s="193">
        <v>0</v>
      </c>
      <c r="AE106" s="193">
        <v>400000</v>
      </c>
      <c r="AF106" s="193">
        <v>0</v>
      </c>
      <c r="AG106" s="193">
        <v>400000</v>
      </c>
      <c r="AH106" s="193">
        <v>0</v>
      </c>
      <c r="AI106" s="193">
        <v>0</v>
      </c>
      <c r="AJ106" s="193">
        <v>0</v>
      </c>
      <c r="AK106" s="193">
        <v>0</v>
      </c>
      <c r="AL106" s="193">
        <v>0</v>
      </c>
      <c r="AM106" s="193">
        <v>0</v>
      </c>
      <c r="AN106" s="193">
        <v>400000</v>
      </c>
      <c r="AO106" s="193">
        <v>0</v>
      </c>
      <c r="AP106" s="193">
        <v>0</v>
      </c>
      <c r="AQ106" s="193">
        <v>0</v>
      </c>
      <c r="AR106" s="193">
        <v>0</v>
      </c>
      <c r="AS106" s="193">
        <v>0</v>
      </c>
      <c r="AT106" s="193">
        <v>0</v>
      </c>
      <c r="AU106" s="193">
        <v>0</v>
      </c>
      <c r="AV106" s="193">
        <v>0</v>
      </c>
      <c r="AW106" s="193">
        <v>0</v>
      </c>
      <c r="AX106" s="193">
        <v>0</v>
      </c>
      <c r="AY106" s="193">
        <v>0</v>
      </c>
      <c r="AZ106" s="193">
        <v>0</v>
      </c>
      <c r="BA106" s="193">
        <v>0</v>
      </c>
      <c r="BB106" s="193">
        <v>400000</v>
      </c>
      <c r="BC106" s="193">
        <v>800000</v>
      </c>
      <c r="BD106" s="193">
        <v>1200000</v>
      </c>
    </row>
    <row r="107" spans="1:56" s="188" customFormat="1">
      <c r="A107" s="189">
        <v>-21</v>
      </c>
      <c r="B107" s="231" t="s">
        <v>893</v>
      </c>
      <c r="C107" s="191">
        <v>400000</v>
      </c>
      <c r="D107" s="192">
        <v>0</v>
      </c>
      <c r="E107" s="192">
        <v>0</v>
      </c>
      <c r="F107" s="192">
        <v>0</v>
      </c>
      <c r="G107" s="192">
        <v>0</v>
      </c>
      <c r="H107" s="192">
        <v>0</v>
      </c>
      <c r="I107" s="192">
        <v>0</v>
      </c>
      <c r="J107" s="192">
        <v>0</v>
      </c>
      <c r="K107" s="192">
        <v>0</v>
      </c>
      <c r="L107" s="192">
        <v>1</v>
      </c>
      <c r="M107" s="192">
        <v>0</v>
      </c>
      <c r="N107" s="192">
        <v>3</v>
      </c>
      <c r="O107" s="192">
        <v>1</v>
      </c>
      <c r="P107" s="192">
        <v>0</v>
      </c>
      <c r="Q107" s="192">
        <v>0</v>
      </c>
      <c r="R107" s="192">
        <v>0</v>
      </c>
      <c r="S107" s="192">
        <v>0</v>
      </c>
      <c r="T107" s="192">
        <v>1</v>
      </c>
      <c r="U107" s="192">
        <v>0</v>
      </c>
      <c r="V107" s="192">
        <v>0</v>
      </c>
      <c r="W107" s="192">
        <v>0</v>
      </c>
      <c r="X107" s="192">
        <v>0</v>
      </c>
      <c r="Y107" s="192">
        <v>0</v>
      </c>
      <c r="Z107" s="192">
        <v>1</v>
      </c>
      <c r="AA107" s="192">
        <v>0</v>
      </c>
      <c r="AB107" s="192">
        <v>6</v>
      </c>
      <c r="AC107" s="192">
        <v>1</v>
      </c>
      <c r="AD107" s="193">
        <v>0</v>
      </c>
      <c r="AE107" s="193">
        <v>0</v>
      </c>
      <c r="AF107" s="193">
        <v>0</v>
      </c>
      <c r="AG107" s="193">
        <v>0</v>
      </c>
      <c r="AH107" s="193">
        <v>0</v>
      </c>
      <c r="AI107" s="193">
        <v>0</v>
      </c>
      <c r="AJ107" s="193">
        <v>0</v>
      </c>
      <c r="AK107" s="193">
        <v>0</v>
      </c>
      <c r="AL107" s="193">
        <v>400000</v>
      </c>
      <c r="AM107" s="193">
        <v>0</v>
      </c>
      <c r="AN107" s="193">
        <v>1200000</v>
      </c>
      <c r="AO107" s="193">
        <v>400000</v>
      </c>
      <c r="AP107" s="193">
        <v>0</v>
      </c>
      <c r="AQ107" s="193">
        <v>0</v>
      </c>
      <c r="AR107" s="193">
        <v>0</v>
      </c>
      <c r="AS107" s="193">
        <v>0</v>
      </c>
      <c r="AT107" s="193">
        <v>400000</v>
      </c>
      <c r="AU107" s="193">
        <v>0</v>
      </c>
      <c r="AV107" s="193">
        <v>0</v>
      </c>
      <c r="AW107" s="193">
        <v>0</v>
      </c>
      <c r="AX107" s="193">
        <v>0</v>
      </c>
      <c r="AY107" s="193">
        <v>0</v>
      </c>
      <c r="AZ107" s="193">
        <v>400000</v>
      </c>
      <c r="BA107" s="193">
        <v>0</v>
      </c>
      <c r="BB107" s="193">
        <v>2400000</v>
      </c>
      <c r="BC107" s="193">
        <v>400000</v>
      </c>
      <c r="BD107" s="193">
        <v>2800000</v>
      </c>
    </row>
    <row r="108" spans="1:56" s="188" customFormat="1">
      <c r="A108" s="189">
        <v>-22</v>
      </c>
      <c r="B108" s="201" t="s">
        <v>894</v>
      </c>
      <c r="C108" s="191">
        <v>450000</v>
      </c>
      <c r="D108" s="192">
        <v>0</v>
      </c>
      <c r="E108" s="192">
        <v>0</v>
      </c>
      <c r="F108" s="192">
        <v>0</v>
      </c>
      <c r="G108" s="192">
        <v>0</v>
      </c>
      <c r="H108" s="192">
        <v>0</v>
      </c>
      <c r="I108" s="192">
        <v>0</v>
      </c>
      <c r="J108" s="192">
        <v>0</v>
      </c>
      <c r="K108" s="192">
        <v>0</v>
      </c>
      <c r="L108" s="192">
        <v>0</v>
      </c>
      <c r="M108" s="192">
        <v>0</v>
      </c>
      <c r="N108" s="192">
        <v>0</v>
      </c>
      <c r="O108" s="192">
        <v>0</v>
      </c>
      <c r="P108" s="192">
        <v>0</v>
      </c>
      <c r="Q108" s="192">
        <v>0</v>
      </c>
      <c r="R108" s="192">
        <v>0</v>
      </c>
      <c r="S108" s="192">
        <v>0</v>
      </c>
      <c r="T108" s="192">
        <v>0</v>
      </c>
      <c r="U108" s="192">
        <v>0</v>
      </c>
      <c r="V108" s="192">
        <v>0</v>
      </c>
      <c r="W108" s="192">
        <v>0</v>
      </c>
      <c r="X108" s="192">
        <v>0</v>
      </c>
      <c r="Y108" s="192">
        <v>0</v>
      </c>
      <c r="Z108" s="192">
        <v>0</v>
      </c>
      <c r="AA108" s="192">
        <v>0</v>
      </c>
      <c r="AB108" s="192">
        <v>0</v>
      </c>
      <c r="AC108" s="192">
        <v>0</v>
      </c>
      <c r="AD108" s="193">
        <v>0</v>
      </c>
      <c r="AE108" s="193">
        <v>0</v>
      </c>
      <c r="AF108" s="193">
        <v>0</v>
      </c>
      <c r="AG108" s="193">
        <v>0</v>
      </c>
      <c r="AH108" s="193">
        <v>0</v>
      </c>
      <c r="AI108" s="193">
        <v>0</v>
      </c>
      <c r="AJ108" s="193">
        <v>0</v>
      </c>
      <c r="AK108" s="193">
        <v>0</v>
      </c>
      <c r="AL108" s="193">
        <v>0</v>
      </c>
      <c r="AM108" s="193">
        <v>0</v>
      </c>
      <c r="AN108" s="193">
        <v>0</v>
      </c>
      <c r="AO108" s="193">
        <v>0</v>
      </c>
      <c r="AP108" s="193">
        <v>0</v>
      </c>
      <c r="AQ108" s="193">
        <v>0</v>
      </c>
      <c r="AR108" s="193">
        <v>0</v>
      </c>
      <c r="AS108" s="193">
        <v>0</v>
      </c>
      <c r="AT108" s="193">
        <v>0</v>
      </c>
      <c r="AU108" s="193">
        <v>0</v>
      </c>
      <c r="AV108" s="193">
        <v>0</v>
      </c>
      <c r="AW108" s="193">
        <v>0</v>
      </c>
      <c r="AX108" s="193">
        <v>0</v>
      </c>
      <c r="AY108" s="193">
        <v>0</v>
      </c>
      <c r="AZ108" s="193">
        <v>0</v>
      </c>
      <c r="BA108" s="193">
        <v>0</v>
      </c>
      <c r="BB108" s="193">
        <v>0</v>
      </c>
      <c r="BC108" s="193">
        <v>0</v>
      </c>
      <c r="BD108" s="193">
        <v>0</v>
      </c>
    </row>
    <row r="109" spans="1:56" s="188" customFormat="1">
      <c r="A109" s="189">
        <v>-23</v>
      </c>
      <c r="B109" s="190" t="s">
        <v>895</v>
      </c>
      <c r="C109" s="191">
        <v>450000</v>
      </c>
      <c r="D109" s="192">
        <v>0</v>
      </c>
      <c r="E109" s="192">
        <v>0</v>
      </c>
      <c r="F109" s="192">
        <v>0</v>
      </c>
      <c r="G109" s="192">
        <v>0</v>
      </c>
      <c r="H109" s="192">
        <v>0</v>
      </c>
      <c r="I109" s="192">
        <v>0</v>
      </c>
      <c r="J109" s="192">
        <v>0</v>
      </c>
      <c r="K109" s="192">
        <v>0</v>
      </c>
      <c r="L109" s="192">
        <v>0</v>
      </c>
      <c r="M109" s="192">
        <v>0</v>
      </c>
      <c r="N109" s="192">
        <v>0</v>
      </c>
      <c r="O109" s="192">
        <v>0</v>
      </c>
      <c r="P109" s="192">
        <v>0</v>
      </c>
      <c r="Q109" s="192">
        <v>0</v>
      </c>
      <c r="R109" s="192">
        <v>0</v>
      </c>
      <c r="S109" s="192">
        <v>0</v>
      </c>
      <c r="T109" s="192">
        <v>0</v>
      </c>
      <c r="U109" s="192">
        <v>0</v>
      </c>
      <c r="V109" s="192">
        <v>0</v>
      </c>
      <c r="W109" s="192">
        <v>0</v>
      </c>
      <c r="X109" s="192">
        <v>0</v>
      </c>
      <c r="Y109" s="192">
        <v>0</v>
      </c>
      <c r="Z109" s="192">
        <v>0</v>
      </c>
      <c r="AA109" s="192">
        <v>0</v>
      </c>
      <c r="AB109" s="192">
        <v>0</v>
      </c>
      <c r="AC109" s="192">
        <v>0</v>
      </c>
      <c r="AD109" s="193">
        <v>0</v>
      </c>
      <c r="AE109" s="193">
        <v>0</v>
      </c>
      <c r="AF109" s="193">
        <v>0</v>
      </c>
      <c r="AG109" s="193">
        <v>0</v>
      </c>
      <c r="AH109" s="193">
        <v>0</v>
      </c>
      <c r="AI109" s="193">
        <v>0</v>
      </c>
      <c r="AJ109" s="193">
        <v>0</v>
      </c>
      <c r="AK109" s="193">
        <v>0</v>
      </c>
      <c r="AL109" s="193">
        <v>0</v>
      </c>
      <c r="AM109" s="193">
        <v>0</v>
      </c>
      <c r="AN109" s="193">
        <v>0</v>
      </c>
      <c r="AO109" s="193">
        <v>0</v>
      </c>
      <c r="AP109" s="193">
        <v>0</v>
      </c>
      <c r="AQ109" s="193">
        <v>0</v>
      </c>
      <c r="AR109" s="193">
        <v>0</v>
      </c>
      <c r="AS109" s="193">
        <v>0</v>
      </c>
      <c r="AT109" s="193">
        <v>0</v>
      </c>
      <c r="AU109" s="193">
        <v>0</v>
      </c>
      <c r="AV109" s="193">
        <v>0</v>
      </c>
      <c r="AW109" s="193">
        <v>0</v>
      </c>
      <c r="AX109" s="193">
        <v>0</v>
      </c>
      <c r="AY109" s="193">
        <v>0</v>
      </c>
      <c r="AZ109" s="193">
        <v>0</v>
      </c>
      <c r="BA109" s="193">
        <v>0</v>
      </c>
      <c r="BB109" s="193">
        <v>0</v>
      </c>
      <c r="BC109" s="193">
        <v>0</v>
      </c>
      <c r="BD109" s="193">
        <v>0</v>
      </c>
    </row>
    <row r="110" spans="1:56" s="188" customFormat="1">
      <c r="A110" s="189">
        <v>-24</v>
      </c>
      <c r="B110" s="233" t="s">
        <v>896</v>
      </c>
      <c r="C110" s="191">
        <v>460000</v>
      </c>
      <c r="D110" s="192">
        <v>0</v>
      </c>
      <c r="E110" s="192">
        <v>0</v>
      </c>
      <c r="F110" s="192">
        <v>0</v>
      </c>
      <c r="G110" s="192">
        <v>0</v>
      </c>
      <c r="H110" s="192">
        <v>0</v>
      </c>
      <c r="I110" s="192">
        <v>0</v>
      </c>
      <c r="J110" s="192">
        <v>0</v>
      </c>
      <c r="K110" s="192">
        <v>0</v>
      </c>
      <c r="L110" s="192">
        <v>0</v>
      </c>
      <c r="M110" s="192">
        <v>0</v>
      </c>
      <c r="N110" s="192">
        <v>0</v>
      </c>
      <c r="O110" s="192">
        <v>0</v>
      </c>
      <c r="P110" s="192">
        <v>0</v>
      </c>
      <c r="Q110" s="192">
        <v>0</v>
      </c>
      <c r="R110" s="192">
        <v>0</v>
      </c>
      <c r="S110" s="192">
        <v>0</v>
      </c>
      <c r="T110" s="192">
        <v>0</v>
      </c>
      <c r="U110" s="192">
        <v>0</v>
      </c>
      <c r="V110" s="192">
        <v>0</v>
      </c>
      <c r="W110" s="192">
        <v>0</v>
      </c>
      <c r="X110" s="192">
        <v>0</v>
      </c>
      <c r="Y110" s="192">
        <v>0</v>
      </c>
      <c r="Z110" s="192">
        <v>0</v>
      </c>
      <c r="AA110" s="192">
        <v>0</v>
      </c>
      <c r="AB110" s="192">
        <v>0</v>
      </c>
      <c r="AC110" s="192">
        <v>0</v>
      </c>
      <c r="AD110" s="193">
        <v>0</v>
      </c>
      <c r="AE110" s="193">
        <v>0</v>
      </c>
      <c r="AF110" s="193">
        <v>0</v>
      </c>
      <c r="AG110" s="193">
        <v>0</v>
      </c>
      <c r="AH110" s="193">
        <v>0</v>
      </c>
      <c r="AI110" s="193">
        <v>0</v>
      </c>
      <c r="AJ110" s="193">
        <v>0</v>
      </c>
      <c r="AK110" s="193">
        <v>0</v>
      </c>
      <c r="AL110" s="193">
        <v>0</v>
      </c>
      <c r="AM110" s="193">
        <v>0</v>
      </c>
      <c r="AN110" s="193">
        <v>0</v>
      </c>
      <c r="AO110" s="193">
        <v>0</v>
      </c>
      <c r="AP110" s="193">
        <v>0</v>
      </c>
      <c r="AQ110" s="193">
        <v>0</v>
      </c>
      <c r="AR110" s="193">
        <v>0</v>
      </c>
      <c r="AS110" s="193">
        <v>0</v>
      </c>
      <c r="AT110" s="193">
        <v>0</v>
      </c>
      <c r="AU110" s="193">
        <v>0</v>
      </c>
      <c r="AV110" s="193">
        <v>0</v>
      </c>
      <c r="AW110" s="193">
        <v>0</v>
      </c>
      <c r="AX110" s="193">
        <v>0</v>
      </c>
      <c r="AY110" s="193">
        <v>0</v>
      </c>
      <c r="AZ110" s="193">
        <v>0</v>
      </c>
      <c r="BA110" s="193">
        <v>0</v>
      </c>
      <c r="BB110" s="193">
        <v>0</v>
      </c>
      <c r="BC110" s="193">
        <v>0</v>
      </c>
      <c r="BD110" s="193">
        <v>0</v>
      </c>
    </row>
    <row r="111" spans="1:56" s="188" customFormat="1">
      <c r="A111" s="189">
        <v>-25</v>
      </c>
      <c r="B111" s="233" t="s">
        <v>897</v>
      </c>
      <c r="C111" s="191">
        <v>460000</v>
      </c>
      <c r="D111" s="192">
        <v>0</v>
      </c>
      <c r="E111" s="192">
        <v>0</v>
      </c>
      <c r="F111" s="192">
        <v>0</v>
      </c>
      <c r="G111" s="192">
        <v>0</v>
      </c>
      <c r="H111" s="192">
        <v>0</v>
      </c>
      <c r="I111" s="192">
        <v>0</v>
      </c>
      <c r="J111" s="192">
        <v>0</v>
      </c>
      <c r="K111" s="192">
        <v>0</v>
      </c>
      <c r="L111" s="192">
        <v>0</v>
      </c>
      <c r="M111" s="192">
        <v>0</v>
      </c>
      <c r="N111" s="192">
        <v>0</v>
      </c>
      <c r="O111" s="192">
        <v>0</v>
      </c>
      <c r="P111" s="192">
        <v>0</v>
      </c>
      <c r="Q111" s="192">
        <v>0</v>
      </c>
      <c r="R111" s="192">
        <v>0</v>
      </c>
      <c r="S111" s="192">
        <v>0</v>
      </c>
      <c r="T111" s="192">
        <v>0</v>
      </c>
      <c r="U111" s="192">
        <v>0</v>
      </c>
      <c r="V111" s="192">
        <v>0</v>
      </c>
      <c r="W111" s="192">
        <v>0</v>
      </c>
      <c r="X111" s="192">
        <v>0</v>
      </c>
      <c r="Y111" s="192">
        <v>0</v>
      </c>
      <c r="Z111" s="192">
        <v>0</v>
      </c>
      <c r="AA111" s="192">
        <v>0</v>
      </c>
      <c r="AB111" s="192">
        <v>0</v>
      </c>
      <c r="AC111" s="192">
        <v>0</v>
      </c>
      <c r="AD111" s="193">
        <v>0</v>
      </c>
      <c r="AE111" s="193">
        <v>0</v>
      </c>
      <c r="AF111" s="193">
        <v>0</v>
      </c>
      <c r="AG111" s="193">
        <v>0</v>
      </c>
      <c r="AH111" s="193">
        <v>0</v>
      </c>
      <c r="AI111" s="193">
        <v>0</v>
      </c>
      <c r="AJ111" s="193">
        <v>0</v>
      </c>
      <c r="AK111" s="193">
        <v>0</v>
      </c>
      <c r="AL111" s="193">
        <v>0</v>
      </c>
      <c r="AM111" s="193">
        <v>0</v>
      </c>
      <c r="AN111" s="193">
        <v>0</v>
      </c>
      <c r="AO111" s="193">
        <v>0</v>
      </c>
      <c r="AP111" s="193">
        <v>0</v>
      </c>
      <c r="AQ111" s="193">
        <v>0</v>
      </c>
      <c r="AR111" s="193">
        <v>0</v>
      </c>
      <c r="AS111" s="193">
        <v>0</v>
      </c>
      <c r="AT111" s="193">
        <v>0</v>
      </c>
      <c r="AU111" s="193">
        <v>0</v>
      </c>
      <c r="AV111" s="193">
        <v>0</v>
      </c>
      <c r="AW111" s="193">
        <v>0</v>
      </c>
      <c r="AX111" s="193">
        <v>0</v>
      </c>
      <c r="AY111" s="193">
        <v>0</v>
      </c>
      <c r="AZ111" s="193">
        <v>0</v>
      </c>
      <c r="BA111" s="193">
        <v>0</v>
      </c>
      <c r="BB111" s="193">
        <v>0</v>
      </c>
      <c r="BC111" s="193">
        <v>0</v>
      </c>
      <c r="BD111" s="193">
        <v>0</v>
      </c>
    </row>
    <row r="112" spans="1:56" s="188" customFormat="1">
      <c r="A112" s="189">
        <v>-26</v>
      </c>
      <c r="B112" s="194" t="s">
        <v>898</v>
      </c>
      <c r="C112" s="191">
        <v>460000</v>
      </c>
      <c r="D112" s="192">
        <v>0</v>
      </c>
      <c r="E112" s="192">
        <v>0</v>
      </c>
      <c r="F112" s="192">
        <v>0</v>
      </c>
      <c r="G112" s="192">
        <v>0</v>
      </c>
      <c r="H112" s="192">
        <v>0</v>
      </c>
      <c r="I112" s="192">
        <v>0</v>
      </c>
      <c r="J112" s="192">
        <v>0</v>
      </c>
      <c r="K112" s="192">
        <v>0</v>
      </c>
      <c r="L112" s="192">
        <v>0</v>
      </c>
      <c r="M112" s="192">
        <v>0</v>
      </c>
      <c r="N112" s="192">
        <v>0</v>
      </c>
      <c r="O112" s="192">
        <v>0</v>
      </c>
      <c r="P112" s="192">
        <v>0</v>
      </c>
      <c r="Q112" s="192">
        <v>0</v>
      </c>
      <c r="R112" s="192">
        <v>0</v>
      </c>
      <c r="S112" s="192">
        <v>0</v>
      </c>
      <c r="T112" s="192">
        <v>0</v>
      </c>
      <c r="U112" s="192">
        <v>0</v>
      </c>
      <c r="V112" s="192">
        <v>0</v>
      </c>
      <c r="W112" s="192">
        <v>0</v>
      </c>
      <c r="X112" s="192">
        <v>0</v>
      </c>
      <c r="Y112" s="192">
        <v>0</v>
      </c>
      <c r="Z112" s="192">
        <v>0</v>
      </c>
      <c r="AA112" s="192">
        <v>0</v>
      </c>
      <c r="AB112" s="192">
        <v>0</v>
      </c>
      <c r="AC112" s="192">
        <v>0</v>
      </c>
      <c r="AD112" s="193">
        <v>0</v>
      </c>
      <c r="AE112" s="193">
        <v>0</v>
      </c>
      <c r="AF112" s="193">
        <v>0</v>
      </c>
      <c r="AG112" s="193">
        <v>0</v>
      </c>
      <c r="AH112" s="193">
        <v>0</v>
      </c>
      <c r="AI112" s="193">
        <v>0</v>
      </c>
      <c r="AJ112" s="193">
        <v>0</v>
      </c>
      <c r="AK112" s="193">
        <v>0</v>
      </c>
      <c r="AL112" s="193">
        <v>0</v>
      </c>
      <c r="AM112" s="193">
        <v>0</v>
      </c>
      <c r="AN112" s="193">
        <v>0</v>
      </c>
      <c r="AO112" s="193">
        <v>0</v>
      </c>
      <c r="AP112" s="193">
        <v>0</v>
      </c>
      <c r="AQ112" s="193">
        <v>0</v>
      </c>
      <c r="AR112" s="193">
        <v>0</v>
      </c>
      <c r="AS112" s="193">
        <v>0</v>
      </c>
      <c r="AT112" s="193">
        <v>0</v>
      </c>
      <c r="AU112" s="193">
        <v>0</v>
      </c>
      <c r="AV112" s="193">
        <v>0</v>
      </c>
      <c r="AW112" s="193">
        <v>0</v>
      </c>
      <c r="AX112" s="193">
        <v>0</v>
      </c>
      <c r="AY112" s="193">
        <v>0</v>
      </c>
      <c r="AZ112" s="193">
        <v>0</v>
      </c>
      <c r="BA112" s="193">
        <v>0</v>
      </c>
      <c r="BB112" s="193">
        <v>0</v>
      </c>
      <c r="BC112" s="193">
        <v>0</v>
      </c>
      <c r="BD112" s="193">
        <v>0</v>
      </c>
    </row>
    <row r="113" spans="1:56" s="188" customFormat="1">
      <c r="A113" s="189">
        <v>-27</v>
      </c>
      <c r="B113" s="194" t="s">
        <v>899</v>
      </c>
      <c r="C113" s="191">
        <v>460000</v>
      </c>
      <c r="D113" s="192">
        <v>0</v>
      </c>
      <c r="E113" s="192">
        <v>0</v>
      </c>
      <c r="F113" s="192">
        <v>0</v>
      </c>
      <c r="G113" s="192">
        <v>0</v>
      </c>
      <c r="H113" s="192">
        <v>0</v>
      </c>
      <c r="I113" s="192">
        <v>0</v>
      </c>
      <c r="J113" s="192">
        <v>0</v>
      </c>
      <c r="K113" s="192">
        <v>0</v>
      </c>
      <c r="L113" s="192">
        <v>0</v>
      </c>
      <c r="M113" s="192">
        <v>0</v>
      </c>
      <c r="N113" s="192">
        <v>0</v>
      </c>
      <c r="O113" s="192">
        <v>0</v>
      </c>
      <c r="P113" s="192">
        <v>0</v>
      </c>
      <c r="Q113" s="192">
        <v>0</v>
      </c>
      <c r="R113" s="192">
        <v>0</v>
      </c>
      <c r="S113" s="192">
        <v>0</v>
      </c>
      <c r="T113" s="192">
        <v>0</v>
      </c>
      <c r="U113" s="192">
        <v>0</v>
      </c>
      <c r="V113" s="192">
        <v>0</v>
      </c>
      <c r="W113" s="192">
        <v>0</v>
      </c>
      <c r="X113" s="192">
        <v>0</v>
      </c>
      <c r="Y113" s="192">
        <v>0</v>
      </c>
      <c r="Z113" s="192">
        <v>0</v>
      </c>
      <c r="AA113" s="192">
        <v>0</v>
      </c>
      <c r="AB113" s="192">
        <v>0</v>
      </c>
      <c r="AC113" s="192">
        <v>0</v>
      </c>
      <c r="AD113" s="193">
        <v>0</v>
      </c>
      <c r="AE113" s="193">
        <v>0</v>
      </c>
      <c r="AF113" s="193">
        <v>0</v>
      </c>
      <c r="AG113" s="193">
        <v>0</v>
      </c>
      <c r="AH113" s="193">
        <v>0</v>
      </c>
      <c r="AI113" s="193">
        <v>0</v>
      </c>
      <c r="AJ113" s="193">
        <v>0</v>
      </c>
      <c r="AK113" s="193">
        <v>0</v>
      </c>
      <c r="AL113" s="193">
        <v>0</v>
      </c>
      <c r="AM113" s="193">
        <v>0</v>
      </c>
      <c r="AN113" s="193">
        <v>0</v>
      </c>
      <c r="AO113" s="193">
        <v>0</v>
      </c>
      <c r="AP113" s="193">
        <v>0</v>
      </c>
      <c r="AQ113" s="193">
        <v>0</v>
      </c>
      <c r="AR113" s="193">
        <v>0</v>
      </c>
      <c r="AS113" s="193">
        <v>0</v>
      </c>
      <c r="AT113" s="193">
        <v>0</v>
      </c>
      <c r="AU113" s="193">
        <v>0</v>
      </c>
      <c r="AV113" s="193">
        <v>0</v>
      </c>
      <c r="AW113" s="193">
        <v>0</v>
      </c>
      <c r="AX113" s="193">
        <v>0</v>
      </c>
      <c r="AY113" s="193">
        <v>0</v>
      </c>
      <c r="AZ113" s="193">
        <v>0</v>
      </c>
      <c r="BA113" s="193">
        <v>0</v>
      </c>
      <c r="BB113" s="193">
        <v>0</v>
      </c>
      <c r="BC113" s="193">
        <v>0</v>
      </c>
      <c r="BD113" s="193">
        <v>0</v>
      </c>
    </row>
    <row r="114" spans="1:56" s="188" customFormat="1">
      <c r="A114" s="189">
        <v>-28</v>
      </c>
      <c r="B114" s="194" t="s">
        <v>900</v>
      </c>
      <c r="C114" s="191">
        <v>460000</v>
      </c>
      <c r="D114" s="192">
        <v>0</v>
      </c>
      <c r="E114" s="192">
        <v>0</v>
      </c>
      <c r="F114" s="192">
        <v>0</v>
      </c>
      <c r="G114" s="192">
        <v>0</v>
      </c>
      <c r="H114" s="192">
        <v>0</v>
      </c>
      <c r="I114" s="192">
        <v>0</v>
      </c>
      <c r="J114" s="192">
        <v>0</v>
      </c>
      <c r="K114" s="192">
        <v>0</v>
      </c>
      <c r="L114" s="192">
        <v>0</v>
      </c>
      <c r="M114" s="192">
        <v>0</v>
      </c>
      <c r="N114" s="192">
        <v>0</v>
      </c>
      <c r="O114" s="192">
        <v>0</v>
      </c>
      <c r="P114" s="192">
        <v>0</v>
      </c>
      <c r="Q114" s="192">
        <v>0</v>
      </c>
      <c r="R114" s="192">
        <v>0</v>
      </c>
      <c r="S114" s="192">
        <v>0</v>
      </c>
      <c r="T114" s="192">
        <v>0</v>
      </c>
      <c r="U114" s="192">
        <v>0</v>
      </c>
      <c r="V114" s="192">
        <v>0</v>
      </c>
      <c r="W114" s="192">
        <v>0</v>
      </c>
      <c r="X114" s="192">
        <v>0</v>
      </c>
      <c r="Y114" s="192">
        <v>0</v>
      </c>
      <c r="Z114" s="192">
        <v>0</v>
      </c>
      <c r="AA114" s="192">
        <v>0</v>
      </c>
      <c r="AB114" s="192">
        <v>0</v>
      </c>
      <c r="AC114" s="192">
        <v>0</v>
      </c>
      <c r="AD114" s="193">
        <v>0</v>
      </c>
      <c r="AE114" s="193">
        <v>0</v>
      </c>
      <c r="AF114" s="193">
        <v>0</v>
      </c>
      <c r="AG114" s="193">
        <v>0</v>
      </c>
      <c r="AH114" s="193">
        <v>0</v>
      </c>
      <c r="AI114" s="193">
        <v>0</v>
      </c>
      <c r="AJ114" s="193">
        <v>0</v>
      </c>
      <c r="AK114" s="193">
        <v>0</v>
      </c>
      <c r="AL114" s="193">
        <v>0</v>
      </c>
      <c r="AM114" s="193">
        <v>0</v>
      </c>
      <c r="AN114" s="193">
        <v>0</v>
      </c>
      <c r="AO114" s="193">
        <v>0</v>
      </c>
      <c r="AP114" s="193">
        <v>0</v>
      </c>
      <c r="AQ114" s="193">
        <v>0</v>
      </c>
      <c r="AR114" s="193">
        <v>0</v>
      </c>
      <c r="AS114" s="193">
        <v>0</v>
      </c>
      <c r="AT114" s="193">
        <v>0</v>
      </c>
      <c r="AU114" s="193">
        <v>0</v>
      </c>
      <c r="AV114" s="193">
        <v>0</v>
      </c>
      <c r="AW114" s="193">
        <v>0</v>
      </c>
      <c r="AX114" s="193">
        <v>0</v>
      </c>
      <c r="AY114" s="193">
        <v>0</v>
      </c>
      <c r="AZ114" s="193">
        <v>0</v>
      </c>
      <c r="BA114" s="193">
        <v>0</v>
      </c>
      <c r="BB114" s="193">
        <v>0</v>
      </c>
      <c r="BC114" s="193">
        <v>0</v>
      </c>
      <c r="BD114" s="193">
        <v>0</v>
      </c>
    </row>
    <row r="115" spans="1:56" s="188" customFormat="1">
      <c r="A115" s="189">
        <v>-29</v>
      </c>
      <c r="B115" s="190" t="s">
        <v>901</v>
      </c>
      <c r="C115" s="191">
        <v>800000</v>
      </c>
      <c r="D115" s="192">
        <v>0</v>
      </c>
      <c r="E115" s="192">
        <v>0</v>
      </c>
      <c r="F115" s="192">
        <v>0</v>
      </c>
      <c r="G115" s="192">
        <v>0</v>
      </c>
      <c r="H115" s="192">
        <v>0</v>
      </c>
      <c r="I115" s="192">
        <v>0</v>
      </c>
      <c r="J115" s="192">
        <v>0</v>
      </c>
      <c r="K115" s="192">
        <v>0</v>
      </c>
      <c r="L115" s="192">
        <v>0</v>
      </c>
      <c r="M115" s="192">
        <v>0</v>
      </c>
      <c r="N115" s="192">
        <v>0</v>
      </c>
      <c r="O115" s="192">
        <v>0</v>
      </c>
      <c r="P115" s="192">
        <v>0</v>
      </c>
      <c r="Q115" s="192">
        <v>0</v>
      </c>
      <c r="R115" s="192">
        <v>0</v>
      </c>
      <c r="S115" s="192">
        <v>0</v>
      </c>
      <c r="T115" s="192">
        <v>0</v>
      </c>
      <c r="U115" s="192">
        <v>0</v>
      </c>
      <c r="V115" s="192">
        <v>0</v>
      </c>
      <c r="W115" s="192">
        <v>0</v>
      </c>
      <c r="X115" s="192">
        <v>0</v>
      </c>
      <c r="Y115" s="192">
        <v>0</v>
      </c>
      <c r="Z115" s="192">
        <v>0</v>
      </c>
      <c r="AA115" s="192">
        <v>0</v>
      </c>
      <c r="AB115" s="192">
        <v>0</v>
      </c>
      <c r="AC115" s="192">
        <v>0</v>
      </c>
      <c r="AD115" s="193">
        <v>0</v>
      </c>
      <c r="AE115" s="193">
        <v>0</v>
      </c>
      <c r="AF115" s="193">
        <v>0</v>
      </c>
      <c r="AG115" s="193">
        <v>0</v>
      </c>
      <c r="AH115" s="193">
        <v>0</v>
      </c>
      <c r="AI115" s="193">
        <v>0</v>
      </c>
      <c r="AJ115" s="193">
        <v>0</v>
      </c>
      <c r="AK115" s="193">
        <v>0</v>
      </c>
      <c r="AL115" s="193">
        <v>0</v>
      </c>
      <c r="AM115" s="193">
        <v>0</v>
      </c>
      <c r="AN115" s="193">
        <v>0</v>
      </c>
      <c r="AO115" s="193">
        <v>0</v>
      </c>
      <c r="AP115" s="193">
        <v>0</v>
      </c>
      <c r="AQ115" s="193">
        <v>0</v>
      </c>
      <c r="AR115" s="193">
        <v>0</v>
      </c>
      <c r="AS115" s="193">
        <v>0</v>
      </c>
      <c r="AT115" s="193">
        <v>0</v>
      </c>
      <c r="AU115" s="193">
        <v>0</v>
      </c>
      <c r="AV115" s="193">
        <v>0</v>
      </c>
      <c r="AW115" s="193">
        <v>0</v>
      </c>
      <c r="AX115" s="193">
        <v>0</v>
      </c>
      <c r="AY115" s="193">
        <v>0</v>
      </c>
      <c r="AZ115" s="193">
        <v>0</v>
      </c>
      <c r="BA115" s="193">
        <v>0</v>
      </c>
      <c r="BB115" s="193">
        <v>0</v>
      </c>
      <c r="BC115" s="193">
        <v>0</v>
      </c>
      <c r="BD115" s="193">
        <v>0</v>
      </c>
    </row>
    <row r="116" spans="1:56" s="188" customFormat="1">
      <c r="A116" s="189">
        <v>-30</v>
      </c>
      <c r="B116" s="190" t="s">
        <v>902</v>
      </c>
      <c r="C116" s="191">
        <v>850000</v>
      </c>
      <c r="D116" s="192">
        <v>0</v>
      </c>
      <c r="E116" s="192">
        <v>0</v>
      </c>
      <c r="F116" s="192">
        <v>0</v>
      </c>
      <c r="G116" s="192">
        <v>0</v>
      </c>
      <c r="H116" s="192">
        <v>0</v>
      </c>
      <c r="I116" s="192">
        <v>0</v>
      </c>
      <c r="J116" s="192">
        <v>0</v>
      </c>
      <c r="K116" s="192">
        <v>0</v>
      </c>
      <c r="L116" s="192">
        <v>0</v>
      </c>
      <c r="M116" s="192">
        <v>0</v>
      </c>
      <c r="N116" s="192">
        <v>0</v>
      </c>
      <c r="O116" s="192">
        <v>0</v>
      </c>
      <c r="P116" s="192">
        <v>0</v>
      </c>
      <c r="Q116" s="192">
        <v>0</v>
      </c>
      <c r="R116" s="192">
        <v>0</v>
      </c>
      <c r="S116" s="192">
        <v>0</v>
      </c>
      <c r="T116" s="192">
        <v>0</v>
      </c>
      <c r="U116" s="192">
        <v>0</v>
      </c>
      <c r="V116" s="192">
        <v>0</v>
      </c>
      <c r="W116" s="192">
        <v>0</v>
      </c>
      <c r="X116" s="192">
        <v>0</v>
      </c>
      <c r="Y116" s="192">
        <v>0</v>
      </c>
      <c r="Z116" s="192">
        <v>0</v>
      </c>
      <c r="AA116" s="192">
        <v>0</v>
      </c>
      <c r="AB116" s="192">
        <v>0</v>
      </c>
      <c r="AC116" s="192">
        <v>0</v>
      </c>
      <c r="AD116" s="193">
        <v>0</v>
      </c>
      <c r="AE116" s="193">
        <v>0</v>
      </c>
      <c r="AF116" s="193">
        <v>0</v>
      </c>
      <c r="AG116" s="193">
        <v>0</v>
      </c>
      <c r="AH116" s="193">
        <v>0</v>
      </c>
      <c r="AI116" s="193">
        <v>0</v>
      </c>
      <c r="AJ116" s="193">
        <v>0</v>
      </c>
      <c r="AK116" s="193">
        <v>0</v>
      </c>
      <c r="AL116" s="193">
        <v>0</v>
      </c>
      <c r="AM116" s="193">
        <v>0</v>
      </c>
      <c r="AN116" s="193">
        <v>0</v>
      </c>
      <c r="AO116" s="193">
        <v>0</v>
      </c>
      <c r="AP116" s="193">
        <v>0</v>
      </c>
      <c r="AQ116" s="193">
        <v>0</v>
      </c>
      <c r="AR116" s="193">
        <v>0</v>
      </c>
      <c r="AS116" s="193">
        <v>0</v>
      </c>
      <c r="AT116" s="193">
        <v>0</v>
      </c>
      <c r="AU116" s="193">
        <v>0</v>
      </c>
      <c r="AV116" s="193">
        <v>0</v>
      </c>
      <c r="AW116" s="193">
        <v>0</v>
      </c>
      <c r="AX116" s="193">
        <v>0</v>
      </c>
      <c r="AY116" s="193">
        <v>0</v>
      </c>
      <c r="AZ116" s="193">
        <v>0</v>
      </c>
      <c r="BA116" s="193">
        <v>0</v>
      </c>
      <c r="BB116" s="193">
        <v>0</v>
      </c>
      <c r="BC116" s="193">
        <v>0</v>
      </c>
      <c r="BD116" s="193">
        <v>0</v>
      </c>
    </row>
    <row r="117" spans="1:56" s="188" customFormat="1">
      <c r="A117" s="189">
        <v>-31</v>
      </c>
      <c r="B117" s="216" t="s">
        <v>903</v>
      </c>
      <c r="C117" s="191">
        <v>900000</v>
      </c>
      <c r="D117" s="192">
        <v>0</v>
      </c>
      <c r="E117" s="192">
        <v>0</v>
      </c>
      <c r="F117" s="192">
        <v>0</v>
      </c>
      <c r="G117" s="192">
        <v>0</v>
      </c>
      <c r="H117" s="192">
        <v>0</v>
      </c>
      <c r="I117" s="192">
        <v>0</v>
      </c>
      <c r="J117" s="192">
        <v>0</v>
      </c>
      <c r="K117" s="192">
        <v>0</v>
      </c>
      <c r="L117" s="192">
        <v>1</v>
      </c>
      <c r="M117" s="192">
        <v>0</v>
      </c>
      <c r="N117" s="192">
        <v>1</v>
      </c>
      <c r="O117" s="192">
        <v>0</v>
      </c>
      <c r="P117" s="192">
        <v>0</v>
      </c>
      <c r="Q117" s="192">
        <v>0</v>
      </c>
      <c r="R117" s="192">
        <v>0</v>
      </c>
      <c r="S117" s="192">
        <v>0</v>
      </c>
      <c r="T117" s="192">
        <v>0</v>
      </c>
      <c r="U117" s="192">
        <v>0</v>
      </c>
      <c r="V117" s="192">
        <v>0</v>
      </c>
      <c r="W117" s="192">
        <v>0</v>
      </c>
      <c r="X117" s="192">
        <v>0</v>
      </c>
      <c r="Y117" s="192">
        <v>0</v>
      </c>
      <c r="Z117" s="192">
        <v>0</v>
      </c>
      <c r="AA117" s="192">
        <v>0</v>
      </c>
      <c r="AB117" s="192">
        <v>2</v>
      </c>
      <c r="AC117" s="192">
        <v>0</v>
      </c>
      <c r="AD117" s="193">
        <v>0</v>
      </c>
      <c r="AE117" s="193">
        <v>0</v>
      </c>
      <c r="AF117" s="193">
        <v>0</v>
      </c>
      <c r="AG117" s="193">
        <v>0</v>
      </c>
      <c r="AH117" s="193">
        <v>0</v>
      </c>
      <c r="AI117" s="193">
        <v>0</v>
      </c>
      <c r="AJ117" s="193">
        <v>0</v>
      </c>
      <c r="AK117" s="193">
        <v>0</v>
      </c>
      <c r="AL117" s="193">
        <v>900000</v>
      </c>
      <c r="AM117" s="193">
        <v>0</v>
      </c>
      <c r="AN117" s="193">
        <v>900000</v>
      </c>
      <c r="AO117" s="193">
        <v>0</v>
      </c>
      <c r="AP117" s="193">
        <v>0</v>
      </c>
      <c r="AQ117" s="193">
        <v>0</v>
      </c>
      <c r="AR117" s="193">
        <v>0</v>
      </c>
      <c r="AS117" s="193">
        <v>0</v>
      </c>
      <c r="AT117" s="193">
        <v>0</v>
      </c>
      <c r="AU117" s="193">
        <v>0</v>
      </c>
      <c r="AV117" s="193">
        <v>0</v>
      </c>
      <c r="AW117" s="193">
        <v>0</v>
      </c>
      <c r="AX117" s="193">
        <v>0</v>
      </c>
      <c r="AY117" s="193">
        <v>0</v>
      </c>
      <c r="AZ117" s="193">
        <v>0</v>
      </c>
      <c r="BA117" s="193">
        <v>0</v>
      </c>
      <c r="BB117" s="193">
        <v>1800000</v>
      </c>
      <c r="BC117" s="193">
        <v>0</v>
      </c>
      <c r="BD117" s="193">
        <v>1800000</v>
      </c>
    </row>
    <row r="118" spans="1:56" s="188" customFormat="1">
      <c r="A118" s="189">
        <v>-32</v>
      </c>
      <c r="B118" s="231" t="s">
        <v>904</v>
      </c>
      <c r="C118" s="191">
        <v>1000000</v>
      </c>
      <c r="D118" s="192">
        <v>0</v>
      </c>
      <c r="E118" s="192">
        <v>0</v>
      </c>
      <c r="F118" s="192">
        <v>0</v>
      </c>
      <c r="G118" s="192">
        <v>0</v>
      </c>
      <c r="H118" s="192">
        <v>0</v>
      </c>
      <c r="I118" s="192">
        <v>0</v>
      </c>
      <c r="J118" s="192">
        <v>0</v>
      </c>
      <c r="K118" s="192">
        <v>0</v>
      </c>
      <c r="L118" s="192">
        <v>0</v>
      </c>
      <c r="M118" s="192">
        <v>0</v>
      </c>
      <c r="N118" s="192">
        <v>0</v>
      </c>
      <c r="O118" s="192">
        <v>0</v>
      </c>
      <c r="P118" s="192">
        <v>0</v>
      </c>
      <c r="Q118" s="192">
        <v>0</v>
      </c>
      <c r="R118" s="192">
        <v>0</v>
      </c>
      <c r="S118" s="192">
        <v>0</v>
      </c>
      <c r="T118" s="192">
        <v>0</v>
      </c>
      <c r="U118" s="192">
        <v>0</v>
      </c>
      <c r="V118" s="192">
        <v>0</v>
      </c>
      <c r="W118" s="192">
        <v>0</v>
      </c>
      <c r="X118" s="192">
        <v>0</v>
      </c>
      <c r="Y118" s="192">
        <v>0</v>
      </c>
      <c r="Z118" s="192">
        <v>0</v>
      </c>
      <c r="AA118" s="192">
        <v>0</v>
      </c>
      <c r="AB118" s="192">
        <v>0</v>
      </c>
      <c r="AC118" s="192">
        <v>0</v>
      </c>
      <c r="AD118" s="193">
        <v>0</v>
      </c>
      <c r="AE118" s="193">
        <v>0</v>
      </c>
      <c r="AF118" s="193">
        <v>0</v>
      </c>
      <c r="AG118" s="193">
        <v>0</v>
      </c>
      <c r="AH118" s="193">
        <v>0</v>
      </c>
      <c r="AI118" s="193">
        <v>0</v>
      </c>
      <c r="AJ118" s="193">
        <v>0</v>
      </c>
      <c r="AK118" s="193">
        <v>0</v>
      </c>
      <c r="AL118" s="193">
        <v>0</v>
      </c>
      <c r="AM118" s="193">
        <v>0</v>
      </c>
      <c r="AN118" s="193">
        <v>0</v>
      </c>
      <c r="AO118" s="193">
        <v>0</v>
      </c>
      <c r="AP118" s="193">
        <v>0</v>
      </c>
      <c r="AQ118" s="193">
        <v>0</v>
      </c>
      <c r="AR118" s="193">
        <v>0</v>
      </c>
      <c r="AS118" s="193">
        <v>0</v>
      </c>
      <c r="AT118" s="193">
        <v>0</v>
      </c>
      <c r="AU118" s="193">
        <v>0</v>
      </c>
      <c r="AV118" s="193">
        <v>0</v>
      </c>
      <c r="AW118" s="193">
        <v>0</v>
      </c>
      <c r="AX118" s="193">
        <v>0</v>
      </c>
      <c r="AY118" s="193">
        <v>0</v>
      </c>
      <c r="AZ118" s="193">
        <v>0</v>
      </c>
      <c r="BA118" s="193">
        <v>0</v>
      </c>
      <c r="BB118" s="193">
        <v>0</v>
      </c>
      <c r="BC118" s="193">
        <v>0</v>
      </c>
      <c r="BD118" s="193">
        <v>0</v>
      </c>
    </row>
    <row r="119" spans="1:56" s="188" customFormat="1">
      <c r="A119" s="189">
        <v>-33</v>
      </c>
      <c r="B119" s="194" t="s">
        <v>867</v>
      </c>
      <c r="C119" s="191">
        <v>1100000</v>
      </c>
      <c r="D119" s="192">
        <v>0</v>
      </c>
      <c r="E119" s="192">
        <v>0</v>
      </c>
      <c r="F119" s="192">
        <v>0</v>
      </c>
      <c r="G119" s="192">
        <v>0</v>
      </c>
      <c r="H119" s="192">
        <v>0</v>
      </c>
      <c r="I119" s="192">
        <v>0</v>
      </c>
      <c r="J119" s="192">
        <v>0</v>
      </c>
      <c r="K119" s="192">
        <v>0</v>
      </c>
      <c r="L119" s="192">
        <v>1</v>
      </c>
      <c r="M119" s="192">
        <v>0</v>
      </c>
      <c r="N119" s="192">
        <v>0</v>
      </c>
      <c r="O119" s="192">
        <v>0</v>
      </c>
      <c r="P119" s="192">
        <v>0</v>
      </c>
      <c r="Q119" s="192">
        <v>0</v>
      </c>
      <c r="R119" s="192">
        <v>0</v>
      </c>
      <c r="S119" s="192">
        <v>0</v>
      </c>
      <c r="T119" s="192">
        <v>0</v>
      </c>
      <c r="U119" s="192">
        <v>0</v>
      </c>
      <c r="V119" s="192">
        <v>0</v>
      </c>
      <c r="W119" s="192">
        <v>0</v>
      </c>
      <c r="X119" s="192">
        <v>0</v>
      </c>
      <c r="Y119" s="192">
        <v>0</v>
      </c>
      <c r="Z119" s="192">
        <v>0</v>
      </c>
      <c r="AA119" s="192">
        <v>0</v>
      </c>
      <c r="AB119" s="192">
        <v>1</v>
      </c>
      <c r="AC119" s="192">
        <v>0</v>
      </c>
      <c r="AD119" s="193">
        <v>0</v>
      </c>
      <c r="AE119" s="193">
        <v>0</v>
      </c>
      <c r="AF119" s="193">
        <v>0</v>
      </c>
      <c r="AG119" s="193">
        <v>0</v>
      </c>
      <c r="AH119" s="193">
        <v>0</v>
      </c>
      <c r="AI119" s="193">
        <v>0</v>
      </c>
      <c r="AJ119" s="193">
        <v>0</v>
      </c>
      <c r="AK119" s="193">
        <v>0</v>
      </c>
      <c r="AL119" s="193">
        <v>1100000</v>
      </c>
      <c r="AM119" s="193">
        <v>0</v>
      </c>
      <c r="AN119" s="193">
        <v>0</v>
      </c>
      <c r="AO119" s="193">
        <v>0</v>
      </c>
      <c r="AP119" s="193">
        <v>0</v>
      </c>
      <c r="AQ119" s="193">
        <v>0</v>
      </c>
      <c r="AR119" s="193">
        <v>0</v>
      </c>
      <c r="AS119" s="193">
        <v>0</v>
      </c>
      <c r="AT119" s="193">
        <v>0</v>
      </c>
      <c r="AU119" s="193">
        <v>0</v>
      </c>
      <c r="AV119" s="193">
        <v>0</v>
      </c>
      <c r="AW119" s="193">
        <v>0</v>
      </c>
      <c r="AX119" s="193">
        <v>0</v>
      </c>
      <c r="AY119" s="193">
        <v>0</v>
      </c>
      <c r="AZ119" s="193">
        <v>0</v>
      </c>
      <c r="BA119" s="193">
        <v>0</v>
      </c>
      <c r="BB119" s="193">
        <v>1100000</v>
      </c>
      <c r="BC119" s="193">
        <v>0</v>
      </c>
      <c r="BD119" s="193">
        <v>1100000</v>
      </c>
    </row>
    <row r="120" spans="1:56" s="188" customFormat="1">
      <c r="A120" s="189">
        <v>-34</v>
      </c>
      <c r="B120" s="190" t="s">
        <v>905</v>
      </c>
      <c r="C120" s="191">
        <v>1350000</v>
      </c>
      <c r="D120" s="192">
        <v>0</v>
      </c>
      <c r="E120" s="192">
        <v>0</v>
      </c>
      <c r="F120" s="192">
        <v>0</v>
      </c>
      <c r="G120" s="192">
        <v>0</v>
      </c>
      <c r="H120" s="192">
        <v>0</v>
      </c>
      <c r="I120" s="192">
        <v>0</v>
      </c>
      <c r="J120" s="192">
        <v>0</v>
      </c>
      <c r="K120" s="192">
        <v>0</v>
      </c>
      <c r="L120" s="192">
        <v>0</v>
      </c>
      <c r="M120" s="192">
        <v>0</v>
      </c>
      <c r="N120" s="192">
        <v>0</v>
      </c>
      <c r="O120" s="192">
        <v>0</v>
      </c>
      <c r="P120" s="192">
        <v>0</v>
      </c>
      <c r="Q120" s="192">
        <v>0</v>
      </c>
      <c r="R120" s="192">
        <v>0</v>
      </c>
      <c r="S120" s="192">
        <v>0</v>
      </c>
      <c r="T120" s="192">
        <v>0</v>
      </c>
      <c r="U120" s="192">
        <v>0</v>
      </c>
      <c r="V120" s="192">
        <v>0</v>
      </c>
      <c r="W120" s="192">
        <v>0</v>
      </c>
      <c r="X120" s="192">
        <v>0</v>
      </c>
      <c r="Y120" s="192">
        <v>0</v>
      </c>
      <c r="Z120" s="192">
        <v>1</v>
      </c>
      <c r="AA120" s="192">
        <v>0</v>
      </c>
      <c r="AB120" s="192">
        <v>1</v>
      </c>
      <c r="AC120" s="192">
        <v>0</v>
      </c>
      <c r="AD120" s="193">
        <v>0</v>
      </c>
      <c r="AE120" s="193">
        <v>0</v>
      </c>
      <c r="AF120" s="193">
        <v>0</v>
      </c>
      <c r="AG120" s="193">
        <v>0</v>
      </c>
      <c r="AH120" s="193">
        <v>0</v>
      </c>
      <c r="AI120" s="193">
        <v>0</v>
      </c>
      <c r="AJ120" s="193">
        <v>0</v>
      </c>
      <c r="AK120" s="193">
        <v>0</v>
      </c>
      <c r="AL120" s="193">
        <v>0</v>
      </c>
      <c r="AM120" s="193">
        <v>0</v>
      </c>
      <c r="AN120" s="193">
        <v>0</v>
      </c>
      <c r="AO120" s="193">
        <v>0</v>
      </c>
      <c r="AP120" s="193">
        <v>0</v>
      </c>
      <c r="AQ120" s="193">
        <v>0</v>
      </c>
      <c r="AR120" s="193">
        <v>0</v>
      </c>
      <c r="AS120" s="193">
        <v>0</v>
      </c>
      <c r="AT120" s="193">
        <v>0</v>
      </c>
      <c r="AU120" s="193">
        <v>0</v>
      </c>
      <c r="AV120" s="193">
        <v>0</v>
      </c>
      <c r="AW120" s="193">
        <v>0</v>
      </c>
      <c r="AX120" s="193">
        <v>0</v>
      </c>
      <c r="AY120" s="193">
        <v>0</v>
      </c>
      <c r="AZ120" s="193">
        <v>1350000</v>
      </c>
      <c r="BA120" s="193">
        <v>0</v>
      </c>
      <c r="BB120" s="193">
        <v>1350000</v>
      </c>
      <c r="BC120" s="193">
        <v>0</v>
      </c>
      <c r="BD120" s="193">
        <v>1350000</v>
      </c>
    </row>
    <row r="121" spans="1:56" s="188" customFormat="1">
      <c r="A121" s="189">
        <v>-35</v>
      </c>
      <c r="B121" s="231" t="s">
        <v>906</v>
      </c>
      <c r="C121" s="191">
        <v>1560000</v>
      </c>
      <c r="D121" s="192">
        <v>0</v>
      </c>
      <c r="E121" s="192">
        <v>0</v>
      </c>
      <c r="F121" s="192">
        <v>0</v>
      </c>
      <c r="G121" s="192">
        <v>0</v>
      </c>
      <c r="H121" s="192">
        <v>0</v>
      </c>
      <c r="I121" s="192">
        <v>0</v>
      </c>
      <c r="J121" s="192">
        <v>0</v>
      </c>
      <c r="K121" s="192">
        <v>0</v>
      </c>
      <c r="L121" s="192">
        <v>0</v>
      </c>
      <c r="M121" s="192">
        <v>0</v>
      </c>
      <c r="N121" s="192">
        <v>0</v>
      </c>
      <c r="O121" s="192">
        <v>1</v>
      </c>
      <c r="P121" s="192">
        <v>0</v>
      </c>
      <c r="Q121" s="192">
        <v>0</v>
      </c>
      <c r="R121" s="192">
        <v>0</v>
      </c>
      <c r="S121" s="192">
        <v>0</v>
      </c>
      <c r="T121" s="192">
        <v>1</v>
      </c>
      <c r="U121" s="192">
        <v>0</v>
      </c>
      <c r="V121" s="192">
        <v>0</v>
      </c>
      <c r="W121" s="192">
        <v>0</v>
      </c>
      <c r="X121" s="192">
        <v>0</v>
      </c>
      <c r="Y121" s="192">
        <v>0</v>
      </c>
      <c r="Z121" s="192">
        <v>0</v>
      </c>
      <c r="AA121" s="192">
        <v>0</v>
      </c>
      <c r="AB121" s="192">
        <v>1</v>
      </c>
      <c r="AC121" s="192">
        <v>1</v>
      </c>
      <c r="AD121" s="193">
        <v>0</v>
      </c>
      <c r="AE121" s="193">
        <v>0</v>
      </c>
      <c r="AF121" s="193">
        <v>0</v>
      </c>
      <c r="AG121" s="193">
        <v>0</v>
      </c>
      <c r="AH121" s="193">
        <v>0</v>
      </c>
      <c r="AI121" s="193">
        <v>0</v>
      </c>
      <c r="AJ121" s="193">
        <v>0</v>
      </c>
      <c r="AK121" s="193">
        <v>0</v>
      </c>
      <c r="AL121" s="193">
        <v>0</v>
      </c>
      <c r="AM121" s="193">
        <v>0</v>
      </c>
      <c r="AN121" s="193">
        <v>0</v>
      </c>
      <c r="AO121" s="193">
        <v>1560000</v>
      </c>
      <c r="AP121" s="193">
        <v>0</v>
      </c>
      <c r="AQ121" s="193">
        <v>0</v>
      </c>
      <c r="AR121" s="193">
        <v>0</v>
      </c>
      <c r="AS121" s="193">
        <v>0</v>
      </c>
      <c r="AT121" s="193">
        <v>1560000</v>
      </c>
      <c r="AU121" s="193">
        <v>0</v>
      </c>
      <c r="AV121" s="193">
        <v>0</v>
      </c>
      <c r="AW121" s="193">
        <v>0</v>
      </c>
      <c r="AX121" s="193">
        <v>0</v>
      </c>
      <c r="AY121" s="193">
        <v>0</v>
      </c>
      <c r="AZ121" s="193">
        <v>0</v>
      </c>
      <c r="BA121" s="193">
        <v>0</v>
      </c>
      <c r="BB121" s="193">
        <v>1560000</v>
      </c>
      <c r="BC121" s="193">
        <v>1560000</v>
      </c>
      <c r="BD121" s="193">
        <v>3120000</v>
      </c>
    </row>
    <row r="122" spans="1:56" s="188" customFormat="1">
      <c r="A122" s="189">
        <v>-36</v>
      </c>
      <c r="B122" s="216" t="s">
        <v>907</v>
      </c>
      <c r="C122" s="191">
        <v>1600000</v>
      </c>
      <c r="D122" s="192">
        <v>1</v>
      </c>
      <c r="E122" s="192">
        <v>0</v>
      </c>
      <c r="F122" s="192">
        <v>1</v>
      </c>
      <c r="G122" s="192">
        <v>0</v>
      </c>
      <c r="H122" s="192">
        <v>1</v>
      </c>
      <c r="I122" s="192">
        <v>0</v>
      </c>
      <c r="J122" s="192">
        <v>1</v>
      </c>
      <c r="K122" s="192">
        <v>0</v>
      </c>
      <c r="L122" s="192">
        <v>1</v>
      </c>
      <c r="M122" s="192">
        <v>0</v>
      </c>
      <c r="N122" s="192">
        <v>1</v>
      </c>
      <c r="O122" s="192">
        <v>0</v>
      </c>
      <c r="P122" s="192">
        <v>1</v>
      </c>
      <c r="Q122" s="192">
        <v>0</v>
      </c>
      <c r="R122" s="192">
        <v>1</v>
      </c>
      <c r="S122" s="192">
        <v>0</v>
      </c>
      <c r="T122" s="192">
        <v>1</v>
      </c>
      <c r="U122" s="192">
        <v>0</v>
      </c>
      <c r="V122" s="192">
        <v>1</v>
      </c>
      <c r="W122" s="192">
        <v>0</v>
      </c>
      <c r="X122" s="192">
        <v>1</v>
      </c>
      <c r="Y122" s="192">
        <v>0</v>
      </c>
      <c r="Z122" s="192">
        <v>1</v>
      </c>
      <c r="AA122" s="192">
        <v>0</v>
      </c>
      <c r="AB122" s="192">
        <v>12</v>
      </c>
      <c r="AC122" s="192">
        <v>0</v>
      </c>
      <c r="AD122" s="193">
        <v>1600000</v>
      </c>
      <c r="AE122" s="193">
        <v>0</v>
      </c>
      <c r="AF122" s="193">
        <v>1600000</v>
      </c>
      <c r="AG122" s="193">
        <v>0</v>
      </c>
      <c r="AH122" s="193">
        <v>1600000</v>
      </c>
      <c r="AI122" s="193">
        <v>0</v>
      </c>
      <c r="AJ122" s="193">
        <v>1600000</v>
      </c>
      <c r="AK122" s="193">
        <v>0</v>
      </c>
      <c r="AL122" s="193">
        <v>1600000</v>
      </c>
      <c r="AM122" s="193">
        <v>0</v>
      </c>
      <c r="AN122" s="193">
        <v>1600000</v>
      </c>
      <c r="AO122" s="193">
        <v>0</v>
      </c>
      <c r="AP122" s="193">
        <v>1600000</v>
      </c>
      <c r="AQ122" s="193">
        <v>0</v>
      </c>
      <c r="AR122" s="193">
        <v>1600000</v>
      </c>
      <c r="AS122" s="193">
        <v>0</v>
      </c>
      <c r="AT122" s="193">
        <v>1600000</v>
      </c>
      <c r="AU122" s="193">
        <v>0</v>
      </c>
      <c r="AV122" s="193">
        <v>1600000</v>
      </c>
      <c r="AW122" s="193">
        <v>0</v>
      </c>
      <c r="AX122" s="193">
        <v>1600000</v>
      </c>
      <c r="AY122" s="193">
        <v>0</v>
      </c>
      <c r="AZ122" s="193">
        <v>1600000</v>
      </c>
      <c r="BA122" s="193">
        <v>0</v>
      </c>
      <c r="BB122" s="193">
        <v>19200000</v>
      </c>
      <c r="BC122" s="193">
        <v>0</v>
      </c>
      <c r="BD122" s="193">
        <v>19200000</v>
      </c>
    </row>
    <row r="123" spans="1:56" s="188" customFormat="1" ht="18.75">
      <c r="A123" s="189">
        <v>-37</v>
      </c>
      <c r="B123" s="204" t="s">
        <v>938</v>
      </c>
      <c r="C123" s="191">
        <v>2000000</v>
      </c>
      <c r="D123" s="192">
        <v>0</v>
      </c>
      <c r="E123" s="192">
        <v>0</v>
      </c>
      <c r="F123" s="192">
        <v>0</v>
      </c>
      <c r="G123" s="192">
        <v>0</v>
      </c>
      <c r="H123" s="192">
        <v>0</v>
      </c>
      <c r="I123" s="192">
        <v>0</v>
      </c>
      <c r="J123" s="192">
        <v>0</v>
      </c>
      <c r="K123" s="192">
        <v>0</v>
      </c>
      <c r="L123" s="192">
        <v>1</v>
      </c>
      <c r="M123" s="192">
        <v>0</v>
      </c>
      <c r="N123" s="192">
        <v>0</v>
      </c>
      <c r="O123" s="192">
        <v>1</v>
      </c>
      <c r="P123" s="192">
        <v>0</v>
      </c>
      <c r="Q123" s="192">
        <v>0</v>
      </c>
      <c r="R123" s="192">
        <v>0</v>
      </c>
      <c r="S123" s="192">
        <v>0</v>
      </c>
      <c r="T123" s="192">
        <v>0</v>
      </c>
      <c r="U123" s="192">
        <v>0</v>
      </c>
      <c r="V123" s="192">
        <v>0</v>
      </c>
      <c r="W123" s="192">
        <v>0</v>
      </c>
      <c r="X123" s="192">
        <v>0</v>
      </c>
      <c r="Y123" s="192">
        <v>0</v>
      </c>
      <c r="Z123" s="192">
        <v>0</v>
      </c>
      <c r="AA123" s="192">
        <v>0</v>
      </c>
      <c r="AB123" s="192">
        <v>1</v>
      </c>
      <c r="AC123" s="192">
        <v>1</v>
      </c>
      <c r="AD123" s="193">
        <v>0</v>
      </c>
      <c r="AE123" s="193">
        <v>0</v>
      </c>
      <c r="AF123" s="193">
        <v>0</v>
      </c>
      <c r="AG123" s="193">
        <v>0</v>
      </c>
      <c r="AH123" s="193">
        <v>0</v>
      </c>
      <c r="AI123" s="193">
        <v>0</v>
      </c>
      <c r="AJ123" s="193">
        <v>0</v>
      </c>
      <c r="AK123" s="193">
        <v>0</v>
      </c>
      <c r="AL123" s="193">
        <v>2000000</v>
      </c>
      <c r="AM123" s="193">
        <v>0</v>
      </c>
      <c r="AN123" s="193">
        <v>0</v>
      </c>
      <c r="AO123" s="193">
        <v>2000000</v>
      </c>
      <c r="AP123" s="193">
        <v>0</v>
      </c>
      <c r="AQ123" s="193">
        <v>0</v>
      </c>
      <c r="AR123" s="193">
        <v>0</v>
      </c>
      <c r="AS123" s="193">
        <v>0</v>
      </c>
      <c r="AT123" s="193">
        <v>0</v>
      </c>
      <c r="AU123" s="193">
        <v>0</v>
      </c>
      <c r="AV123" s="193">
        <v>0</v>
      </c>
      <c r="AW123" s="193">
        <v>0</v>
      </c>
      <c r="AX123" s="193">
        <v>0</v>
      </c>
      <c r="AY123" s="193">
        <v>0</v>
      </c>
      <c r="AZ123" s="193">
        <v>0</v>
      </c>
      <c r="BA123" s="193">
        <v>0</v>
      </c>
      <c r="BB123" s="193">
        <v>2000000</v>
      </c>
      <c r="BC123" s="193">
        <v>2000000</v>
      </c>
      <c r="BD123" s="193">
        <v>4000000</v>
      </c>
    </row>
    <row r="124" spans="1:56" s="188" customFormat="1">
      <c r="A124" s="189">
        <v>-38</v>
      </c>
      <c r="B124" s="231" t="s">
        <v>908</v>
      </c>
      <c r="C124" s="191">
        <v>2000000</v>
      </c>
      <c r="D124" s="192">
        <v>0</v>
      </c>
      <c r="E124" s="192">
        <v>0</v>
      </c>
      <c r="F124" s="192">
        <v>0</v>
      </c>
      <c r="G124" s="192">
        <v>0</v>
      </c>
      <c r="H124" s="192">
        <v>0</v>
      </c>
      <c r="I124" s="192">
        <v>0</v>
      </c>
      <c r="J124" s="192">
        <v>0</v>
      </c>
      <c r="K124" s="192">
        <v>0</v>
      </c>
      <c r="L124" s="192">
        <v>0</v>
      </c>
      <c r="M124" s="192">
        <v>0</v>
      </c>
      <c r="N124" s="192">
        <v>0</v>
      </c>
      <c r="O124" s="192">
        <v>0</v>
      </c>
      <c r="P124" s="192">
        <v>0</v>
      </c>
      <c r="Q124" s="192">
        <v>0</v>
      </c>
      <c r="R124" s="192">
        <v>0</v>
      </c>
      <c r="S124" s="192">
        <v>0</v>
      </c>
      <c r="T124" s="192">
        <v>0</v>
      </c>
      <c r="U124" s="192">
        <v>0</v>
      </c>
      <c r="V124" s="192">
        <v>0</v>
      </c>
      <c r="W124" s="192">
        <v>0</v>
      </c>
      <c r="X124" s="192">
        <v>0</v>
      </c>
      <c r="Y124" s="192">
        <v>0</v>
      </c>
      <c r="Z124" s="192">
        <v>0</v>
      </c>
      <c r="AA124" s="192">
        <v>0</v>
      </c>
      <c r="AB124" s="192">
        <v>0</v>
      </c>
      <c r="AC124" s="192">
        <v>0</v>
      </c>
      <c r="AD124" s="193">
        <v>0</v>
      </c>
      <c r="AE124" s="193">
        <v>0</v>
      </c>
      <c r="AF124" s="193">
        <v>0</v>
      </c>
      <c r="AG124" s="193">
        <v>0</v>
      </c>
      <c r="AH124" s="193">
        <v>0</v>
      </c>
      <c r="AI124" s="193">
        <v>0</v>
      </c>
      <c r="AJ124" s="193">
        <v>0</v>
      </c>
      <c r="AK124" s="193">
        <v>0</v>
      </c>
      <c r="AL124" s="193">
        <v>0</v>
      </c>
      <c r="AM124" s="193">
        <v>0</v>
      </c>
      <c r="AN124" s="193">
        <v>0</v>
      </c>
      <c r="AO124" s="193">
        <v>0</v>
      </c>
      <c r="AP124" s="193">
        <v>0</v>
      </c>
      <c r="AQ124" s="193">
        <v>0</v>
      </c>
      <c r="AR124" s="193">
        <v>0</v>
      </c>
      <c r="AS124" s="193">
        <v>0</v>
      </c>
      <c r="AT124" s="193">
        <v>0</v>
      </c>
      <c r="AU124" s="193">
        <v>0</v>
      </c>
      <c r="AV124" s="193">
        <v>0</v>
      </c>
      <c r="AW124" s="193">
        <v>0</v>
      </c>
      <c r="AX124" s="193">
        <v>0</v>
      </c>
      <c r="AY124" s="193">
        <v>0</v>
      </c>
      <c r="AZ124" s="193">
        <v>0</v>
      </c>
      <c r="BA124" s="193">
        <v>0</v>
      </c>
      <c r="BB124" s="193">
        <v>0</v>
      </c>
      <c r="BC124" s="193">
        <v>0</v>
      </c>
      <c r="BD124" s="193">
        <v>0</v>
      </c>
    </row>
    <row r="125" spans="1:56" s="188" customFormat="1">
      <c r="A125" s="189">
        <v>-39</v>
      </c>
      <c r="B125" s="204" t="s">
        <v>873</v>
      </c>
      <c r="C125" s="191">
        <v>2250000</v>
      </c>
      <c r="D125" s="192">
        <v>0</v>
      </c>
      <c r="E125" s="192">
        <v>0</v>
      </c>
      <c r="F125" s="192">
        <v>0</v>
      </c>
      <c r="G125" s="192">
        <v>0</v>
      </c>
      <c r="H125" s="192">
        <v>0</v>
      </c>
      <c r="I125" s="192">
        <v>0</v>
      </c>
      <c r="J125" s="192">
        <v>0</v>
      </c>
      <c r="K125" s="192">
        <v>0</v>
      </c>
      <c r="L125" s="192">
        <v>1</v>
      </c>
      <c r="M125" s="192">
        <v>0</v>
      </c>
      <c r="N125" s="192">
        <v>0</v>
      </c>
      <c r="O125" s="192">
        <v>0</v>
      </c>
      <c r="P125" s="192">
        <v>0</v>
      </c>
      <c r="Q125" s="192">
        <v>0</v>
      </c>
      <c r="R125" s="192">
        <v>0</v>
      </c>
      <c r="S125" s="192">
        <v>0</v>
      </c>
      <c r="T125" s="192">
        <v>0</v>
      </c>
      <c r="U125" s="192">
        <v>0</v>
      </c>
      <c r="V125" s="192">
        <v>0</v>
      </c>
      <c r="W125" s="192">
        <v>0</v>
      </c>
      <c r="X125" s="192">
        <v>0</v>
      </c>
      <c r="Y125" s="192">
        <v>0</v>
      </c>
      <c r="Z125" s="192">
        <v>0</v>
      </c>
      <c r="AA125" s="192">
        <v>0</v>
      </c>
      <c r="AB125" s="192">
        <v>1</v>
      </c>
      <c r="AC125" s="192">
        <v>0</v>
      </c>
      <c r="AD125" s="193">
        <v>0</v>
      </c>
      <c r="AE125" s="193">
        <v>0</v>
      </c>
      <c r="AF125" s="193">
        <v>0</v>
      </c>
      <c r="AG125" s="193">
        <v>0</v>
      </c>
      <c r="AH125" s="193">
        <v>0</v>
      </c>
      <c r="AI125" s="193">
        <v>0</v>
      </c>
      <c r="AJ125" s="193">
        <v>0</v>
      </c>
      <c r="AK125" s="193">
        <v>0</v>
      </c>
      <c r="AL125" s="193">
        <v>2250000</v>
      </c>
      <c r="AM125" s="193">
        <v>0</v>
      </c>
      <c r="AN125" s="193">
        <v>0</v>
      </c>
      <c r="AO125" s="193">
        <v>0</v>
      </c>
      <c r="AP125" s="193">
        <v>0</v>
      </c>
      <c r="AQ125" s="193">
        <v>0</v>
      </c>
      <c r="AR125" s="193">
        <v>0</v>
      </c>
      <c r="AS125" s="193">
        <v>0</v>
      </c>
      <c r="AT125" s="193">
        <v>0</v>
      </c>
      <c r="AU125" s="193">
        <v>0</v>
      </c>
      <c r="AV125" s="193">
        <v>0</v>
      </c>
      <c r="AW125" s="193">
        <v>0</v>
      </c>
      <c r="AX125" s="193">
        <v>0</v>
      </c>
      <c r="AY125" s="193">
        <v>0</v>
      </c>
      <c r="AZ125" s="193">
        <v>0</v>
      </c>
      <c r="BA125" s="193">
        <v>0</v>
      </c>
      <c r="BB125" s="193">
        <v>2250000</v>
      </c>
      <c r="BC125" s="193">
        <v>0</v>
      </c>
      <c r="BD125" s="193">
        <v>2250000</v>
      </c>
    </row>
    <row r="126" spans="1:56" s="188" customFormat="1">
      <c r="A126" s="189">
        <v>-40</v>
      </c>
      <c r="B126" s="201" t="s">
        <v>909</v>
      </c>
      <c r="C126" s="191">
        <v>2700000</v>
      </c>
      <c r="D126" s="192">
        <v>0</v>
      </c>
      <c r="E126" s="192">
        <v>0</v>
      </c>
      <c r="F126" s="192">
        <v>0</v>
      </c>
      <c r="G126" s="192">
        <v>0</v>
      </c>
      <c r="H126" s="192">
        <v>0</v>
      </c>
      <c r="I126" s="192">
        <v>0</v>
      </c>
      <c r="J126" s="192">
        <v>0</v>
      </c>
      <c r="K126" s="192">
        <v>0</v>
      </c>
      <c r="L126" s="192">
        <v>1</v>
      </c>
      <c r="M126" s="192">
        <v>0</v>
      </c>
      <c r="N126" s="192">
        <v>0</v>
      </c>
      <c r="O126" s="192">
        <v>0</v>
      </c>
      <c r="P126" s="192">
        <v>0</v>
      </c>
      <c r="Q126" s="192">
        <v>0</v>
      </c>
      <c r="R126" s="192">
        <v>0</v>
      </c>
      <c r="S126" s="192">
        <v>0</v>
      </c>
      <c r="T126" s="192">
        <v>0</v>
      </c>
      <c r="U126" s="192">
        <v>0</v>
      </c>
      <c r="V126" s="192">
        <v>0</v>
      </c>
      <c r="W126" s="192">
        <v>0</v>
      </c>
      <c r="X126" s="192">
        <v>0</v>
      </c>
      <c r="Y126" s="192">
        <v>0</v>
      </c>
      <c r="Z126" s="192">
        <v>0</v>
      </c>
      <c r="AA126" s="192">
        <v>0</v>
      </c>
      <c r="AB126" s="192">
        <v>1</v>
      </c>
      <c r="AC126" s="192">
        <v>0</v>
      </c>
      <c r="AD126" s="193">
        <v>0</v>
      </c>
      <c r="AE126" s="193">
        <v>0</v>
      </c>
      <c r="AF126" s="193">
        <v>0</v>
      </c>
      <c r="AG126" s="193">
        <v>0</v>
      </c>
      <c r="AH126" s="193">
        <v>0</v>
      </c>
      <c r="AI126" s="193">
        <v>0</v>
      </c>
      <c r="AJ126" s="193">
        <v>0</v>
      </c>
      <c r="AK126" s="193">
        <v>0</v>
      </c>
      <c r="AL126" s="193">
        <v>2700000</v>
      </c>
      <c r="AM126" s="193">
        <v>0</v>
      </c>
      <c r="AN126" s="193">
        <v>0</v>
      </c>
      <c r="AO126" s="193">
        <v>0</v>
      </c>
      <c r="AP126" s="193">
        <v>0</v>
      </c>
      <c r="AQ126" s="193">
        <v>0</v>
      </c>
      <c r="AR126" s="193">
        <v>0</v>
      </c>
      <c r="AS126" s="193">
        <v>0</v>
      </c>
      <c r="AT126" s="193">
        <v>0</v>
      </c>
      <c r="AU126" s="193">
        <v>0</v>
      </c>
      <c r="AV126" s="193">
        <v>0</v>
      </c>
      <c r="AW126" s="193">
        <v>0</v>
      </c>
      <c r="AX126" s="193">
        <v>0</v>
      </c>
      <c r="AY126" s="193">
        <v>0</v>
      </c>
      <c r="AZ126" s="193">
        <v>0</v>
      </c>
      <c r="BA126" s="193">
        <v>0</v>
      </c>
      <c r="BB126" s="193">
        <v>2700000</v>
      </c>
      <c r="BC126" s="193">
        <v>0</v>
      </c>
      <c r="BD126" s="193">
        <v>2700000</v>
      </c>
    </row>
    <row r="127" spans="1:56" s="188" customFormat="1">
      <c r="A127" s="189">
        <v>-41</v>
      </c>
      <c r="B127" s="190" t="s">
        <v>910</v>
      </c>
      <c r="C127" s="191">
        <v>3300000</v>
      </c>
      <c r="D127" s="192">
        <v>0</v>
      </c>
      <c r="E127" s="192">
        <v>0</v>
      </c>
      <c r="F127" s="192">
        <v>0</v>
      </c>
      <c r="G127" s="192">
        <v>0</v>
      </c>
      <c r="H127" s="192">
        <v>0</v>
      </c>
      <c r="I127" s="192">
        <v>0</v>
      </c>
      <c r="J127" s="192">
        <v>0</v>
      </c>
      <c r="K127" s="192">
        <v>0</v>
      </c>
      <c r="L127" s="192">
        <v>0</v>
      </c>
      <c r="M127" s="192">
        <v>0</v>
      </c>
      <c r="N127" s="192">
        <v>0</v>
      </c>
      <c r="O127" s="192">
        <v>0</v>
      </c>
      <c r="P127" s="192">
        <v>0</v>
      </c>
      <c r="Q127" s="192">
        <v>0</v>
      </c>
      <c r="R127" s="192">
        <v>0</v>
      </c>
      <c r="S127" s="192">
        <v>0</v>
      </c>
      <c r="T127" s="192">
        <v>1</v>
      </c>
      <c r="U127" s="192">
        <v>0</v>
      </c>
      <c r="V127" s="192">
        <v>0</v>
      </c>
      <c r="W127" s="192">
        <v>0</v>
      </c>
      <c r="X127" s="192">
        <v>0</v>
      </c>
      <c r="Y127" s="192">
        <v>0</v>
      </c>
      <c r="Z127" s="192">
        <v>0</v>
      </c>
      <c r="AA127" s="192">
        <v>0</v>
      </c>
      <c r="AB127" s="192">
        <v>1</v>
      </c>
      <c r="AC127" s="192">
        <v>0</v>
      </c>
      <c r="AD127" s="193">
        <v>0</v>
      </c>
      <c r="AE127" s="193">
        <v>0</v>
      </c>
      <c r="AF127" s="193">
        <v>0</v>
      </c>
      <c r="AG127" s="193">
        <v>0</v>
      </c>
      <c r="AH127" s="193">
        <v>0</v>
      </c>
      <c r="AI127" s="193">
        <v>0</v>
      </c>
      <c r="AJ127" s="193">
        <v>0</v>
      </c>
      <c r="AK127" s="193">
        <v>0</v>
      </c>
      <c r="AL127" s="193">
        <v>0</v>
      </c>
      <c r="AM127" s="193">
        <v>0</v>
      </c>
      <c r="AN127" s="193">
        <v>0</v>
      </c>
      <c r="AO127" s="193">
        <v>0</v>
      </c>
      <c r="AP127" s="193">
        <v>0</v>
      </c>
      <c r="AQ127" s="193">
        <v>0</v>
      </c>
      <c r="AR127" s="193">
        <v>0</v>
      </c>
      <c r="AS127" s="193">
        <v>0</v>
      </c>
      <c r="AT127" s="193">
        <v>3300000</v>
      </c>
      <c r="AU127" s="193">
        <v>0</v>
      </c>
      <c r="AV127" s="193">
        <v>0</v>
      </c>
      <c r="AW127" s="193">
        <v>0</v>
      </c>
      <c r="AX127" s="193">
        <v>0</v>
      </c>
      <c r="AY127" s="193">
        <v>0</v>
      </c>
      <c r="AZ127" s="193">
        <v>0</v>
      </c>
      <c r="BA127" s="193">
        <v>0</v>
      </c>
      <c r="BB127" s="193">
        <v>3300000</v>
      </c>
      <c r="BC127" s="193">
        <v>0</v>
      </c>
      <c r="BD127" s="193">
        <v>3300000</v>
      </c>
    </row>
    <row r="128" spans="1:56" s="188" customFormat="1">
      <c r="A128" s="189">
        <v>-42</v>
      </c>
      <c r="B128" s="190" t="s">
        <v>911</v>
      </c>
      <c r="C128" s="191">
        <v>8100000</v>
      </c>
      <c r="D128" s="192">
        <v>0</v>
      </c>
      <c r="E128" s="192">
        <v>0</v>
      </c>
      <c r="F128" s="192">
        <v>0</v>
      </c>
      <c r="G128" s="192">
        <v>0</v>
      </c>
      <c r="H128" s="192">
        <v>0</v>
      </c>
      <c r="I128" s="192">
        <v>0</v>
      </c>
      <c r="J128" s="192">
        <v>0</v>
      </c>
      <c r="K128" s="192">
        <v>0</v>
      </c>
      <c r="L128" s="192">
        <v>0</v>
      </c>
      <c r="M128" s="192">
        <v>0</v>
      </c>
      <c r="N128" s="192">
        <v>0</v>
      </c>
      <c r="O128" s="192">
        <v>0</v>
      </c>
      <c r="P128" s="192">
        <v>0</v>
      </c>
      <c r="Q128" s="192">
        <v>0</v>
      </c>
      <c r="R128" s="192">
        <v>0</v>
      </c>
      <c r="S128" s="192">
        <v>0</v>
      </c>
      <c r="T128" s="192">
        <v>0</v>
      </c>
      <c r="U128" s="192">
        <v>0</v>
      </c>
      <c r="V128" s="192">
        <v>0</v>
      </c>
      <c r="W128" s="192">
        <v>0</v>
      </c>
      <c r="X128" s="192">
        <v>0</v>
      </c>
      <c r="Y128" s="192">
        <v>0</v>
      </c>
      <c r="Z128" s="192">
        <v>0</v>
      </c>
      <c r="AA128" s="192">
        <v>0</v>
      </c>
      <c r="AB128" s="192">
        <v>0</v>
      </c>
      <c r="AC128" s="192">
        <v>0</v>
      </c>
      <c r="AD128" s="193">
        <v>0</v>
      </c>
      <c r="AE128" s="193">
        <v>0</v>
      </c>
      <c r="AF128" s="193">
        <v>0</v>
      </c>
      <c r="AG128" s="193">
        <v>0</v>
      </c>
      <c r="AH128" s="193">
        <v>0</v>
      </c>
      <c r="AI128" s="193">
        <v>0</v>
      </c>
      <c r="AJ128" s="193">
        <v>0</v>
      </c>
      <c r="AK128" s="193">
        <v>0</v>
      </c>
      <c r="AL128" s="193">
        <v>0</v>
      </c>
      <c r="AM128" s="193">
        <v>0</v>
      </c>
      <c r="AN128" s="193">
        <v>0</v>
      </c>
      <c r="AO128" s="193">
        <v>0</v>
      </c>
      <c r="AP128" s="193">
        <v>0</v>
      </c>
      <c r="AQ128" s="193">
        <v>0</v>
      </c>
      <c r="AR128" s="193">
        <v>0</v>
      </c>
      <c r="AS128" s="193">
        <v>0</v>
      </c>
      <c r="AT128" s="193">
        <v>0</v>
      </c>
      <c r="AU128" s="193">
        <v>0</v>
      </c>
      <c r="AV128" s="193">
        <v>0</v>
      </c>
      <c r="AW128" s="193">
        <v>0</v>
      </c>
      <c r="AX128" s="193">
        <v>0</v>
      </c>
      <c r="AY128" s="193">
        <v>0</v>
      </c>
      <c r="AZ128" s="193">
        <v>0</v>
      </c>
      <c r="BA128" s="193">
        <v>0</v>
      </c>
      <c r="BB128" s="193">
        <v>0</v>
      </c>
      <c r="BC128" s="193">
        <v>0</v>
      </c>
      <c r="BD128" s="193">
        <v>0</v>
      </c>
    </row>
    <row r="129" spans="1:56" s="188" customFormat="1">
      <c r="A129" s="189">
        <v>-43</v>
      </c>
      <c r="B129" s="190" t="s">
        <v>912</v>
      </c>
      <c r="C129" s="191">
        <v>11000000</v>
      </c>
      <c r="D129" s="192">
        <v>0</v>
      </c>
      <c r="E129" s="192">
        <v>0</v>
      </c>
      <c r="F129" s="192">
        <v>0</v>
      </c>
      <c r="G129" s="192">
        <v>0</v>
      </c>
      <c r="H129" s="192">
        <v>0</v>
      </c>
      <c r="I129" s="192">
        <v>0</v>
      </c>
      <c r="J129" s="192">
        <v>0</v>
      </c>
      <c r="K129" s="192">
        <v>0</v>
      </c>
      <c r="L129" s="192">
        <v>0</v>
      </c>
      <c r="M129" s="192">
        <v>0</v>
      </c>
      <c r="N129" s="192">
        <v>0</v>
      </c>
      <c r="O129" s="192">
        <v>0</v>
      </c>
      <c r="P129" s="192">
        <v>0</v>
      </c>
      <c r="Q129" s="192">
        <v>0</v>
      </c>
      <c r="R129" s="192">
        <v>0</v>
      </c>
      <c r="S129" s="192">
        <v>0</v>
      </c>
      <c r="T129" s="192">
        <v>0</v>
      </c>
      <c r="U129" s="192">
        <v>0</v>
      </c>
      <c r="V129" s="192">
        <v>0</v>
      </c>
      <c r="W129" s="192">
        <v>0</v>
      </c>
      <c r="X129" s="192">
        <v>0</v>
      </c>
      <c r="Y129" s="192">
        <v>0</v>
      </c>
      <c r="Z129" s="192">
        <v>0</v>
      </c>
      <c r="AA129" s="192">
        <v>0</v>
      </c>
      <c r="AB129" s="192">
        <v>0</v>
      </c>
      <c r="AC129" s="192">
        <v>0</v>
      </c>
      <c r="AD129" s="193">
        <v>0</v>
      </c>
      <c r="AE129" s="193">
        <v>0</v>
      </c>
      <c r="AF129" s="193">
        <v>0</v>
      </c>
      <c r="AG129" s="193">
        <v>0</v>
      </c>
      <c r="AH129" s="193">
        <v>0</v>
      </c>
      <c r="AI129" s="193">
        <v>0</v>
      </c>
      <c r="AJ129" s="193">
        <v>0</v>
      </c>
      <c r="AK129" s="193">
        <v>0</v>
      </c>
      <c r="AL129" s="193">
        <v>0</v>
      </c>
      <c r="AM129" s="193">
        <v>0</v>
      </c>
      <c r="AN129" s="193">
        <v>0</v>
      </c>
      <c r="AO129" s="193">
        <v>0</v>
      </c>
      <c r="AP129" s="193">
        <v>0</v>
      </c>
      <c r="AQ129" s="193">
        <v>0</v>
      </c>
      <c r="AR129" s="193">
        <v>0</v>
      </c>
      <c r="AS129" s="193">
        <v>0</v>
      </c>
      <c r="AT129" s="193">
        <v>0</v>
      </c>
      <c r="AU129" s="193">
        <v>0</v>
      </c>
      <c r="AV129" s="193">
        <v>0</v>
      </c>
      <c r="AW129" s="193">
        <v>0</v>
      </c>
      <c r="AX129" s="193">
        <v>0</v>
      </c>
      <c r="AY129" s="193">
        <v>0</v>
      </c>
      <c r="AZ129" s="193">
        <v>0</v>
      </c>
      <c r="BA129" s="193">
        <v>0</v>
      </c>
      <c r="BB129" s="193">
        <v>0</v>
      </c>
      <c r="BC129" s="193">
        <v>0</v>
      </c>
      <c r="BD129" s="193">
        <v>0</v>
      </c>
    </row>
    <row r="130" spans="1:56">
      <c r="A130" s="196"/>
      <c r="B130" s="231" t="s">
        <v>1072</v>
      </c>
      <c r="C130" s="196"/>
      <c r="D130" s="192">
        <v>6</v>
      </c>
      <c r="E130" s="192">
        <v>2</v>
      </c>
      <c r="F130" s="192">
        <v>1</v>
      </c>
      <c r="G130" s="192">
        <v>3</v>
      </c>
      <c r="H130" s="192">
        <v>2</v>
      </c>
      <c r="I130" s="192">
        <v>1</v>
      </c>
      <c r="J130" s="192">
        <v>1</v>
      </c>
      <c r="K130" s="192">
        <v>0</v>
      </c>
      <c r="L130" s="192">
        <v>12</v>
      </c>
      <c r="M130" s="192">
        <v>0</v>
      </c>
      <c r="N130" s="192">
        <v>15</v>
      </c>
      <c r="O130" s="192">
        <v>8</v>
      </c>
      <c r="P130" s="192">
        <v>1</v>
      </c>
      <c r="Q130" s="192">
        <v>0</v>
      </c>
      <c r="R130" s="192">
        <v>3</v>
      </c>
      <c r="S130" s="192">
        <v>0</v>
      </c>
      <c r="T130" s="192">
        <v>8</v>
      </c>
      <c r="U130" s="192">
        <v>0</v>
      </c>
      <c r="V130" s="192">
        <v>1</v>
      </c>
      <c r="W130" s="192">
        <v>0</v>
      </c>
      <c r="X130" s="192">
        <v>3</v>
      </c>
      <c r="Y130" s="192">
        <v>0</v>
      </c>
      <c r="Z130" s="192">
        <v>8</v>
      </c>
      <c r="AA130" s="192">
        <v>1</v>
      </c>
      <c r="AB130" s="192">
        <v>61</v>
      </c>
      <c r="AC130" s="192">
        <v>15</v>
      </c>
      <c r="AD130" s="193">
        <v>2685000</v>
      </c>
      <c r="AE130" s="193">
        <v>625000</v>
      </c>
      <c r="AF130" s="193">
        <v>1600000</v>
      </c>
      <c r="AG130" s="193">
        <v>745000</v>
      </c>
      <c r="AH130" s="193">
        <v>1920000</v>
      </c>
      <c r="AI130" s="193">
        <v>120000</v>
      </c>
      <c r="AJ130" s="193">
        <v>1600000</v>
      </c>
      <c r="AK130" s="193">
        <v>0</v>
      </c>
      <c r="AL130" s="193">
        <v>12290000</v>
      </c>
      <c r="AM130" s="193">
        <v>0</v>
      </c>
      <c r="AN130" s="193">
        <v>6815000</v>
      </c>
      <c r="AO130" s="193">
        <v>5395000</v>
      </c>
      <c r="AP130" s="193">
        <v>1600000</v>
      </c>
      <c r="AQ130" s="193">
        <v>0</v>
      </c>
      <c r="AR130" s="193">
        <v>2170000</v>
      </c>
      <c r="AS130" s="193">
        <v>0</v>
      </c>
      <c r="AT130" s="193">
        <v>8025000</v>
      </c>
      <c r="AU130" s="193">
        <v>0</v>
      </c>
      <c r="AV130" s="193">
        <v>1600000</v>
      </c>
      <c r="AW130" s="193">
        <v>0</v>
      </c>
      <c r="AX130" s="193">
        <v>2040000</v>
      </c>
      <c r="AY130" s="193">
        <v>0</v>
      </c>
      <c r="AZ130" s="193">
        <v>5240000</v>
      </c>
      <c r="BA130" s="193">
        <v>250000</v>
      </c>
      <c r="BB130" s="193">
        <v>47585000</v>
      </c>
      <c r="BC130" s="193">
        <v>7135000</v>
      </c>
      <c r="BD130" s="193">
        <v>54720000</v>
      </c>
    </row>
    <row r="131" spans="1:56" s="229" customFormat="1">
      <c r="A131" s="184">
        <v>4</v>
      </c>
      <c r="B131" s="185" t="s">
        <v>914</v>
      </c>
      <c r="C131" s="197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  <c r="BA131" s="184"/>
      <c r="BB131" s="184"/>
      <c r="BC131" s="184"/>
      <c r="BD131" s="184"/>
    </row>
    <row r="132" spans="1:56" s="188" customFormat="1">
      <c r="A132" s="189">
        <v>-1</v>
      </c>
      <c r="B132" s="204" t="s">
        <v>915</v>
      </c>
      <c r="C132" s="191">
        <v>120000</v>
      </c>
      <c r="D132" s="192">
        <v>0</v>
      </c>
      <c r="E132" s="192">
        <v>0</v>
      </c>
      <c r="F132" s="192">
        <v>0</v>
      </c>
      <c r="G132" s="192">
        <v>0</v>
      </c>
      <c r="H132" s="192">
        <v>0</v>
      </c>
      <c r="I132" s="192">
        <v>0</v>
      </c>
      <c r="J132" s="192">
        <v>0</v>
      </c>
      <c r="K132" s="192">
        <v>0</v>
      </c>
      <c r="L132" s="192">
        <v>0</v>
      </c>
      <c r="M132" s="192">
        <v>0</v>
      </c>
      <c r="N132" s="192">
        <v>0</v>
      </c>
      <c r="O132" s="192">
        <v>0</v>
      </c>
      <c r="P132" s="192">
        <v>0</v>
      </c>
      <c r="Q132" s="192">
        <v>0</v>
      </c>
      <c r="R132" s="192">
        <v>0</v>
      </c>
      <c r="S132" s="192">
        <v>0</v>
      </c>
      <c r="T132" s="192">
        <v>0</v>
      </c>
      <c r="U132" s="192">
        <v>0</v>
      </c>
      <c r="V132" s="192">
        <v>0</v>
      </c>
      <c r="W132" s="192">
        <v>0</v>
      </c>
      <c r="X132" s="192">
        <v>0</v>
      </c>
      <c r="Y132" s="192">
        <v>0</v>
      </c>
      <c r="Z132" s="192">
        <v>0</v>
      </c>
      <c r="AA132" s="192">
        <v>0</v>
      </c>
      <c r="AB132" s="192">
        <v>0</v>
      </c>
      <c r="AC132" s="192">
        <v>0</v>
      </c>
      <c r="AD132" s="193">
        <v>0</v>
      </c>
      <c r="AE132" s="193">
        <v>0</v>
      </c>
      <c r="AF132" s="193">
        <v>0</v>
      </c>
      <c r="AG132" s="193">
        <v>0</v>
      </c>
      <c r="AH132" s="193">
        <v>0</v>
      </c>
      <c r="AI132" s="193">
        <v>0</v>
      </c>
      <c r="AJ132" s="193">
        <v>0</v>
      </c>
      <c r="AK132" s="193">
        <v>0</v>
      </c>
      <c r="AL132" s="193">
        <v>0</v>
      </c>
      <c r="AM132" s="193">
        <v>0</v>
      </c>
      <c r="AN132" s="193">
        <v>0</v>
      </c>
      <c r="AO132" s="193">
        <v>0</v>
      </c>
      <c r="AP132" s="193">
        <v>0</v>
      </c>
      <c r="AQ132" s="193">
        <v>0</v>
      </c>
      <c r="AR132" s="193">
        <v>0</v>
      </c>
      <c r="AS132" s="193">
        <v>0</v>
      </c>
      <c r="AT132" s="193">
        <v>0</v>
      </c>
      <c r="AU132" s="193">
        <v>0</v>
      </c>
      <c r="AV132" s="193">
        <v>0</v>
      </c>
      <c r="AW132" s="193">
        <v>0</v>
      </c>
      <c r="AX132" s="193">
        <v>0</v>
      </c>
      <c r="AY132" s="193">
        <v>0</v>
      </c>
      <c r="AZ132" s="193">
        <v>0</v>
      </c>
      <c r="BA132" s="193">
        <v>0</v>
      </c>
      <c r="BB132" s="193">
        <v>0</v>
      </c>
      <c r="BC132" s="193">
        <v>0</v>
      </c>
      <c r="BD132" s="193">
        <v>0</v>
      </c>
    </row>
    <row r="133" spans="1:56" s="188" customFormat="1">
      <c r="A133" s="189">
        <v>-2</v>
      </c>
      <c r="B133" s="231" t="s">
        <v>918</v>
      </c>
      <c r="C133" s="191">
        <v>250000</v>
      </c>
      <c r="D133" s="192">
        <v>0</v>
      </c>
      <c r="E133" s="192">
        <v>0</v>
      </c>
      <c r="F133" s="192">
        <v>0</v>
      </c>
      <c r="G133" s="192">
        <v>0</v>
      </c>
      <c r="H133" s="192">
        <v>0</v>
      </c>
      <c r="I133" s="192">
        <v>0</v>
      </c>
      <c r="J133" s="192">
        <v>0</v>
      </c>
      <c r="K133" s="192">
        <v>0</v>
      </c>
      <c r="L133" s="192">
        <v>0</v>
      </c>
      <c r="M133" s="192">
        <v>0</v>
      </c>
      <c r="N133" s="192">
        <v>0</v>
      </c>
      <c r="O133" s="192">
        <v>0</v>
      </c>
      <c r="P133" s="192">
        <v>0</v>
      </c>
      <c r="Q133" s="192">
        <v>0</v>
      </c>
      <c r="R133" s="192">
        <v>0</v>
      </c>
      <c r="S133" s="192">
        <v>0</v>
      </c>
      <c r="T133" s="192">
        <v>0</v>
      </c>
      <c r="U133" s="192">
        <v>0</v>
      </c>
      <c r="V133" s="192">
        <v>0</v>
      </c>
      <c r="W133" s="192">
        <v>0</v>
      </c>
      <c r="X133" s="192">
        <v>0</v>
      </c>
      <c r="Y133" s="192">
        <v>0</v>
      </c>
      <c r="Z133" s="192">
        <v>0</v>
      </c>
      <c r="AA133" s="192">
        <v>0</v>
      </c>
      <c r="AB133" s="192">
        <v>0</v>
      </c>
      <c r="AC133" s="192">
        <v>0</v>
      </c>
      <c r="AD133" s="193">
        <v>0</v>
      </c>
      <c r="AE133" s="193">
        <v>0</v>
      </c>
      <c r="AF133" s="193">
        <v>0</v>
      </c>
      <c r="AG133" s="193">
        <v>0</v>
      </c>
      <c r="AH133" s="193">
        <v>0</v>
      </c>
      <c r="AI133" s="193">
        <v>0</v>
      </c>
      <c r="AJ133" s="193">
        <v>0</v>
      </c>
      <c r="AK133" s="193">
        <v>0</v>
      </c>
      <c r="AL133" s="193">
        <v>0</v>
      </c>
      <c r="AM133" s="193">
        <v>0</v>
      </c>
      <c r="AN133" s="193">
        <v>0</v>
      </c>
      <c r="AO133" s="193">
        <v>0</v>
      </c>
      <c r="AP133" s="193">
        <v>0</v>
      </c>
      <c r="AQ133" s="193">
        <v>0</v>
      </c>
      <c r="AR133" s="193">
        <v>0</v>
      </c>
      <c r="AS133" s="193">
        <v>0</v>
      </c>
      <c r="AT133" s="193">
        <v>0</v>
      </c>
      <c r="AU133" s="193">
        <v>0</v>
      </c>
      <c r="AV133" s="193">
        <v>0</v>
      </c>
      <c r="AW133" s="193">
        <v>0</v>
      </c>
      <c r="AX133" s="193">
        <v>0</v>
      </c>
      <c r="AY133" s="193">
        <v>0</v>
      </c>
      <c r="AZ133" s="193">
        <v>0</v>
      </c>
      <c r="BA133" s="193">
        <v>0</v>
      </c>
      <c r="BB133" s="193">
        <v>0</v>
      </c>
      <c r="BC133" s="193">
        <v>0</v>
      </c>
      <c r="BD133" s="193">
        <v>0</v>
      </c>
    </row>
    <row r="134" spans="1:56" s="188" customFormat="1">
      <c r="A134" s="189">
        <v>-3</v>
      </c>
      <c r="B134" s="204" t="s">
        <v>919</v>
      </c>
      <c r="C134" s="191">
        <v>250000</v>
      </c>
      <c r="D134" s="192">
        <v>0</v>
      </c>
      <c r="E134" s="192">
        <v>0</v>
      </c>
      <c r="F134" s="192">
        <v>0</v>
      </c>
      <c r="G134" s="192">
        <v>0</v>
      </c>
      <c r="H134" s="192">
        <v>0</v>
      </c>
      <c r="I134" s="192">
        <v>0</v>
      </c>
      <c r="J134" s="192">
        <v>0</v>
      </c>
      <c r="K134" s="192">
        <v>0</v>
      </c>
      <c r="L134" s="192">
        <v>0</v>
      </c>
      <c r="M134" s="192">
        <v>0</v>
      </c>
      <c r="N134" s="192">
        <v>0</v>
      </c>
      <c r="O134" s="192">
        <v>0</v>
      </c>
      <c r="P134" s="192">
        <v>0</v>
      </c>
      <c r="Q134" s="192">
        <v>0</v>
      </c>
      <c r="R134" s="192">
        <v>0</v>
      </c>
      <c r="S134" s="192">
        <v>0</v>
      </c>
      <c r="T134" s="192">
        <v>0</v>
      </c>
      <c r="U134" s="192">
        <v>0</v>
      </c>
      <c r="V134" s="192">
        <v>0</v>
      </c>
      <c r="W134" s="192">
        <v>0</v>
      </c>
      <c r="X134" s="192">
        <v>0</v>
      </c>
      <c r="Y134" s="192">
        <v>0</v>
      </c>
      <c r="Z134" s="192">
        <v>0</v>
      </c>
      <c r="AA134" s="192">
        <v>0</v>
      </c>
      <c r="AB134" s="192">
        <v>0</v>
      </c>
      <c r="AC134" s="192">
        <v>0</v>
      </c>
      <c r="AD134" s="193">
        <v>0</v>
      </c>
      <c r="AE134" s="193">
        <v>0</v>
      </c>
      <c r="AF134" s="193">
        <v>0</v>
      </c>
      <c r="AG134" s="193">
        <v>0</v>
      </c>
      <c r="AH134" s="193">
        <v>0</v>
      </c>
      <c r="AI134" s="193">
        <v>0</v>
      </c>
      <c r="AJ134" s="193">
        <v>0</v>
      </c>
      <c r="AK134" s="193">
        <v>0</v>
      </c>
      <c r="AL134" s="193">
        <v>0</v>
      </c>
      <c r="AM134" s="193">
        <v>0</v>
      </c>
      <c r="AN134" s="193">
        <v>0</v>
      </c>
      <c r="AO134" s="193">
        <v>0</v>
      </c>
      <c r="AP134" s="193">
        <v>0</v>
      </c>
      <c r="AQ134" s="193">
        <v>0</v>
      </c>
      <c r="AR134" s="193">
        <v>0</v>
      </c>
      <c r="AS134" s="193">
        <v>0</v>
      </c>
      <c r="AT134" s="193">
        <v>0</v>
      </c>
      <c r="AU134" s="193">
        <v>0</v>
      </c>
      <c r="AV134" s="193">
        <v>0</v>
      </c>
      <c r="AW134" s="193">
        <v>0</v>
      </c>
      <c r="AX134" s="193">
        <v>0</v>
      </c>
      <c r="AY134" s="193">
        <v>0</v>
      </c>
      <c r="AZ134" s="193">
        <v>0</v>
      </c>
      <c r="BA134" s="193">
        <v>0</v>
      </c>
      <c r="BB134" s="193">
        <v>0</v>
      </c>
      <c r="BC134" s="193">
        <v>0</v>
      </c>
      <c r="BD134" s="193">
        <v>0</v>
      </c>
    </row>
    <row r="135" spans="1:56" s="188" customFormat="1">
      <c r="A135" s="189">
        <v>-4</v>
      </c>
      <c r="B135" s="204" t="s">
        <v>920</v>
      </c>
      <c r="C135" s="191">
        <v>1000000</v>
      </c>
      <c r="D135" s="192">
        <v>0</v>
      </c>
      <c r="E135" s="192">
        <v>0</v>
      </c>
      <c r="F135" s="192">
        <v>0</v>
      </c>
      <c r="G135" s="192">
        <v>0</v>
      </c>
      <c r="H135" s="192">
        <v>0</v>
      </c>
      <c r="I135" s="192">
        <v>0</v>
      </c>
      <c r="J135" s="192">
        <v>0</v>
      </c>
      <c r="K135" s="192">
        <v>0</v>
      </c>
      <c r="L135" s="192">
        <v>0</v>
      </c>
      <c r="M135" s="192">
        <v>0</v>
      </c>
      <c r="N135" s="192">
        <v>0</v>
      </c>
      <c r="O135" s="192">
        <v>0</v>
      </c>
      <c r="P135" s="192">
        <v>0</v>
      </c>
      <c r="Q135" s="192">
        <v>0</v>
      </c>
      <c r="R135" s="192">
        <v>0</v>
      </c>
      <c r="S135" s="192">
        <v>0</v>
      </c>
      <c r="T135" s="192">
        <v>0</v>
      </c>
      <c r="U135" s="192">
        <v>0</v>
      </c>
      <c r="V135" s="192">
        <v>0</v>
      </c>
      <c r="W135" s="192">
        <v>0</v>
      </c>
      <c r="X135" s="192">
        <v>0</v>
      </c>
      <c r="Y135" s="192">
        <v>0</v>
      </c>
      <c r="Z135" s="192">
        <v>0</v>
      </c>
      <c r="AA135" s="192">
        <v>0</v>
      </c>
      <c r="AB135" s="192">
        <v>0</v>
      </c>
      <c r="AC135" s="192">
        <v>0</v>
      </c>
      <c r="AD135" s="193">
        <v>0</v>
      </c>
      <c r="AE135" s="193">
        <v>0</v>
      </c>
      <c r="AF135" s="193">
        <v>0</v>
      </c>
      <c r="AG135" s="193">
        <v>0</v>
      </c>
      <c r="AH135" s="193">
        <v>0</v>
      </c>
      <c r="AI135" s="193">
        <v>0</v>
      </c>
      <c r="AJ135" s="193">
        <v>0</v>
      </c>
      <c r="AK135" s="193">
        <v>0</v>
      </c>
      <c r="AL135" s="193">
        <v>0</v>
      </c>
      <c r="AM135" s="193">
        <v>0</v>
      </c>
      <c r="AN135" s="193">
        <v>0</v>
      </c>
      <c r="AO135" s="193">
        <v>0</v>
      </c>
      <c r="AP135" s="193">
        <v>0</v>
      </c>
      <c r="AQ135" s="193">
        <v>0</v>
      </c>
      <c r="AR135" s="193">
        <v>0</v>
      </c>
      <c r="AS135" s="193">
        <v>0</v>
      </c>
      <c r="AT135" s="193">
        <v>0</v>
      </c>
      <c r="AU135" s="193">
        <v>0</v>
      </c>
      <c r="AV135" s="193">
        <v>0</v>
      </c>
      <c r="AW135" s="193">
        <v>0</v>
      </c>
      <c r="AX135" s="193">
        <v>0</v>
      </c>
      <c r="AY135" s="193">
        <v>0</v>
      </c>
      <c r="AZ135" s="193">
        <v>0</v>
      </c>
      <c r="BA135" s="193">
        <v>0</v>
      </c>
      <c r="BB135" s="193">
        <v>0</v>
      </c>
      <c r="BC135" s="193">
        <v>0</v>
      </c>
      <c r="BD135" s="193">
        <v>0</v>
      </c>
    </row>
    <row r="136" spans="1:56" s="188" customFormat="1">
      <c r="A136" s="189">
        <v>-5</v>
      </c>
      <c r="B136" s="190" t="s">
        <v>922</v>
      </c>
      <c r="C136" s="191">
        <v>1200000</v>
      </c>
      <c r="D136" s="192">
        <v>4</v>
      </c>
      <c r="E136" s="192">
        <v>0</v>
      </c>
      <c r="F136" s="192">
        <v>0</v>
      </c>
      <c r="G136" s="192">
        <v>0</v>
      </c>
      <c r="H136" s="192">
        <v>0</v>
      </c>
      <c r="I136" s="192">
        <v>0</v>
      </c>
      <c r="J136" s="192">
        <v>1</v>
      </c>
      <c r="K136" s="192">
        <v>0</v>
      </c>
      <c r="L136" s="192">
        <v>0</v>
      </c>
      <c r="M136" s="192">
        <v>0</v>
      </c>
      <c r="N136" s="192">
        <v>0</v>
      </c>
      <c r="O136" s="192">
        <v>0</v>
      </c>
      <c r="P136" s="192">
        <v>0</v>
      </c>
      <c r="Q136" s="192">
        <v>0</v>
      </c>
      <c r="R136" s="192">
        <v>0</v>
      </c>
      <c r="S136" s="192">
        <v>0</v>
      </c>
      <c r="T136" s="192">
        <v>0</v>
      </c>
      <c r="U136" s="192">
        <v>0</v>
      </c>
      <c r="V136" s="192">
        <v>0</v>
      </c>
      <c r="W136" s="192">
        <v>0</v>
      </c>
      <c r="X136" s="192">
        <v>0</v>
      </c>
      <c r="Y136" s="192">
        <v>0</v>
      </c>
      <c r="Z136" s="192">
        <v>0</v>
      </c>
      <c r="AA136" s="192">
        <v>0</v>
      </c>
      <c r="AB136" s="192">
        <v>5</v>
      </c>
      <c r="AC136" s="192">
        <v>0</v>
      </c>
      <c r="AD136" s="193">
        <v>4800000</v>
      </c>
      <c r="AE136" s="193">
        <v>0</v>
      </c>
      <c r="AF136" s="193">
        <v>0</v>
      </c>
      <c r="AG136" s="193">
        <v>0</v>
      </c>
      <c r="AH136" s="193">
        <v>0</v>
      </c>
      <c r="AI136" s="193">
        <v>0</v>
      </c>
      <c r="AJ136" s="193">
        <v>1200000</v>
      </c>
      <c r="AK136" s="193">
        <v>0</v>
      </c>
      <c r="AL136" s="193">
        <v>0</v>
      </c>
      <c r="AM136" s="193">
        <v>0</v>
      </c>
      <c r="AN136" s="193">
        <v>0</v>
      </c>
      <c r="AO136" s="193">
        <v>0</v>
      </c>
      <c r="AP136" s="193">
        <v>0</v>
      </c>
      <c r="AQ136" s="193">
        <v>0</v>
      </c>
      <c r="AR136" s="193">
        <v>0</v>
      </c>
      <c r="AS136" s="193">
        <v>0</v>
      </c>
      <c r="AT136" s="193">
        <v>0</v>
      </c>
      <c r="AU136" s="193">
        <v>0</v>
      </c>
      <c r="AV136" s="193">
        <v>0</v>
      </c>
      <c r="AW136" s="193">
        <v>0</v>
      </c>
      <c r="AX136" s="193">
        <v>0</v>
      </c>
      <c r="AY136" s="193">
        <v>0</v>
      </c>
      <c r="AZ136" s="193">
        <v>0</v>
      </c>
      <c r="BA136" s="193">
        <v>0</v>
      </c>
      <c r="BB136" s="193">
        <v>6000000</v>
      </c>
      <c r="BC136" s="193">
        <v>0</v>
      </c>
      <c r="BD136" s="193">
        <v>6000000</v>
      </c>
    </row>
    <row r="137" spans="1:56" s="188" customFormat="1">
      <c r="A137" s="189">
        <v>-6</v>
      </c>
      <c r="B137" s="204" t="s">
        <v>923</v>
      </c>
      <c r="C137" s="191">
        <v>2900000</v>
      </c>
      <c r="D137" s="192">
        <v>4</v>
      </c>
      <c r="E137" s="192">
        <v>0</v>
      </c>
      <c r="F137" s="192">
        <v>0</v>
      </c>
      <c r="G137" s="192">
        <v>0</v>
      </c>
      <c r="H137" s="192">
        <v>0</v>
      </c>
      <c r="I137" s="192">
        <v>0</v>
      </c>
      <c r="J137" s="192">
        <v>1</v>
      </c>
      <c r="K137" s="192">
        <v>0</v>
      </c>
      <c r="L137" s="192">
        <v>0</v>
      </c>
      <c r="M137" s="192">
        <v>0</v>
      </c>
      <c r="N137" s="192">
        <v>0</v>
      </c>
      <c r="O137" s="192">
        <v>0</v>
      </c>
      <c r="P137" s="192">
        <v>0</v>
      </c>
      <c r="Q137" s="192">
        <v>0</v>
      </c>
      <c r="R137" s="192">
        <v>2</v>
      </c>
      <c r="S137" s="192">
        <v>0</v>
      </c>
      <c r="T137" s="192">
        <v>0</v>
      </c>
      <c r="U137" s="192">
        <v>0</v>
      </c>
      <c r="V137" s="192">
        <v>0</v>
      </c>
      <c r="W137" s="192">
        <v>0</v>
      </c>
      <c r="X137" s="192">
        <v>0</v>
      </c>
      <c r="Y137" s="192">
        <v>0</v>
      </c>
      <c r="Z137" s="192">
        <v>0</v>
      </c>
      <c r="AA137" s="192">
        <v>0</v>
      </c>
      <c r="AB137" s="192">
        <v>7</v>
      </c>
      <c r="AC137" s="192">
        <v>0</v>
      </c>
      <c r="AD137" s="193">
        <v>11600000</v>
      </c>
      <c r="AE137" s="193">
        <v>0</v>
      </c>
      <c r="AF137" s="193">
        <v>0</v>
      </c>
      <c r="AG137" s="193">
        <v>0</v>
      </c>
      <c r="AH137" s="193">
        <v>0</v>
      </c>
      <c r="AI137" s="193">
        <v>0</v>
      </c>
      <c r="AJ137" s="193">
        <v>2900000</v>
      </c>
      <c r="AK137" s="193">
        <v>0</v>
      </c>
      <c r="AL137" s="193">
        <v>0</v>
      </c>
      <c r="AM137" s="193">
        <v>0</v>
      </c>
      <c r="AN137" s="193">
        <v>0</v>
      </c>
      <c r="AO137" s="193">
        <v>0</v>
      </c>
      <c r="AP137" s="193">
        <v>0</v>
      </c>
      <c r="AQ137" s="193">
        <v>0</v>
      </c>
      <c r="AR137" s="193">
        <v>5800000</v>
      </c>
      <c r="AS137" s="193">
        <v>0</v>
      </c>
      <c r="AT137" s="193">
        <v>0</v>
      </c>
      <c r="AU137" s="193">
        <v>0</v>
      </c>
      <c r="AV137" s="193">
        <v>0</v>
      </c>
      <c r="AW137" s="193">
        <v>0</v>
      </c>
      <c r="AX137" s="193">
        <v>0</v>
      </c>
      <c r="AY137" s="193">
        <v>0</v>
      </c>
      <c r="AZ137" s="193">
        <v>0</v>
      </c>
      <c r="BA137" s="193">
        <v>0</v>
      </c>
      <c r="BB137" s="193">
        <v>20300000</v>
      </c>
      <c r="BC137" s="193">
        <v>0</v>
      </c>
      <c r="BD137" s="193">
        <v>20300000</v>
      </c>
    </row>
    <row r="138" spans="1:56" s="188" customFormat="1">
      <c r="A138" s="189">
        <v>-7</v>
      </c>
      <c r="B138" s="204" t="s">
        <v>884</v>
      </c>
      <c r="C138" s="191">
        <v>3600000</v>
      </c>
      <c r="D138" s="192">
        <v>0</v>
      </c>
      <c r="E138" s="192">
        <v>0</v>
      </c>
      <c r="F138" s="192">
        <v>0</v>
      </c>
      <c r="G138" s="192">
        <v>0</v>
      </c>
      <c r="H138" s="192">
        <v>0</v>
      </c>
      <c r="I138" s="192">
        <v>0</v>
      </c>
      <c r="J138" s="192">
        <v>0</v>
      </c>
      <c r="K138" s="192">
        <v>0</v>
      </c>
      <c r="L138" s="192">
        <v>0</v>
      </c>
      <c r="M138" s="192">
        <v>0</v>
      </c>
      <c r="N138" s="192">
        <v>0</v>
      </c>
      <c r="O138" s="192">
        <v>0</v>
      </c>
      <c r="P138" s="192">
        <v>0</v>
      </c>
      <c r="Q138" s="192">
        <v>0</v>
      </c>
      <c r="R138" s="192">
        <v>2</v>
      </c>
      <c r="S138" s="192">
        <v>0</v>
      </c>
      <c r="T138" s="192">
        <v>0</v>
      </c>
      <c r="U138" s="192">
        <v>0</v>
      </c>
      <c r="V138" s="192">
        <v>0</v>
      </c>
      <c r="W138" s="192">
        <v>0</v>
      </c>
      <c r="X138" s="192">
        <v>0</v>
      </c>
      <c r="Y138" s="192">
        <v>0</v>
      </c>
      <c r="Z138" s="192">
        <v>0</v>
      </c>
      <c r="AA138" s="192">
        <v>0</v>
      </c>
      <c r="AB138" s="192">
        <v>2</v>
      </c>
      <c r="AC138" s="192">
        <v>0</v>
      </c>
      <c r="AD138" s="193">
        <v>0</v>
      </c>
      <c r="AE138" s="193">
        <v>0</v>
      </c>
      <c r="AF138" s="193">
        <v>0</v>
      </c>
      <c r="AG138" s="193">
        <v>0</v>
      </c>
      <c r="AH138" s="193">
        <v>0</v>
      </c>
      <c r="AI138" s="193">
        <v>0</v>
      </c>
      <c r="AJ138" s="193">
        <v>0</v>
      </c>
      <c r="AK138" s="193">
        <v>0</v>
      </c>
      <c r="AL138" s="193">
        <v>0</v>
      </c>
      <c r="AM138" s="193">
        <v>0</v>
      </c>
      <c r="AN138" s="193">
        <v>0</v>
      </c>
      <c r="AO138" s="193">
        <v>0</v>
      </c>
      <c r="AP138" s="193">
        <v>0</v>
      </c>
      <c r="AQ138" s="193">
        <v>0</v>
      </c>
      <c r="AR138" s="193">
        <v>7200000</v>
      </c>
      <c r="AS138" s="193">
        <v>0</v>
      </c>
      <c r="AT138" s="193">
        <v>0</v>
      </c>
      <c r="AU138" s="193">
        <v>0</v>
      </c>
      <c r="AV138" s="193">
        <v>0</v>
      </c>
      <c r="AW138" s="193">
        <v>0</v>
      </c>
      <c r="AX138" s="193">
        <v>0</v>
      </c>
      <c r="AY138" s="193">
        <v>0</v>
      </c>
      <c r="AZ138" s="193">
        <v>0</v>
      </c>
      <c r="BA138" s="193">
        <v>0</v>
      </c>
      <c r="BB138" s="193">
        <v>7200000</v>
      </c>
      <c r="BC138" s="193">
        <v>0</v>
      </c>
      <c r="BD138" s="193">
        <v>7200000</v>
      </c>
    </row>
    <row r="139" spans="1:56" s="188" customFormat="1">
      <c r="A139" s="189">
        <v>-8</v>
      </c>
      <c r="B139" s="204" t="s">
        <v>924</v>
      </c>
      <c r="C139" s="191">
        <v>100000</v>
      </c>
      <c r="D139" s="192">
        <v>0</v>
      </c>
      <c r="E139" s="192">
        <v>0</v>
      </c>
      <c r="F139" s="192">
        <v>0</v>
      </c>
      <c r="G139" s="192">
        <v>0</v>
      </c>
      <c r="H139" s="192">
        <v>0</v>
      </c>
      <c r="I139" s="192">
        <v>0</v>
      </c>
      <c r="J139" s="192">
        <v>0</v>
      </c>
      <c r="K139" s="192">
        <v>0</v>
      </c>
      <c r="L139" s="192">
        <v>0</v>
      </c>
      <c r="M139" s="192">
        <v>0</v>
      </c>
      <c r="N139" s="192">
        <v>0</v>
      </c>
      <c r="O139" s="192">
        <v>0</v>
      </c>
      <c r="P139" s="192">
        <v>0</v>
      </c>
      <c r="Q139" s="192">
        <v>0</v>
      </c>
      <c r="R139" s="192">
        <v>0</v>
      </c>
      <c r="S139" s="192">
        <v>0</v>
      </c>
      <c r="T139" s="192">
        <v>0</v>
      </c>
      <c r="U139" s="192">
        <v>0</v>
      </c>
      <c r="V139" s="192">
        <v>0</v>
      </c>
      <c r="W139" s="192">
        <v>0</v>
      </c>
      <c r="X139" s="192">
        <v>0</v>
      </c>
      <c r="Y139" s="192">
        <v>0</v>
      </c>
      <c r="Z139" s="192">
        <v>0</v>
      </c>
      <c r="AA139" s="192">
        <v>0</v>
      </c>
      <c r="AB139" s="192">
        <v>0</v>
      </c>
      <c r="AC139" s="192">
        <v>0</v>
      </c>
      <c r="AD139" s="193">
        <v>0</v>
      </c>
      <c r="AE139" s="193">
        <v>0</v>
      </c>
      <c r="AF139" s="193">
        <v>0</v>
      </c>
      <c r="AG139" s="193">
        <v>0</v>
      </c>
      <c r="AH139" s="193">
        <v>0</v>
      </c>
      <c r="AI139" s="193">
        <v>0</v>
      </c>
      <c r="AJ139" s="193">
        <v>0</v>
      </c>
      <c r="AK139" s="193">
        <v>0</v>
      </c>
      <c r="AL139" s="193">
        <v>0</v>
      </c>
      <c r="AM139" s="193">
        <v>0</v>
      </c>
      <c r="AN139" s="193">
        <v>0</v>
      </c>
      <c r="AO139" s="193">
        <v>0</v>
      </c>
      <c r="AP139" s="193">
        <v>0</v>
      </c>
      <c r="AQ139" s="193">
        <v>0</v>
      </c>
      <c r="AR139" s="193">
        <v>0</v>
      </c>
      <c r="AS139" s="193">
        <v>0</v>
      </c>
      <c r="AT139" s="193">
        <v>0</v>
      </c>
      <c r="AU139" s="193">
        <v>0</v>
      </c>
      <c r="AV139" s="193">
        <v>0</v>
      </c>
      <c r="AW139" s="193">
        <v>0</v>
      </c>
      <c r="AX139" s="193">
        <v>0</v>
      </c>
      <c r="AY139" s="193">
        <v>0</v>
      </c>
      <c r="AZ139" s="193">
        <v>0</v>
      </c>
      <c r="BA139" s="193">
        <v>0</v>
      </c>
      <c r="BB139" s="193">
        <v>0</v>
      </c>
      <c r="BC139" s="193">
        <v>0</v>
      </c>
      <c r="BD139" s="193">
        <v>0</v>
      </c>
    </row>
    <row r="140" spans="1:56" s="188" customFormat="1">
      <c r="A140" s="189">
        <v>-9</v>
      </c>
      <c r="B140" s="200" t="s">
        <v>886</v>
      </c>
      <c r="C140" s="191">
        <v>150000</v>
      </c>
      <c r="D140" s="192">
        <v>0</v>
      </c>
      <c r="E140" s="192">
        <v>0</v>
      </c>
      <c r="F140" s="192">
        <v>0</v>
      </c>
      <c r="G140" s="192">
        <v>0</v>
      </c>
      <c r="H140" s="192">
        <v>0</v>
      </c>
      <c r="I140" s="192">
        <v>0</v>
      </c>
      <c r="J140" s="192">
        <v>0</v>
      </c>
      <c r="K140" s="192">
        <v>0</v>
      </c>
      <c r="L140" s="192">
        <v>0</v>
      </c>
      <c r="M140" s="192">
        <v>0</v>
      </c>
      <c r="N140" s="192">
        <v>0</v>
      </c>
      <c r="O140" s="192">
        <v>0</v>
      </c>
      <c r="P140" s="192">
        <v>0</v>
      </c>
      <c r="Q140" s="192">
        <v>0</v>
      </c>
      <c r="R140" s="192">
        <v>0</v>
      </c>
      <c r="S140" s="192">
        <v>0</v>
      </c>
      <c r="T140" s="192">
        <v>0</v>
      </c>
      <c r="U140" s="192">
        <v>0</v>
      </c>
      <c r="V140" s="192">
        <v>0</v>
      </c>
      <c r="W140" s="192">
        <v>0</v>
      </c>
      <c r="X140" s="192">
        <v>0</v>
      </c>
      <c r="Y140" s="192">
        <v>0</v>
      </c>
      <c r="Z140" s="192">
        <v>0</v>
      </c>
      <c r="AA140" s="192">
        <v>0</v>
      </c>
      <c r="AB140" s="192">
        <v>0</v>
      </c>
      <c r="AC140" s="192">
        <v>0</v>
      </c>
      <c r="AD140" s="193">
        <v>0</v>
      </c>
      <c r="AE140" s="193">
        <v>0</v>
      </c>
      <c r="AF140" s="193">
        <v>0</v>
      </c>
      <c r="AG140" s="193">
        <v>0</v>
      </c>
      <c r="AH140" s="193">
        <v>0</v>
      </c>
      <c r="AI140" s="193">
        <v>0</v>
      </c>
      <c r="AJ140" s="193">
        <v>0</v>
      </c>
      <c r="AK140" s="193">
        <v>0</v>
      </c>
      <c r="AL140" s="193">
        <v>0</v>
      </c>
      <c r="AM140" s="193">
        <v>0</v>
      </c>
      <c r="AN140" s="193">
        <v>0</v>
      </c>
      <c r="AO140" s="193">
        <v>0</v>
      </c>
      <c r="AP140" s="193">
        <v>0</v>
      </c>
      <c r="AQ140" s="193">
        <v>0</v>
      </c>
      <c r="AR140" s="193">
        <v>0</v>
      </c>
      <c r="AS140" s="193">
        <v>0</v>
      </c>
      <c r="AT140" s="193">
        <v>0</v>
      </c>
      <c r="AU140" s="193">
        <v>0</v>
      </c>
      <c r="AV140" s="193">
        <v>0</v>
      </c>
      <c r="AW140" s="193">
        <v>0</v>
      </c>
      <c r="AX140" s="193">
        <v>0</v>
      </c>
      <c r="AY140" s="193">
        <v>0</v>
      </c>
      <c r="AZ140" s="193">
        <v>0</v>
      </c>
      <c r="BA140" s="193">
        <v>0</v>
      </c>
      <c r="BB140" s="193">
        <v>0</v>
      </c>
      <c r="BC140" s="193">
        <v>0</v>
      </c>
      <c r="BD140" s="193">
        <v>0</v>
      </c>
    </row>
    <row r="141" spans="1:56" s="188" customFormat="1">
      <c r="A141" s="189">
        <v>-10</v>
      </c>
      <c r="B141" s="190" t="s">
        <v>928</v>
      </c>
      <c r="C141" s="191">
        <v>180000</v>
      </c>
      <c r="D141" s="192">
        <v>0</v>
      </c>
      <c r="E141" s="192">
        <v>0</v>
      </c>
      <c r="F141" s="192">
        <v>0</v>
      </c>
      <c r="G141" s="192">
        <v>0</v>
      </c>
      <c r="H141" s="192">
        <v>0</v>
      </c>
      <c r="I141" s="192">
        <v>0</v>
      </c>
      <c r="J141" s="192">
        <v>0</v>
      </c>
      <c r="K141" s="192">
        <v>0</v>
      </c>
      <c r="L141" s="192">
        <v>0</v>
      </c>
      <c r="M141" s="192">
        <v>0</v>
      </c>
      <c r="N141" s="192">
        <v>0</v>
      </c>
      <c r="O141" s="192">
        <v>0</v>
      </c>
      <c r="P141" s="192">
        <v>0</v>
      </c>
      <c r="Q141" s="192">
        <v>0</v>
      </c>
      <c r="R141" s="192">
        <v>0</v>
      </c>
      <c r="S141" s="192">
        <v>0</v>
      </c>
      <c r="T141" s="192">
        <v>0</v>
      </c>
      <c r="U141" s="192">
        <v>0</v>
      </c>
      <c r="V141" s="192">
        <v>0</v>
      </c>
      <c r="W141" s="192">
        <v>0</v>
      </c>
      <c r="X141" s="192">
        <v>0</v>
      </c>
      <c r="Y141" s="192">
        <v>0</v>
      </c>
      <c r="Z141" s="192">
        <v>0</v>
      </c>
      <c r="AA141" s="192">
        <v>0</v>
      </c>
      <c r="AB141" s="192">
        <v>0</v>
      </c>
      <c r="AC141" s="192">
        <v>0</v>
      </c>
      <c r="AD141" s="193">
        <v>0</v>
      </c>
      <c r="AE141" s="193">
        <v>0</v>
      </c>
      <c r="AF141" s="193">
        <v>0</v>
      </c>
      <c r="AG141" s="193">
        <v>0</v>
      </c>
      <c r="AH141" s="193">
        <v>0</v>
      </c>
      <c r="AI141" s="193">
        <v>0</v>
      </c>
      <c r="AJ141" s="193">
        <v>0</v>
      </c>
      <c r="AK141" s="193">
        <v>0</v>
      </c>
      <c r="AL141" s="193">
        <v>0</v>
      </c>
      <c r="AM141" s="193">
        <v>0</v>
      </c>
      <c r="AN141" s="193">
        <v>0</v>
      </c>
      <c r="AO141" s="193">
        <v>0</v>
      </c>
      <c r="AP141" s="193">
        <v>0</v>
      </c>
      <c r="AQ141" s="193">
        <v>0</v>
      </c>
      <c r="AR141" s="193">
        <v>0</v>
      </c>
      <c r="AS141" s="193">
        <v>0</v>
      </c>
      <c r="AT141" s="193">
        <v>0</v>
      </c>
      <c r="AU141" s="193">
        <v>0</v>
      </c>
      <c r="AV141" s="193">
        <v>0</v>
      </c>
      <c r="AW141" s="193">
        <v>0</v>
      </c>
      <c r="AX141" s="193">
        <v>0</v>
      </c>
      <c r="AY141" s="193">
        <v>0</v>
      </c>
      <c r="AZ141" s="193">
        <v>0</v>
      </c>
      <c r="BA141" s="193">
        <v>0</v>
      </c>
      <c r="BB141" s="193">
        <v>0</v>
      </c>
      <c r="BC141" s="193">
        <v>0</v>
      </c>
      <c r="BD141" s="193">
        <v>0</v>
      </c>
    </row>
    <row r="142" spans="1:56" s="188" customFormat="1">
      <c r="A142" s="189">
        <v>-11</v>
      </c>
      <c r="B142" s="190" t="s">
        <v>844</v>
      </c>
      <c r="C142" s="191">
        <v>190000</v>
      </c>
      <c r="D142" s="192">
        <v>0</v>
      </c>
      <c r="E142" s="192">
        <v>0</v>
      </c>
      <c r="F142" s="192">
        <v>0</v>
      </c>
      <c r="G142" s="192">
        <v>0</v>
      </c>
      <c r="H142" s="192">
        <v>0</v>
      </c>
      <c r="I142" s="192">
        <v>0</v>
      </c>
      <c r="J142" s="192">
        <v>0</v>
      </c>
      <c r="K142" s="192">
        <v>0</v>
      </c>
      <c r="L142" s="192">
        <v>0</v>
      </c>
      <c r="M142" s="192">
        <v>0</v>
      </c>
      <c r="N142" s="192">
        <v>0</v>
      </c>
      <c r="O142" s="192">
        <v>0</v>
      </c>
      <c r="P142" s="192">
        <v>0</v>
      </c>
      <c r="Q142" s="192">
        <v>0</v>
      </c>
      <c r="R142" s="192">
        <v>0</v>
      </c>
      <c r="S142" s="192">
        <v>0</v>
      </c>
      <c r="T142" s="192">
        <v>0</v>
      </c>
      <c r="U142" s="192">
        <v>0</v>
      </c>
      <c r="V142" s="192">
        <v>0</v>
      </c>
      <c r="W142" s="192">
        <v>0</v>
      </c>
      <c r="X142" s="192">
        <v>0</v>
      </c>
      <c r="Y142" s="192">
        <v>0</v>
      </c>
      <c r="Z142" s="192">
        <v>0</v>
      </c>
      <c r="AA142" s="192">
        <v>0</v>
      </c>
      <c r="AB142" s="192">
        <v>0</v>
      </c>
      <c r="AC142" s="192">
        <v>0</v>
      </c>
      <c r="AD142" s="193">
        <v>0</v>
      </c>
      <c r="AE142" s="193">
        <v>0</v>
      </c>
      <c r="AF142" s="193">
        <v>0</v>
      </c>
      <c r="AG142" s="193">
        <v>0</v>
      </c>
      <c r="AH142" s="193">
        <v>0</v>
      </c>
      <c r="AI142" s="193">
        <v>0</v>
      </c>
      <c r="AJ142" s="193">
        <v>0</v>
      </c>
      <c r="AK142" s="193">
        <v>0</v>
      </c>
      <c r="AL142" s="193">
        <v>0</v>
      </c>
      <c r="AM142" s="193">
        <v>0</v>
      </c>
      <c r="AN142" s="193">
        <v>0</v>
      </c>
      <c r="AO142" s="193">
        <v>0</v>
      </c>
      <c r="AP142" s="193">
        <v>0</v>
      </c>
      <c r="AQ142" s="193">
        <v>0</v>
      </c>
      <c r="AR142" s="193">
        <v>0</v>
      </c>
      <c r="AS142" s="193">
        <v>0</v>
      </c>
      <c r="AT142" s="193">
        <v>0</v>
      </c>
      <c r="AU142" s="193">
        <v>0</v>
      </c>
      <c r="AV142" s="193">
        <v>0</v>
      </c>
      <c r="AW142" s="193">
        <v>0</v>
      </c>
      <c r="AX142" s="193">
        <v>0</v>
      </c>
      <c r="AY142" s="193">
        <v>0</v>
      </c>
      <c r="AZ142" s="193">
        <v>0</v>
      </c>
      <c r="BA142" s="193">
        <v>0</v>
      </c>
      <c r="BB142" s="193">
        <v>0</v>
      </c>
      <c r="BC142" s="193">
        <v>0</v>
      </c>
      <c r="BD142" s="193">
        <v>0</v>
      </c>
    </row>
    <row r="143" spans="1:56" s="188" customFormat="1">
      <c r="A143" s="189">
        <v>-12</v>
      </c>
      <c r="B143" s="190" t="s">
        <v>934</v>
      </c>
      <c r="C143" s="191">
        <v>200000</v>
      </c>
      <c r="D143" s="192">
        <v>5</v>
      </c>
      <c r="E143" s="192">
        <v>0</v>
      </c>
      <c r="F143" s="192">
        <v>0</v>
      </c>
      <c r="G143" s="192">
        <v>0</v>
      </c>
      <c r="H143" s="192">
        <v>0</v>
      </c>
      <c r="I143" s="192">
        <v>0</v>
      </c>
      <c r="J143" s="192">
        <v>1</v>
      </c>
      <c r="K143" s="192">
        <v>0</v>
      </c>
      <c r="L143" s="192">
        <v>0</v>
      </c>
      <c r="M143" s="192">
        <v>0</v>
      </c>
      <c r="N143" s="192">
        <v>1</v>
      </c>
      <c r="O143" s="192">
        <v>0</v>
      </c>
      <c r="P143" s="192">
        <v>0</v>
      </c>
      <c r="Q143" s="192">
        <v>0</v>
      </c>
      <c r="R143" s="192">
        <v>1</v>
      </c>
      <c r="S143" s="192">
        <v>0</v>
      </c>
      <c r="T143" s="192">
        <v>0</v>
      </c>
      <c r="U143" s="192">
        <v>0</v>
      </c>
      <c r="V143" s="192">
        <v>0</v>
      </c>
      <c r="W143" s="192">
        <v>0</v>
      </c>
      <c r="X143" s="192">
        <v>0</v>
      </c>
      <c r="Y143" s="192">
        <v>0</v>
      </c>
      <c r="Z143" s="192">
        <v>0</v>
      </c>
      <c r="AA143" s="192">
        <v>0</v>
      </c>
      <c r="AB143" s="192">
        <v>8</v>
      </c>
      <c r="AC143" s="192">
        <v>0</v>
      </c>
      <c r="AD143" s="193">
        <v>1000000</v>
      </c>
      <c r="AE143" s="193">
        <v>0</v>
      </c>
      <c r="AF143" s="193">
        <v>0</v>
      </c>
      <c r="AG143" s="193">
        <v>0</v>
      </c>
      <c r="AH143" s="193">
        <v>0</v>
      </c>
      <c r="AI143" s="193">
        <v>0</v>
      </c>
      <c r="AJ143" s="193">
        <v>200000</v>
      </c>
      <c r="AK143" s="193">
        <v>0</v>
      </c>
      <c r="AL143" s="193">
        <v>0</v>
      </c>
      <c r="AM143" s="193">
        <v>0</v>
      </c>
      <c r="AN143" s="193">
        <v>200000</v>
      </c>
      <c r="AO143" s="193">
        <v>0</v>
      </c>
      <c r="AP143" s="193">
        <v>0</v>
      </c>
      <c r="AQ143" s="193">
        <v>0</v>
      </c>
      <c r="AR143" s="193">
        <v>200000</v>
      </c>
      <c r="AS143" s="193">
        <v>0</v>
      </c>
      <c r="AT143" s="193">
        <v>0</v>
      </c>
      <c r="AU143" s="193">
        <v>0</v>
      </c>
      <c r="AV143" s="193">
        <v>0</v>
      </c>
      <c r="AW143" s="193">
        <v>0</v>
      </c>
      <c r="AX143" s="193">
        <v>0</v>
      </c>
      <c r="AY143" s="193">
        <v>0</v>
      </c>
      <c r="AZ143" s="193">
        <v>0</v>
      </c>
      <c r="BA143" s="193">
        <v>0</v>
      </c>
      <c r="BB143" s="193">
        <v>1600000</v>
      </c>
      <c r="BC143" s="193">
        <v>0</v>
      </c>
      <c r="BD143" s="193">
        <v>1600000</v>
      </c>
    </row>
    <row r="144" spans="1:56" s="188" customFormat="1">
      <c r="A144" s="189">
        <v>-13</v>
      </c>
      <c r="B144" s="190" t="s">
        <v>850</v>
      </c>
      <c r="C144" s="191">
        <v>225000</v>
      </c>
      <c r="D144" s="192">
        <v>0</v>
      </c>
      <c r="E144" s="192">
        <v>0</v>
      </c>
      <c r="F144" s="192">
        <v>0</v>
      </c>
      <c r="G144" s="192">
        <v>0</v>
      </c>
      <c r="H144" s="192">
        <v>0</v>
      </c>
      <c r="I144" s="192">
        <v>0</v>
      </c>
      <c r="J144" s="192">
        <v>0</v>
      </c>
      <c r="K144" s="192">
        <v>0</v>
      </c>
      <c r="L144" s="192">
        <v>0</v>
      </c>
      <c r="M144" s="192">
        <v>0</v>
      </c>
      <c r="N144" s="192">
        <v>0</v>
      </c>
      <c r="O144" s="192">
        <v>0</v>
      </c>
      <c r="P144" s="192">
        <v>0</v>
      </c>
      <c r="Q144" s="192">
        <v>0</v>
      </c>
      <c r="R144" s="192">
        <v>0</v>
      </c>
      <c r="S144" s="192">
        <v>0</v>
      </c>
      <c r="T144" s="192">
        <v>0</v>
      </c>
      <c r="U144" s="192">
        <v>0</v>
      </c>
      <c r="V144" s="192">
        <v>0</v>
      </c>
      <c r="W144" s="192">
        <v>0</v>
      </c>
      <c r="X144" s="192">
        <v>0</v>
      </c>
      <c r="Y144" s="192">
        <v>0</v>
      </c>
      <c r="Z144" s="192">
        <v>0</v>
      </c>
      <c r="AA144" s="192">
        <v>0</v>
      </c>
      <c r="AB144" s="192">
        <v>0</v>
      </c>
      <c r="AC144" s="192">
        <v>0</v>
      </c>
      <c r="AD144" s="193">
        <v>0</v>
      </c>
      <c r="AE144" s="193">
        <v>0</v>
      </c>
      <c r="AF144" s="193">
        <v>0</v>
      </c>
      <c r="AG144" s="193">
        <v>0</v>
      </c>
      <c r="AH144" s="193">
        <v>0</v>
      </c>
      <c r="AI144" s="193">
        <v>0</v>
      </c>
      <c r="AJ144" s="193">
        <v>0</v>
      </c>
      <c r="AK144" s="193">
        <v>0</v>
      </c>
      <c r="AL144" s="193">
        <v>0</v>
      </c>
      <c r="AM144" s="193">
        <v>0</v>
      </c>
      <c r="AN144" s="193">
        <v>0</v>
      </c>
      <c r="AO144" s="193">
        <v>0</v>
      </c>
      <c r="AP144" s="193">
        <v>0</v>
      </c>
      <c r="AQ144" s="193">
        <v>0</v>
      </c>
      <c r="AR144" s="193">
        <v>0</v>
      </c>
      <c r="AS144" s="193">
        <v>0</v>
      </c>
      <c r="AT144" s="193">
        <v>0</v>
      </c>
      <c r="AU144" s="193">
        <v>0</v>
      </c>
      <c r="AV144" s="193">
        <v>0</v>
      </c>
      <c r="AW144" s="193">
        <v>0</v>
      </c>
      <c r="AX144" s="193">
        <v>0</v>
      </c>
      <c r="AY144" s="193">
        <v>0</v>
      </c>
      <c r="AZ144" s="193">
        <v>0</v>
      </c>
      <c r="BA144" s="193">
        <v>0</v>
      </c>
      <c r="BB144" s="193">
        <v>0</v>
      </c>
      <c r="BC144" s="193">
        <v>0</v>
      </c>
      <c r="BD144" s="193">
        <v>0</v>
      </c>
    </row>
    <row r="145" spans="1:56" s="188" customFormat="1">
      <c r="A145" s="189">
        <v>-14</v>
      </c>
      <c r="B145" s="190" t="s">
        <v>930</v>
      </c>
      <c r="C145" s="191">
        <v>280000</v>
      </c>
      <c r="D145" s="192">
        <v>5</v>
      </c>
      <c r="E145" s="192">
        <v>0</v>
      </c>
      <c r="F145" s="192">
        <v>0</v>
      </c>
      <c r="G145" s="192">
        <v>0</v>
      </c>
      <c r="H145" s="192">
        <v>0</v>
      </c>
      <c r="I145" s="192">
        <v>0</v>
      </c>
      <c r="J145" s="192">
        <v>0</v>
      </c>
      <c r="K145" s="192">
        <v>0</v>
      </c>
      <c r="L145" s="192">
        <v>0</v>
      </c>
      <c r="M145" s="192">
        <v>0</v>
      </c>
      <c r="N145" s="192">
        <v>0</v>
      </c>
      <c r="O145" s="192">
        <v>0</v>
      </c>
      <c r="P145" s="192">
        <v>0</v>
      </c>
      <c r="Q145" s="192">
        <v>0</v>
      </c>
      <c r="R145" s="192">
        <v>0</v>
      </c>
      <c r="S145" s="192">
        <v>0</v>
      </c>
      <c r="T145" s="192">
        <v>0</v>
      </c>
      <c r="U145" s="192">
        <v>0</v>
      </c>
      <c r="V145" s="192">
        <v>0</v>
      </c>
      <c r="W145" s="192">
        <v>0</v>
      </c>
      <c r="X145" s="192">
        <v>0</v>
      </c>
      <c r="Y145" s="192">
        <v>0</v>
      </c>
      <c r="Z145" s="192">
        <v>0</v>
      </c>
      <c r="AA145" s="192">
        <v>0</v>
      </c>
      <c r="AB145" s="192">
        <v>5</v>
      </c>
      <c r="AC145" s="192">
        <v>0</v>
      </c>
      <c r="AD145" s="193">
        <v>1400000</v>
      </c>
      <c r="AE145" s="193">
        <v>0</v>
      </c>
      <c r="AF145" s="193">
        <v>0</v>
      </c>
      <c r="AG145" s="193">
        <v>0</v>
      </c>
      <c r="AH145" s="193">
        <v>0</v>
      </c>
      <c r="AI145" s="193">
        <v>0</v>
      </c>
      <c r="AJ145" s="193">
        <v>0</v>
      </c>
      <c r="AK145" s="193">
        <v>0</v>
      </c>
      <c r="AL145" s="193">
        <v>0</v>
      </c>
      <c r="AM145" s="193">
        <v>0</v>
      </c>
      <c r="AN145" s="193">
        <v>0</v>
      </c>
      <c r="AO145" s="193">
        <v>0</v>
      </c>
      <c r="AP145" s="193">
        <v>0</v>
      </c>
      <c r="AQ145" s="193">
        <v>0</v>
      </c>
      <c r="AR145" s="193">
        <v>0</v>
      </c>
      <c r="AS145" s="193">
        <v>0</v>
      </c>
      <c r="AT145" s="193">
        <v>0</v>
      </c>
      <c r="AU145" s="193">
        <v>0</v>
      </c>
      <c r="AV145" s="193">
        <v>0</v>
      </c>
      <c r="AW145" s="193">
        <v>0</v>
      </c>
      <c r="AX145" s="193">
        <v>0</v>
      </c>
      <c r="AY145" s="193">
        <v>0</v>
      </c>
      <c r="AZ145" s="193">
        <v>0</v>
      </c>
      <c r="BA145" s="193">
        <v>0</v>
      </c>
      <c r="BB145" s="193">
        <v>1400000</v>
      </c>
      <c r="BC145" s="193">
        <v>0</v>
      </c>
      <c r="BD145" s="193">
        <v>1400000</v>
      </c>
    </row>
    <row r="146" spans="1:56" s="188" customFormat="1">
      <c r="A146" s="189">
        <v>-15</v>
      </c>
      <c r="B146" s="190" t="s">
        <v>931</v>
      </c>
      <c r="C146" s="191">
        <v>300000</v>
      </c>
      <c r="D146" s="192">
        <v>0</v>
      </c>
      <c r="E146" s="192">
        <v>0</v>
      </c>
      <c r="F146" s="192">
        <v>0</v>
      </c>
      <c r="G146" s="192">
        <v>0</v>
      </c>
      <c r="H146" s="192">
        <v>0</v>
      </c>
      <c r="I146" s="192">
        <v>0</v>
      </c>
      <c r="J146" s="192">
        <v>0</v>
      </c>
      <c r="K146" s="192">
        <v>0</v>
      </c>
      <c r="L146" s="192">
        <v>0</v>
      </c>
      <c r="M146" s="192">
        <v>0</v>
      </c>
      <c r="N146" s="192">
        <v>0</v>
      </c>
      <c r="O146" s="192">
        <v>0</v>
      </c>
      <c r="P146" s="192">
        <v>0</v>
      </c>
      <c r="Q146" s="192">
        <v>0</v>
      </c>
      <c r="R146" s="192">
        <v>0</v>
      </c>
      <c r="S146" s="192">
        <v>0</v>
      </c>
      <c r="T146" s="192">
        <v>0</v>
      </c>
      <c r="U146" s="192">
        <v>0</v>
      </c>
      <c r="V146" s="192">
        <v>0</v>
      </c>
      <c r="W146" s="192">
        <v>0</v>
      </c>
      <c r="X146" s="192">
        <v>0</v>
      </c>
      <c r="Y146" s="192">
        <v>0</v>
      </c>
      <c r="Z146" s="192">
        <v>0</v>
      </c>
      <c r="AA146" s="192">
        <v>0</v>
      </c>
      <c r="AB146" s="192">
        <v>0</v>
      </c>
      <c r="AC146" s="192">
        <v>0</v>
      </c>
      <c r="AD146" s="193">
        <v>0</v>
      </c>
      <c r="AE146" s="193">
        <v>0</v>
      </c>
      <c r="AF146" s="193">
        <v>0</v>
      </c>
      <c r="AG146" s="193">
        <v>0</v>
      </c>
      <c r="AH146" s="193">
        <v>0</v>
      </c>
      <c r="AI146" s="193">
        <v>0</v>
      </c>
      <c r="AJ146" s="193">
        <v>0</v>
      </c>
      <c r="AK146" s="193">
        <v>0</v>
      </c>
      <c r="AL146" s="193">
        <v>0</v>
      </c>
      <c r="AM146" s="193">
        <v>0</v>
      </c>
      <c r="AN146" s="193">
        <v>0</v>
      </c>
      <c r="AO146" s="193">
        <v>0</v>
      </c>
      <c r="AP146" s="193">
        <v>0</v>
      </c>
      <c r="AQ146" s="193">
        <v>0</v>
      </c>
      <c r="AR146" s="193">
        <v>0</v>
      </c>
      <c r="AS146" s="193">
        <v>0</v>
      </c>
      <c r="AT146" s="193">
        <v>0</v>
      </c>
      <c r="AU146" s="193">
        <v>0</v>
      </c>
      <c r="AV146" s="193">
        <v>0</v>
      </c>
      <c r="AW146" s="193">
        <v>0</v>
      </c>
      <c r="AX146" s="193">
        <v>0</v>
      </c>
      <c r="AY146" s="193">
        <v>0</v>
      </c>
      <c r="AZ146" s="193">
        <v>0</v>
      </c>
      <c r="BA146" s="193">
        <v>0</v>
      </c>
      <c r="BB146" s="193">
        <v>0</v>
      </c>
      <c r="BC146" s="193">
        <v>0</v>
      </c>
      <c r="BD146" s="193">
        <v>0</v>
      </c>
    </row>
    <row r="147" spans="1:56" s="188" customFormat="1">
      <c r="A147" s="189">
        <v>-16</v>
      </c>
      <c r="B147" s="190" t="s">
        <v>890</v>
      </c>
      <c r="C147" s="191">
        <v>300000</v>
      </c>
      <c r="D147" s="192">
        <v>0</v>
      </c>
      <c r="E147" s="192">
        <v>0</v>
      </c>
      <c r="F147" s="192">
        <v>0</v>
      </c>
      <c r="G147" s="192">
        <v>0</v>
      </c>
      <c r="H147" s="192">
        <v>0</v>
      </c>
      <c r="I147" s="192">
        <v>0</v>
      </c>
      <c r="J147" s="192">
        <v>0</v>
      </c>
      <c r="K147" s="192">
        <v>0</v>
      </c>
      <c r="L147" s="192">
        <v>0</v>
      </c>
      <c r="M147" s="192">
        <v>0</v>
      </c>
      <c r="N147" s="192">
        <v>0</v>
      </c>
      <c r="O147" s="192">
        <v>0</v>
      </c>
      <c r="P147" s="192">
        <v>0</v>
      </c>
      <c r="Q147" s="192">
        <v>0</v>
      </c>
      <c r="R147" s="192">
        <v>0</v>
      </c>
      <c r="S147" s="192">
        <v>0</v>
      </c>
      <c r="T147" s="192">
        <v>0</v>
      </c>
      <c r="U147" s="192">
        <v>0</v>
      </c>
      <c r="V147" s="192">
        <v>0</v>
      </c>
      <c r="W147" s="192">
        <v>0</v>
      </c>
      <c r="X147" s="192">
        <v>0</v>
      </c>
      <c r="Y147" s="192">
        <v>0</v>
      </c>
      <c r="Z147" s="192">
        <v>0</v>
      </c>
      <c r="AA147" s="192">
        <v>0</v>
      </c>
      <c r="AB147" s="192">
        <v>0</v>
      </c>
      <c r="AC147" s="192">
        <v>0</v>
      </c>
      <c r="AD147" s="193">
        <v>0</v>
      </c>
      <c r="AE147" s="193">
        <v>0</v>
      </c>
      <c r="AF147" s="193">
        <v>0</v>
      </c>
      <c r="AG147" s="193">
        <v>0</v>
      </c>
      <c r="AH147" s="193">
        <v>0</v>
      </c>
      <c r="AI147" s="193">
        <v>0</v>
      </c>
      <c r="AJ147" s="193">
        <v>0</v>
      </c>
      <c r="AK147" s="193">
        <v>0</v>
      </c>
      <c r="AL147" s="193">
        <v>0</v>
      </c>
      <c r="AM147" s="193">
        <v>0</v>
      </c>
      <c r="AN147" s="193">
        <v>0</v>
      </c>
      <c r="AO147" s="193">
        <v>0</v>
      </c>
      <c r="AP147" s="193">
        <v>0</v>
      </c>
      <c r="AQ147" s="193">
        <v>0</v>
      </c>
      <c r="AR147" s="193">
        <v>0</v>
      </c>
      <c r="AS147" s="193">
        <v>0</v>
      </c>
      <c r="AT147" s="193">
        <v>0</v>
      </c>
      <c r="AU147" s="193">
        <v>0</v>
      </c>
      <c r="AV147" s="193">
        <v>0</v>
      </c>
      <c r="AW147" s="193">
        <v>0</v>
      </c>
      <c r="AX147" s="193">
        <v>0</v>
      </c>
      <c r="AY147" s="193">
        <v>0</v>
      </c>
      <c r="AZ147" s="193">
        <v>0</v>
      </c>
      <c r="BA147" s="193">
        <v>0</v>
      </c>
      <c r="BB147" s="193">
        <v>0</v>
      </c>
      <c r="BC147" s="193">
        <v>0</v>
      </c>
      <c r="BD147" s="193">
        <v>0</v>
      </c>
    </row>
    <row r="148" spans="1:56" s="188" customFormat="1">
      <c r="A148" s="189">
        <v>-17</v>
      </c>
      <c r="B148" s="190" t="s">
        <v>854</v>
      </c>
      <c r="C148" s="191">
        <v>300000</v>
      </c>
      <c r="D148" s="192">
        <v>0</v>
      </c>
      <c r="E148" s="192">
        <v>0</v>
      </c>
      <c r="F148" s="192">
        <v>0</v>
      </c>
      <c r="G148" s="192">
        <v>0</v>
      </c>
      <c r="H148" s="192">
        <v>0</v>
      </c>
      <c r="I148" s="192">
        <v>0</v>
      </c>
      <c r="J148" s="192">
        <v>1</v>
      </c>
      <c r="K148" s="192">
        <v>0</v>
      </c>
      <c r="L148" s="192">
        <v>0</v>
      </c>
      <c r="M148" s="192">
        <v>0</v>
      </c>
      <c r="N148" s="192">
        <v>0</v>
      </c>
      <c r="O148" s="192">
        <v>0</v>
      </c>
      <c r="P148" s="192">
        <v>0</v>
      </c>
      <c r="Q148" s="192">
        <v>0</v>
      </c>
      <c r="R148" s="192">
        <v>1</v>
      </c>
      <c r="S148" s="192">
        <v>0</v>
      </c>
      <c r="T148" s="192">
        <v>0</v>
      </c>
      <c r="U148" s="192">
        <v>0</v>
      </c>
      <c r="V148" s="192">
        <v>0</v>
      </c>
      <c r="W148" s="192">
        <v>0</v>
      </c>
      <c r="X148" s="192">
        <v>0</v>
      </c>
      <c r="Y148" s="192">
        <v>0</v>
      </c>
      <c r="Z148" s="192">
        <v>0</v>
      </c>
      <c r="AA148" s="192">
        <v>0</v>
      </c>
      <c r="AB148" s="192">
        <v>2</v>
      </c>
      <c r="AC148" s="192">
        <v>0</v>
      </c>
      <c r="AD148" s="193">
        <v>0</v>
      </c>
      <c r="AE148" s="193">
        <v>0</v>
      </c>
      <c r="AF148" s="193">
        <v>0</v>
      </c>
      <c r="AG148" s="193">
        <v>0</v>
      </c>
      <c r="AH148" s="193">
        <v>0</v>
      </c>
      <c r="AI148" s="193">
        <v>0</v>
      </c>
      <c r="AJ148" s="193">
        <v>300000</v>
      </c>
      <c r="AK148" s="193">
        <v>0</v>
      </c>
      <c r="AL148" s="193">
        <v>0</v>
      </c>
      <c r="AM148" s="193">
        <v>0</v>
      </c>
      <c r="AN148" s="193">
        <v>0</v>
      </c>
      <c r="AO148" s="193">
        <v>0</v>
      </c>
      <c r="AP148" s="193">
        <v>0</v>
      </c>
      <c r="AQ148" s="193">
        <v>0</v>
      </c>
      <c r="AR148" s="193">
        <v>300000</v>
      </c>
      <c r="AS148" s="193">
        <v>0</v>
      </c>
      <c r="AT148" s="193">
        <v>0</v>
      </c>
      <c r="AU148" s="193">
        <v>0</v>
      </c>
      <c r="AV148" s="193">
        <v>0</v>
      </c>
      <c r="AW148" s="193">
        <v>0</v>
      </c>
      <c r="AX148" s="193">
        <v>0</v>
      </c>
      <c r="AY148" s="193">
        <v>0</v>
      </c>
      <c r="AZ148" s="193">
        <v>0</v>
      </c>
      <c r="BA148" s="193">
        <v>0</v>
      </c>
      <c r="BB148" s="193">
        <v>600000</v>
      </c>
      <c r="BC148" s="193">
        <v>0</v>
      </c>
      <c r="BD148" s="193">
        <v>600000</v>
      </c>
    </row>
    <row r="149" spans="1:56" s="229" customFormat="1">
      <c r="A149" s="189">
        <v>-18</v>
      </c>
      <c r="B149" s="194" t="s">
        <v>855</v>
      </c>
      <c r="C149" s="191">
        <v>340000</v>
      </c>
      <c r="D149" s="192">
        <v>0</v>
      </c>
      <c r="E149" s="192">
        <v>0</v>
      </c>
      <c r="F149" s="192">
        <v>0</v>
      </c>
      <c r="G149" s="192">
        <v>0</v>
      </c>
      <c r="H149" s="192">
        <v>0</v>
      </c>
      <c r="I149" s="192">
        <v>0</v>
      </c>
      <c r="J149" s="192">
        <v>0</v>
      </c>
      <c r="K149" s="192">
        <v>0</v>
      </c>
      <c r="L149" s="192">
        <v>0</v>
      </c>
      <c r="M149" s="192">
        <v>0</v>
      </c>
      <c r="N149" s="192">
        <v>0</v>
      </c>
      <c r="O149" s="192">
        <v>0</v>
      </c>
      <c r="P149" s="192">
        <v>0</v>
      </c>
      <c r="Q149" s="192">
        <v>0</v>
      </c>
      <c r="R149" s="192">
        <v>0</v>
      </c>
      <c r="S149" s="192">
        <v>0</v>
      </c>
      <c r="T149" s="192">
        <v>0</v>
      </c>
      <c r="U149" s="192">
        <v>0</v>
      </c>
      <c r="V149" s="192">
        <v>0</v>
      </c>
      <c r="W149" s="192">
        <v>0</v>
      </c>
      <c r="X149" s="192">
        <v>0</v>
      </c>
      <c r="Y149" s="192">
        <v>0</v>
      </c>
      <c r="Z149" s="192">
        <v>0</v>
      </c>
      <c r="AA149" s="192">
        <v>0</v>
      </c>
      <c r="AB149" s="192">
        <v>0</v>
      </c>
      <c r="AC149" s="192">
        <v>0</v>
      </c>
      <c r="AD149" s="193">
        <v>0</v>
      </c>
      <c r="AE149" s="193">
        <v>0</v>
      </c>
      <c r="AF149" s="193">
        <v>0</v>
      </c>
      <c r="AG149" s="193">
        <v>0</v>
      </c>
      <c r="AH149" s="193">
        <v>0</v>
      </c>
      <c r="AI149" s="193">
        <v>0</v>
      </c>
      <c r="AJ149" s="193">
        <v>0</v>
      </c>
      <c r="AK149" s="193">
        <v>0</v>
      </c>
      <c r="AL149" s="193">
        <v>0</v>
      </c>
      <c r="AM149" s="193">
        <v>0</v>
      </c>
      <c r="AN149" s="193">
        <v>0</v>
      </c>
      <c r="AO149" s="193">
        <v>0</v>
      </c>
      <c r="AP149" s="193">
        <v>0</v>
      </c>
      <c r="AQ149" s="193">
        <v>0</v>
      </c>
      <c r="AR149" s="193">
        <v>0</v>
      </c>
      <c r="AS149" s="193">
        <v>0</v>
      </c>
      <c r="AT149" s="193">
        <v>0</v>
      </c>
      <c r="AU149" s="193">
        <v>0</v>
      </c>
      <c r="AV149" s="193">
        <v>0</v>
      </c>
      <c r="AW149" s="193">
        <v>0</v>
      </c>
      <c r="AX149" s="193">
        <v>0</v>
      </c>
      <c r="AY149" s="193">
        <v>0</v>
      </c>
      <c r="AZ149" s="193">
        <v>0</v>
      </c>
      <c r="BA149" s="193">
        <v>0</v>
      </c>
      <c r="BB149" s="193">
        <v>0</v>
      </c>
      <c r="BC149" s="193">
        <v>0</v>
      </c>
      <c r="BD149" s="193">
        <v>0</v>
      </c>
    </row>
    <row r="150" spans="1:56" s="229" customFormat="1">
      <c r="A150" s="189">
        <v>-19</v>
      </c>
      <c r="B150" s="194" t="s">
        <v>932</v>
      </c>
      <c r="C150" s="191">
        <v>340000</v>
      </c>
      <c r="D150" s="192">
        <v>0</v>
      </c>
      <c r="E150" s="192">
        <v>0</v>
      </c>
      <c r="F150" s="192">
        <v>0</v>
      </c>
      <c r="G150" s="192">
        <v>0</v>
      </c>
      <c r="H150" s="192">
        <v>0</v>
      </c>
      <c r="I150" s="192">
        <v>0</v>
      </c>
      <c r="J150" s="192">
        <v>0</v>
      </c>
      <c r="K150" s="192">
        <v>0</v>
      </c>
      <c r="L150" s="192">
        <v>0</v>
      </c>
      <c r="M150" s="192">
        <v>0</v>
      </c>
      <c r="N150" s="192">
        <v>0</v>
      </c>
      <c r="O150" s="192">
        <v>0</v>
      </c>
      <c r="P150" s="192">
        <v>0</v>
      </c>
      <c r="Q150" s="192">
        <v>0</v>
      </c>
      <c r="R150" s="192">
        <v>0</v>
      </c>
      <c r="S150" s="192">
        <v>0</v>
      </c>
      <c r="T150" s="192">
        <v>0</v>
      </c>
      <c r="U150" s="192">
        <v>0</v>
      </c>
      <c r="V150" s="192">
        <v>0</v>
      </c>
      <c r="W150" s="192">
        <v>0</v>
      </c>
      <c r="X150" s="192">
        <v>0</v>
      </c>
      <c r="Y150" s="192">
        <v>0</v>
      </c>
      <c r="Z150" s="192">
        <v>0</v>
      </c>
      <c r="AA150" s="192">
        <v>0</v>
      </c>
      <c r="AB150" s="192">
        <v>0</v>
      </c>
      <c r="AC150" s="192">
        <v>0</v>
      </c>
      <c r="AD150" s="193">
        <v>0</v>
      </c>
      <c r="AE150" s="193">
        <v>0</v>
      </c>
      <c r="AF150" s="193">
        <v>0</v>
      </c>
      <c r="AG150" s="193">
        <v>0</v>
      </c>
      <c r="AH150" s="193">
        <v>0</v>
      </c>
      <c r="AI150" s="193">
        <v>0</v>
      </c>
      <c r="AJ150" s="193">
        <v>0</v>
      </c>
      <c r="AK150" s="193">
        <v>0</v>
      </c>
      <c r="AL150" s="193">
        <v>0</v>
      </c>
      <c r="AM150" s="193">
        <v>0</v>
      </c>
      <c r="AN150" s="193">
        <v>0</v>
      </c>
      <c r="AO150" s="193">
        <v>0</v>
      </c>
      <c r="AP150" s="193">
        <v>0</v>
      </c>
      <c r="AQ150" s="193">
        <v>0</v>
      </c>
      <c r="AR150" s="193">
        <v>0</v>
      </c>
      <c r="AS150" s="193">
        <v>0</v>
      </c>
      <c r="AT150" s="193">
        <v>0</v>
      </c>
      <c r="AU150" s="193">
        <v>0</v>
      </c>
      <c r="AV150" s="193">
        <v>0</v>
      </c>
      <c r="AW150" s="193">
        <v>0</v>
      </c>
      <c r="AX150" s="193">
        <v>0</v>
      </c>
      <c r="AY150" s="193">
        <v>0</v>
      </c>
      <c r="AZ150" s="193">
        <v>0</v>
      </c>
      <c r="BA150" s="193">
        <v>0</v>
      </c>
      <c r="BB150" s="193">
        <v>0</v>
      </c>
      <c r="BC150" s="193">
        <v>0</v>
      </c>
      <c r="BD150" s="193">
        <v>0</v>
      </c>
    </row>
    <row r="151" spans="1:56" s="188" customFormat="1">
      <c r="A151" s="189">
        <v>-20</v>
      </c>
      <c r="B151" s="190" t="s">
        <v>892</v>
      </c>
      <c r="C151" s="191">
        <v>340000</v>
      </c>
      <c r="D151" s="192">
        <v>0</v>
      </c>
      <c r="E151" s="192">
        <v>0</v>
      </c>
      <c r="F151" s="192">
        <v>0</v>
      </c>
      <c r="G151" s="192">
        <v>0</v>
      </c>
      <c r="H151" s="192">
        <v>0</v>
      </c>
      <c r="I151" s="192">
        <v>0</v>
      </c>
      <c r="J151" s="192">
        <v>2</v>
      </c>
      <c r="K151" s="192">
        <v>0</v>
      </c>
      <c r="L151" s="192">
        <v>0</v>
      </c>
      <c r="M151" s="192">
        <v>0</v>
      </c>
      <c r="N151" s="192">
        <v>1</v>
      </c>
      <c r="O151" s="192">
        <v>0</v>
      </c>
      <c r="P151" s="192">
        <v>0</v>
      </c>
      <c r="Q151" s="192">
        <v>0</v>
      </c>
      <c r="R151" s="192">
        <v>0</v>
      </c>
      <c r="S151" s="192">
        <v>1</v>
      </c>
      <c r="T151" s="192">
        <v>0</v>
      </c>
      <c r="U151" s="192">
        <v>0</v>
      </c>
      <c r="V151" s="192">
        <v>0</v>
      </c>
      <c r="W151" s="192">
        <v>0</v>
      </c>
      <c r="X151" s="192">
        <v>0</v>
      </c>
      <c r="Y151" s="192">
        <v>0</v>
      </c>
      <c r="Z151" s="192">
        <v>0</v>
      </c>
      <c r="AA151" s="192">
        <v>0</v>
      </c>
      <c r="AB151" s="192">
        <v>3</v>
      </c>
      <c r="AC151" s="192">
        <v>1</v>
      </c>
      <c r="AD151" s="193">
        <v>0</v>
      </c>
      <c r="AE151" s="193">
        <v>0</v>
      </c>
      <c r="AF151" s="193">
        <v>0</v>
      </c>
      <c r="AG151" s="193">
        <v>0</v>
      </c>
      <c r="AH151" s="193">
        <v>0</v>
      </c>
      <c r="AI151" s="193">
        <v>0</v>
      </c>
      <c r="AJ151" s="193">
        <v>680000</v>
      </c>
      <c r="AK151" s="193">
        <v>0</v>
      </c>
      <c r="AL151" s="193">
        <v>0</v>
      </c>
      <c r="AM151" s="193">
        <v>0</v>
      </c>
      <c r="AN151" s="193">
        <v>340000</v>
      </c>
      <c r="AO151" s="193">
        <v>0</v>
      </c>
      <c r="AP151" s="193">
        <v>0</v>
      </c>
      <c r="AQ151" s="193">
        <v>0</v>
      </c>
      <c r="AR151" s="193">
        <v>0</v>
      </c>
      <c r="AS151" s="193">
        <v>340000</v>
      </c>
      <c r="AT151" s="193">
        <v>0</v>
      </c>
      <c r="AU151" s="193">
        <v>0</v>
      </c>
      <c r="AV151" s="193">
        <v>0</v>
      </c>
      <c r="AW151" s="193">
        <v>0</v>
      </c>
      <c r="AX151" s="193">
        <v>0</v>
      </c>
      <c r="AY151" s="193">
        <v>0</v>
      </c>
      <c r="AZ151" s="193">
        <v>0</v>
      </c>
      <c r="BA151" s="193">
        <v>0</v>
      </c>
      <c r="BB151" s="193">
        <v>1020000</v>
      </c>
      <c r="BC151" s="193">
        <v>340000</v>
      </c>
      <c r="BD151" s="193">
        <v>1360000</v>
      </c>
    </row>
    <row r="152" spans="1:56" s="188" customFormat="1">
      <c r="A152" s="189">
        <v>-21</v>
      </c>
      <c r="B152" s="190" t="s">
        <v>933</v>
      </c>
      <c r="C152" s="191">
        <v>450000</v>
      </c>
      <c r="D152" s="192">
        <v>0</v>
      </c>
      <c r="E152" s="192">
        <v>0</v>
      </c>
      <c r="F152" s="192">
        <v>0</v>
      </c>
      <c r="G152" s="192">
        <v>0</v>
      </c>
      <c r="H152" s="192">
        <v>0</v>
      </c>
      <c r="I152" s="192">
        <v>0</v>
      </c>
      <c r="J152" s="192">
        <v>0</v>
      </c>
      <c r="K152" s="192">
        <v>0</v>
      </c>
      <c r="L152" s="192">
        <v>0</v>
      </c>
      <c r="M152" s="192">
        <v>0</v>
      </c>
      <c r="N152" s="192">
        <v>0</v>
      </c>
      <c r="O152" s="192">
        <v>0</v>
      </c>
      <c r="P152" s="192">
        <v>0</v>
      </c>
      <c r="Q152" s="192">
        <v>0</v>
      </c>
      <c r="R152" s="192">
        <v>0</v>
      </c>
      <c r="S152" s="192">
        <v>0</v>
      </c>
      <c r="T152" s="192">
        <v>0</v>
      </c>
      <c r="U152" s="192">
        <v>0</v>
      </c>
      <c r="V152" s="192">
        <v>0</v>
      </c>
      <c r="W152" s="192">
        <v>0</v>
      </c>
      <c r="X152" s="192">
        <v>0</v>
      </c>
      <c r="Y152" s="192">
        <v>0</v>
      </c>
      <c r="Z152" s="192">
        <v>0</v>
      </c>
      <c r="AA152" s="192">
        <v>0</v>
      </c>
      <c r="AB152" s="192">
        <v>0</v>
      </c>
      <c r="AC152" s="192">
        <v>0</v>
      </c>
      <c r="AD152" s="193">
        <v>0</v>
      </c>
      <c r="AE152" s="193">
        <v>0</v>
      </c>
      <c r="AF152" s="193">
        <v>0</v>
      </c>
      <c r="AG152" s="193">
        <v>0</v>
      </c>
      <c r="AH152" s="193">
        <v>0</v>
      </c>
      <c r="AI152" s="193">
        <v>0</v>
      </c>
      <c r="AJ152" s="193">
        <v>0</v>
      </c>
      <c r="AK152" s="193">
        <v>0</v>
      </c>
      <c r="AL152" s="193">
        <v>0</v>
      </c>
      <c r="AM152" s="193">
        <v>0</v>
      </c>
      <c r="AN152" s="193">
        <v>0</v>
      </c>
      <c r="AO152" s="193">
        <v>0</v>
      </c>
      <c r="AP152" s="193">
        <v>0</v>
      </c>
      <c r="AQ152" s="193">
        <v>0</v>
      </c>
      <c r="AR152" s="193">
        <v>0</v>
      </c>
      <c r="AS152" s="193">
        <v>0</v>
      </c>
      <c r="AT152" s="193">
        <v>0</v>
      </c>
      <c r="AU152" s="193">
        <v>0</v>
      </c>
      <c r="AV152" s="193">
        <v>0</v>
      </c>
      <c r="AW152" s="193">
        <v>0</v>
      </c>
      <c r="AX152" s="193">
        <v>0</v>
      </c>
      <c r="AY152" s="193">
        <v>0</v>
      </c>
      <c r="AZ152" s="193">
        <v>0</v>
      </c>
      <c r="BA152" s="193">
        <v>0</v>
      </c>
      <c r="BB152" s="193">
        <v>0</v>
      </c>
      <c r="BC152" s="193">
        <v>0</v>
      </c>
      <c r="BD152" s="193">
        <v>0</v>
      </c>
    </row>
    <row r="153" spans="1:56" s="188" customFormat="1">
      <c r="A153" s="189">
        <v>-22</v>
      </c>
      <c r="B153" s="190" t="s">
        <v>935</v>
      </c>
      <c r="C153" s="191">
        <v>700000</v>
      </c>
      <c r="D153" s="192">
        <v>0</v>
      </c>
      <c r="E153" s="192">
        <v>0</v>
      </c>
      <c r="F153" s="192">
        <v>0</v>
      </c>
      <c r="G153" s="192">
        <v>0</v>
      </c>
      <c r="H153" s="192">
        <v>0</v>
      </c>
      <c r="I153" s="192">
        <v>0</v>
      </c>
      <c r="J153" s="192">
        <v>0</v>
      </c>
      <c r="K153" s="192">
        <v>0</v>
      </c>
      <c r="L153" s="192">
        <v>0</v>
      </c>
      <c r="M153" s="192">
        <v>0</v>
      </c>
      <c r="N153" s="192">
        <v>0</v>
      </c>
      <c r="O153" s="192">
        <v>0</v>
      </c>
      <c r="P153" s="192">
        <v>0</v>
      </c>
      <c r="Q153" s="192">
        <v>0</v>
      </c>
      <c r="R153" s="192">
        <v>0</v>
      </c>
      <c r="S153" s="192">
        <v>0</v>
      </c>
      <c r="T153" s="192">
        <v>0</v>
      </c>
      <c r="U153" s="192">
        <v>0</v>
      </c>
      <c r="V153" s="192">
        <v>0</v>
      </c>
      <c r="W153" s="192">
        <v>0</v>
      </c>
      <c r="X153" s="192">
        <v>0</v>
      </c>
      <c r="Y153" s="192">
        <v>0</v>
      </c>
      <c r="Z153" s="192">
        <v>0</v>
      </c>
      <c r="AA153" s="192">
        <v>0</v>
      </c>
      <c r="AB153" s="192">
        <v>0</v>
      </c>
      <c r="AC153" s="192">
        <v>0</v>
      </c>
      <c r="AD153" s="193">
        <v>0</v>
      </c>
      <c r="AE153" s="193">
        <v>0</v>
      </c>
      <c r="AF153" s="193">
        <v>0</v>
      </c>
      <c r="AG153" s="193">
        <v>0</v>
      </c>
      <c r="AH153" s="193">
        <v>0</v>
      </c>
      <c r="AI153" s="193">
        <v>0</v>
      </c>
      <c r="AJ153" s="193">
        <v>0</v>
      </c>
      <c r="AK153" s="193">
        <v>0</v>
      </c>
      <c r="AL153" s="193">
        <v>0</v>
      </c>
      <c r="AM153" s="193">
        <v>0</v>
      </c>
      <c r="AN153" s="193">
        <v>0</v>
      </c>
      <c r="AO153" s="193">
        <v>0</v>
      </c>
      <c r="AP153" s="193">
        <v>0</v>
      </c>
      <c r="AQ153" s="193">
        <v>0</v>
      </c>
      <c r="AR153" s="193">
        <v>0</v>
      </c>
      <c r="AS153" s="193">
        <v>0</v>
      </c>
      <c r="AT153" s="193">
        <v>0</v>
      </c>
      <c r="AU153" s="193">
        <v>0</v>
      </c>
      <c r="AV153" s="193">
        <v>0</v>
      </c>
      <c r="AW153" s="193">
        <v>0</v>
      </c>
      <c r="AX153" s="193">
        <v>0</v>
      </c>
      <c r="AY153" s="193">
        <v>0</v>
      </c>
      <c r="AZ153" s="193">
        <v>0</v>
      </c>
      <c r="BA153" s="193">
        <v>0</v>
      </c>
      <c r="BB153" s="193">
        <v>0</v>
      </c>
      <c r="BC153" s="193">
        <v>0</v>
      </c>
      <c r="BD153" s="193">
        <v>0</v>
      </c>
    </row>
    <row r="154" spans="1:56" s="188" customFormat="1">
      <c r="A154" s="189">
        <v>-23</v>
      </c>
      <c r="B154" s="190" t="s">
        <v>936</v>
      </c>
      <c r="C154" s="191">
        <v>800000</v>
      </c>
      <c r="D154" s="192">
        <v>2</v>
      </c>
      <c r="E154" s="192">
        <v>0</v>
      </c>
      <c r="F154" s="192">
        <v>0</v>
      </c>
      <c r="G154" s="192">
        <v>0</v>
      </c>
      <c r="H154" s="192">
        <v>0</v>
      </c>
      <c r="I154" s="192">
        <v>0</v>
      </c>
      <c r="J154" s="192">
        <v>0</v>
      </c>
      <c r="K154" s="192">
        <v>0</v>
      </c>
      <c r="L154" s="192">
        <v>0</v>
      </c>
      <c r="M154" s="192">
        <v>0</v>
      </c>
      <c r="N154" s="192">
        <v>0</v>
      </c>
      <c r="O154" s="192">
        <v>0</v>
      </c>
      <c r="P154" s="192">
        <v>0</v>
      </c>
      <c r="Q154" s="192">
        <v>0</v>
      </c>
      <c r="R154" s="192">
        <v>0</v>
      </c>
      <c r="S154" s="192">
        <v>0</v>
      </c>
      <c r="T154" s="192">
        <v>0</v>
      </c>
      <c r="U154" s="192">
        <v>0</v>
      </c>
      <c r="V154" s="192">
        <v>0</v>
      </c>
      <c r="W154" s="192">
        <v>0</v>
      </c>
      <c r="X154" s="192">
        <v>0</v>
      </c>
      <c r="Y154" s="192">
        <v>0</v>
      </c>
      <c r="Z154" s="192">
        <v>0</v>
      </c>
      <c r="AA154" s="192">
        <v>0</v>
      </c>
      <c r="AB154" s="192">
        <v>2</v>
      </c>
      <c r="AC154" s="192">
        <v>0</v>
      </c>
      <c r="AD154" s="193">
        <v>1600000</v>
      </c>
      <c r="AE154" s="193">
        <v>0</v>
      </c>
      <c r="AF154" s="193">
        <v>0</v>
      </c>
      <c r="AG154" s="193">
        <v>0</v>
      </c>
      <c r="AH154" s="193">
        <v>0</v>
      </c>
      <c r="AI154" s="193">
        <v>0</v>
      </c>
      <c r="AJ154" s="193">
        <v>0</v>
      </c>
      <c r="AK154" s="193">
        <v>0</v>
      </c>
      <c r="AL154" s="193">
        <v>0</v>
      </c>
      <c r="AM154" s="193">
        <v>0</v>
      </c>
      <c r="AN154" s="193">
        <v>0</v>
      </c>
      <c r="AO154" s="193">
        <v>0</v>
      </c>
      <c r="AP154" s="193">
        <v>0</v>
      </c>
      <c r="AQ154" s="193">
        <v>0</v>
      </c>
      <c r="AR154" s="193">
        <v>0</v>
      </c>
      <c r="AS154" s="193">
        <v>0</v>
      </c>
      <c r="AT154" s="193">
        <v>0</v>
      </c>
      <c r="AU154" s="193">
        <v>0</v>
      </c>
      <c r="AV154" s="193">
        <v>0</v>
      </c>
      <c r="AW154" s="193">
        <v>0</v>
      </c>
      <c r="AX154" s="193">
        <v>0</v>
      </c>
      <c r="AY154" s="193">
        <v>0</v>
      </c>
      <c r="AZ154" s="193">
        <v>0</v>
      </c>
      <c r="BA154" s="193">
        <v>0</v>
      </c>
      <c r="BB154" s="193">
        <v>1600000</v>
      </c>
      <c r="BC154" s="193">
        <v>0</v>
      </c>
      <c r="BD154" s="193">
        <v>1600000</v>
      </c>
    </row>
    <row r="155" spans="1:56" s="188" customFormat="1">
      <c r="A155" s="189">
        <v>-24</v>
      </c>
      <c r="B155" s="204" t="s">
        <v>937</v>
      </c>
      <c r="C155" s="191">
        <v>1400000</v>
      </c>
      <c r="D155" s="192">
        <v>0</v>
      </c>
      <c r="E155" s="192">
        <v>0</v>
      </c>
      <c r="F155" s="192">
        <v>0</v>
      </c>
      <c r="G155" s="192">
        <v>0</v>
      </c>
      <c r="H155" s="192">
        <v>0</v>
      </c>
      <c r="I155" s="192">
        <v>0</v>
      </c>
      <c r="J155" s="192">
        <v>0</v>
      </c>
      <c r="K155" s="192">
        <v>0</v>
      </c>
      <c r="L155" s="192">
        <v>0</v>
      </c>
      <c r="M155" s="192">
        <v>0</v>
      </c>
      <c r="N155" s="192">
        <v>0</v>
      </c>
      <c r="O155" s="192">
        <v>0</v>
      </c>
      <c r="P155" s="192">
        <v>0</v>
      </c>
      <c r="Q155" s="192">
        <v>0</v>
      </c>
      <c r="R155" s="192">
        <v>0</v>
      </c>
      <c r="S155" s="192">
        <v>0</v>
      </c>
      <c r="T155" s="192">
        <v>0</v>
      </c>
      <c r="U155" s="192">
        <v>0</v>
      </c>
      <c r="V155" s="192">
        <v>0</v>
      </c>
      <c r="W155" s="192">
        <v>0</v>
      </c>
      <c r="X155" s="192">
        <v>0</v>
      </c>
      <c r="Y155" s="192">
        <v>0</v>
      </c>
      <c r="Z155" s="192">
        <v>0</v>
      </c>
      <c r="AA155" s="192">
        <v>0</v>
      </c>
      <c r="AB155" s="192">
        <v>0</v>
      </c>
      <c r="AC155" s="192">
        <v>0</v>
      </c>
      <c r="AD155" s="193">
        <v>0</v>
      </c>
      <c r="AE155" s="193">
        <v>0</v>
      </c>
      <c r="AF155" s="193">
        <v>0</v>
      </c>
      <c r="AG155" s="193">
        <v>0</v>
      </c>
      <c r="AH155" s="193">
        <v>0</v>
      </c>
      <c r="AI155" s="193">
        <v>0</v>
      </c>
      <c r="AJ155" s="193">
        <v>0</v>
      </c>
      <c r="AK155" s="193">
        <v>0</v>
      </c>
      <c r="AL155" s="193">
        <v>0</v>
      </c>
      <c r="AM155" s="193">
        <v>0</v>
      </c>
      <c r="AN155" s="193">
        <v>0</v>
      </c>
      <c r="AO155" s="193">
        <v>0</v>
      </c>
      <c r="AP155" s="193">
        <v>0</v>
      </c>
      <c r="AQ155" s="193">
        <v>0</v>
      </c>
      <c r="AR155" s="193">
        <v>0</v>
      </c>
      <c r="AS155" s="193">
        <v>0</v>
      </c>
      <c r="AT155" s="193">
        <v>0</v>
      </c>
      <c r="AU155" s="193">
        <v>0</v>
      </c>
      <c r="AV155" s="193">
        <v>0</v>
      </c>
      <c r="AW155" s="193">
        <v>0</v>
      </c>
      <c r="AX155" s="193">
        <v>0</v>
      </c>
      <c r="AY155" s="193">
        <v>0</v>
      </c>
      <c r="AZ155" s="193">
        <v>0</v>
      </c>
      <c r="BA155" s="193">
        <v>0</v>
      </c>
      <c r="BB155" s="193">
        <v>0</v>
      </c>
      <c r="BC155" s="193">
        <v>0</v>
      </c>
      <c r="BD155" s="193">
        <v>0</v>
      </c>
    </row>
    <row r="156" spans="1:56" s="188" customFormat="1" ht="18.75">
      <c r="A156" s="189">
        <v>-25</v>
      </c>
      <c r="B156" s="204" t="s">
        <v>938</v>
      </c>
      <c r="C156" s="191">
        <v>2000000</v>
      </c>
      <c r="D156" s="192">
        <v>0</v>
      </c>
      <c r="E156" s="192">
        <v>0</v>
      </c>
      <c r="F156" s="192">
        <v>0</v>
      </c>
      <c r="G156" s="192">
        <v>0</v>
      </c>
      <c r="H156" s="192">
        <v>0</v>
      </c>
      <c r="I156" s="192">
        <v>0</v>
      </c>
      <c r="J156" s="192">
        <v>0</v>
      </c>
      <c r="K156" s="192">
        <v>0</v>
      </c>
      <c r="L156" s="192">
        <v>0</v>
      </c>
      <c r="M156" s="192">
        <v>0</v>
      </c>
      <c r="N156" s="192">
        <v>0</v>
      </c>
      <c r="O156" s="192">
        <v>0</v>
      </c>
      <c r="P156" s="192">
        <v>0</v>
      </c>
      <c r="Q156" s="192">
        <v>0</v>
      </c>
      <c r="R156" s="192">
        <v>0</v>
      </c>
      <c r="S156" s="192">
        <v>0</v>
      </c>
      <c r="T156" s="192">
        <v>0</v>
      </c>
      <c r="U156" s="192">
        <v>0</v>
      </c>
      <c r="V156" s="192">
        <v>0</v>
      </c>
      <c r="W156" s="192">
        <v>0</v>
      </c>
      <c r="X156" s="192">
        <v>0</v>
      </c>
      <c r="Y156" s="192">
        <v>0</v>
      </c>
      <c r="Z156" s="192">
        <v>0</v>
      </c>
      <c r="AA156" s="192">
        <v>0</v>
      </c>
      <c r="AB156" s="192">
        <v>0</v>
      </c>
      <c r="AC156" s="192">
        <v>0</v>
      </c>
      <c r="AD156" s="193">
        <v>0</v>
      </c>
      <c r="AE156" s="193">
        <v>0</v>
      </c>
      <c r="AF156" s="193">
        <v>0</v>
      </c>
      <c r="AG156" s="193">
        <v>0</v>
      </c>
      <c r="AH156" s="193">
        <v>0</v>
      </c>
      <c r="AI156" s="193">
        <v>0</v>
      </c>
      <c r="AJ156" s="193">
        <v>0</v>
      </c>
      <c r="AK156" s="193">
        <v>0</v>
      </c>
      <c r="AL156" s="193">
        <v>0</v>
      </c>
      <c r="AM156" s="193">
        <v>0</v>
      </c>
      <c r="AN156" s="193">
        <v>0</v>
      </c>
      <c r="AO156" s="193">
        <v>0</v>
      </c>
      <c r="AP156" s="193">
        <v>0</v>
      </c>
      <c r="AQ156" s="193">
        <v>0</v>
      </c>
      <c r="AR156" s="193">
        <v>0</v>
      </c>
      <c r="AS156" s="193">
        <v>0</v>
      </c>
      <c r="AT156" s="193">
        <v>0</v>
      </c>
      <c r="AU156" s="193">
        <v>0</v>
      </c>
      <c r="AV156" s="193">
        <v>0</v>
      </c>
      <c r="AW156" s="193">
        <v>0</v>
      </c>
      <c r="AX156" s="193">
        <v>0</v>
      </c>
      <c r="AY156" s="193">
        <v>0</v>
      </c>
      <c r="AZ156" s="193">
        <v>0</v>
      </c>
      <c r="BA156" s="193">
        <v>0</v>
      </c>
      <c r="BB156" s="193">
        <v>0</v>
      </c>
      <c r="BC156" s="193">
        <v>0</v>
      </c>
      <c r="BD156" s="193">
        <v>0</v>
      </c>
    </row>
    <row r="157" spans="1:56" s="188" customFormat="1">
      <c r="A157" s="189">
        <v>-26</v>
      </c>
      <c r="B157" s="204" t="s">
        <v>939</v>
      </c>
      <c r="C157" s="191">
        <v>2250000</v>
      </c>
      <c r="D157" s="192">
        <v>0</v>
      </c>
      <c r="E157" s="192">
        <v>0</v>
      </c>
      <c r="F157" s="192">
        <v>0</v>
      </c>
      <c r="G157" s="192">
        <v>0</v>
      </c>
      <c r="H157" s="192">
        <v>0</v>
      </c>
      <c r="I157" s="192">
        <v>0</v>
      </c>
      <c r="J157" s="192">
        <v>0</v>
      </c>
      <c r="K157" s="192">
        <v>0</v>
      </c>
      <c r="L157" s="192">
        <v>0</v>
      </c>
      <c r="M157" s="192">
        <v>0</v>
      </c>
      <c r="N157" s="192">
        <v>0</v>
      </c>
      <c r="O157" s="192">
        <v>0</v>
      </c>
      <c r="P157" s="192">
        <v>0</v>
      </c>
      <c r="Q157" s="192">
        <v>0</v>
      </c>
      <c r="R157" s="192">
        <v>0</v>
      </c>
      <c r="S157" s="192">
        <v>0</v>
      </c>
      <c r="T157" s="192">
        <v>0</v>
      </c>
      <c r="U157" s="192">
        <v>0</v>
      </c>
      <c r="V157" s="192">
        <v>0</v>
      </c>
      <c r="W157" s="192">
        <v>0</v>
      </c>
      <c r="X157" s="192">
        <v>0</v>
      </c>
      <c r="Y157" s="192">
        <v>0</v>
      </c>
      <c r="Z157" s="192">
        <v>0</v>
      </c>
      <c r="AA157" s="192">
        <v>0</v>
      </c>
      <c r="AB157" s="192">
        <v>0</v>
      </c>
      <c r="AC157" s="192">
        <v>0</v>
      </c>
      <c r="AD157" s="193">
        <v>0</v>
      </c>
      <c r="AE157" s="193">
        <v>0</v>
      </c>
      <c r="AF157" s="193">
        <v>0</v>
      </c>
      <c r="AG157" s="193">
        <v>0</v>
      </c>
      <c r="AH157" s="193">
        <v>0</v>
      </c>
      <c r="AI157" s="193">
        <v>0</v>
      </c>
      <c r="AJ157" s="193">
        <v>0</v>
      </c>
      <c r="AK157" s="193">
        <v>0</v>
      </c>
      <c r="AL157" s="193">
        <v>0</v>
      </c>
      <c r="AM157" s="193">
        <v>0</v>
      </c>
      <c r="AN157" s="193">
        <v>0</v>
      </c>
      <c r="AO157" s="193">
        <v>0</v>
      </c>
      <c r="AP157" s="193">
        <v>0</v>
      </c>
      <c r="AQ157" s="193">
        <v>0</v>
      </c>
      <c r="AR157" s="193">
        <v>0</v>
      </c>
      <c r="AS157" s="193">
        <v>0</v>
      </c>
      <c r="AT157" s="193">
        <v>0</v>
      </c>
      <c r="AU157" s="193">
        <v>0</v>
      </c>
      <c r="AV157" s="193">
        <v>0</v>
      </c>
      <c r="AW157" s="193">
        <v>0</v>
      </c>
      <c r="AX157" s="193">
        <v>0</v>
      </c>
      <c r="AY157" s="193">
        <v>0</v>
      </c>
      <c r="AZ157" s="193">
        <v>0</v>
      </c>
      <c r="BA157" s="193">
        <v>0</v>
      </c>
      <c r="BB157" s="193">
        <v>0</v>
      </c>
      <c r="BC157" s="193">
        <v>0</v>
      </c>
      <c r="BD157" s="193">
        <v>0</v>
      </c>
    </row>
    <row r="158" spans="1:56" s="188" customFormat="1">
      <c r="A158" s="189">
        <v>-27</v>
      </c>
      <c r="B158" s="204" t="s">
        <v>873</v>
      </c>
      <c r="C158" s="191">
        <v>2250000</v>
      </c>
      <c r="D158" s="192">
        <v>0</v>
      </c>
      <c r="E158" s="192">
        <v>0</v>
      </c>
      <c r="F158" s="192">
        <v>0</v>
      </c>
      <c r="G158" s="192">
        <v>0</v>
      </c>
      <c r="H158" s="192">
        <v>0</v>
      </c>
      <c r="I158" s="192">
        <v>0</v>
      </c>
      <c r="J158" s="192">
        <v>0</v>
      </c>
      <c r="K158" s="192">
        <v>0</v>
      </c>
      <c r="L158" s="192">
        <v>0</v>
      </c>
      <c r="M158" s="192">
        <v>0</v>
      </c>
      <c r="N158" s="192">
        <v>0</v>
      </c>
      <c r="O158" s="192">
        <v>0</v>
      </c>
      <c r="P158" s="192">
        <v>0</v>
      </c>
      <c r="Q158" s="192">
        <v>0</v>
      </c>
      <c r="R158" s="192">
        <v>0</v>
      </c>
      <c r="S158" s="192">
        <v>0</v>
      </c>
      <c r="T158" s="192">
        <v>0</v>
      </c>
      <c r="U158" s="192">
        <v>0</v>
      </c>
      <c r="V158" s="192">
        <v>0</v>
      </c>
      <c r="W158" s="192">
        <v>0</v>
      </c>
      <c r="X158" s="192">
        <v>0</v>
      </c>
      <c r="Y158" s="192">
        <v>0</v>
      </c>
      <c r="Z158" s="192">
        <v>0</v>
      </c>
      <c r="AA158" s="192">
        <v>0</v>
      </c>
      <c r="AB158" s="192">
        <v>0</v>
      </c>
      <c r="AC158" s="192">
        <v>0</v>
      </c>
      <c r="AD158" s="193">
        <v>0</v>
      </c>
      <c r="AE158" s="193">
        <v>0</v>
      </c>
      <c r="AF158" s="193">
        <v>0</v>
      </c>
      <c r="AG158" s="193">
        <v>0</v>
      </c>
      <c r="AH158" s="193">
        <v>0</v>
      </c>
      <c r="AI158" s="193">
        <v>0</v>
      </c>
      <c r="AJ158" s="193">
        <v>0</v>
      </c>
      <c r="AK158" s="193">
        <v>0</v>
      </c>
      <c r="AL158" s="193">
        <v>0</v>
      </c>
      <c r="AM158" s="193">
        <v>0</v>
      </c>
      <c r="AN158" s="193">
        <v>0</v>
      </c>
      <c r="AO158" s="193">
        <v>0</v>
      </c>
      <c r="AP158" s="193">
        <v>0</v>
      </c>
      <c r="AQ158" s="193">
        <v>0</v>
      </c>
      <c r="AR158" s="193">
        <v>0</v>
      </c>
      <c r="AS158" s="193">
        <v>0</v>
      </c>
      <c r="AT158" s="193">
        <v>0</v>
      </c>
      <c r="AU158" s="193">
        <v>0</v>
      </c>
      <c r="AV158" s="193">
        <v>0</v>
      </c>
      <c r="AW158" s="193">
        <v>0</v>
      </c>
      <c r="AX158" s="193">
        <v>0</v>
      </c>
      <c r="AY158" s="193">
        <v>0</v>
      </c>
      <c r="AZ158" s="193">
        <v>0</v>
      </c>
      <c r="BA158" s="193">
        <v>0</v>
      </c>
      <c r="BB158" s="193">
        <v>0</v>
      </c>
      <c r="BC158" s="193">
        <v>0</v>
      </c>
      <c r="BD158" s="193">
        <v>0</v>
      </c>
    </row>
    <row r="159" spans="1:56" s="188" customFormat="1">
      <c r="A159" s="189">
        <v>-28</v>
      </c>
      <c r="B159" s="204" t="s">
        <v>909</v>
      </c>
      <c r="C159" s="191">
        <v>2700000</v>
      </c>
      <c r="D159" s="192">
        <v>0</v>
      </c>
      <c r="E159" s="192">
        <v>0</v>
      </c>
      <c r="F159" s="192">
        <v>0</v>
      </c>
      <c r="G159" s="192">
        <v>0</v>
      </c>
      <c r="H159" s="192">
        <v>0</v>
      </c>
      <c r="I159" s="192">
        <v>0</v>
      </c>
      <c r="J159" s="192">
        <v>0</v>
      </c>
      <c r="K159" s="192">
        <v>0</v>
      </c>
      <c r="L159" s="192">
        <v>0</v>
      </c>
      <c r="M159" s="192">
        <v>0</v>
      </c>
      <c r="N159" s="192">
        <v>0</v>
      </c>
      <c r="O159" s="192">
        <v>0</v>
      </c>
      <c r="P159" s="192">
        <v>0</v>
      </c>
      <c r="Q159" s="192">
        <v>0</v>
      </c>
      <c r="R159" s="192">
        <v>0</v>
      </c>
      <c r="S159" s="192">
        <v>0</v>
      </c>
      <c r="T159" s="192">
        <v>0</v>
      </c>
      <c r="U159" s="192">
        <v>0</v>
      </c>
      <c r="V159" s="192">
        <v>0</v>
      </c>
      <c r="W159" s="192">
        <v>0</v>
      </c>
      <c r="X159" s="192">
        <v>0</v>
      </c>
      <c r="Y159" s="192">
        <v>0</v>
      </c>
      <c r="Z159" s="192">
        <v>0</v>
      </c>
      <c r="AA159" s="192">
        <v>0</v>
      </c>
      <c r="AB159" s="192">
        <v>0</v>
      </c>
      <c r="AC159" s="192">
        <v>0</v>
      </c>
      <c r="AD159" s="193">
        <v>0</v>
      </c>
      <c r="AE159" s="193">
        <v>0</v>
      </c>
      <c r="AF159" s="193">
        <v>0</v>
      </c>
      <c r="AG159" s="193">
        <v>0</v>
      </c>
      <c r="AH159" s="193">
        <v>0</v>
      </c>
      <c r="AI159" s="193">
        <v>0</v>
      </c>
      <c r="AJ159" s="193">
        <v>0</v>
      </c>
      <c r="AK159" s="193">
        <v>0</v>
      </c>
      <c r="AL159" s="193">
        <v>0</v>
      </c>
      <c r="AM159" s="193">
        <v>0</v>
      </c>
      <c r="AN159" s="193">
        <v>0</v>
      </c>
      <c r="AO159" s="193">
        <v>0</v>
      </c>
      <c r="AP159" s="193">
        <v>0</v>
      </c>
      <c r="AQ159" s="193">
        <v>0</v>
      </c>
      <c r="AR159" s="193">
        <v>0</v>
      </c>
      <c r="AS159" s="193">
        <v>0</v>
      </c>
      <c r="AT159" s="193">
        <v>0</v>
      </c>
      <c r="AU159" s="193">
        <v>0</v>
      </c>
      <c r="AV159" s="193">
        <v>0</v>
      </c>
      <c r="AW159" s="193">
        <v>0</v>
      </c>
      <c r="AX159" s="193">
        <v>0</v>
      </c>
      <c r="AY159" s="193">
        <v>0</v>
      </c>
      <c r="AZ159" s="193">
        <v>0</v>
      </c>
      <c r="BA159" s="193">
        <v>0</v>
      </c>
      <c r="BB159" s="193">
        <v>0</v>
      </c>
      <c r="BC159" s="193">
        <v>0</v>
      </c>
      <c r="BD159" s="193">
        <v>0</v>
      </c>
    </row>
    <row r="160" spans="1:56" s="188" customFormat="1">
      <c r="A160" s="189">
        <v>-29</v>
      </c>
      <c r="B160" s="204" t="s">
        <v>876</v>
      </c>
      <c r="C160" s="191">
        <v>4400000</v>
      </c>
      <c r="D160" s="192">
        <v>0</v>
      </c>
      <c r="E160" s="192">
        <v>0</v>
      </c>
      <c r="F160" s="192">
        <v>0</v>
      </c>
      <c r="G160" s="192">
        <v>0</v>
      </c>
      <c r="H160" s="192">
        <v>0</v>
      </c>
      <c r="I160" s="192">
        <v>0</v>
      </c>
      <c r="J160" s="192">
        <v>0</v>
      </c>
      <c r="K160" s="192">
        <v>0</v>
      </c>
      <c r="L160" s="192">
        <v>0</v>
      </c>
      <c r="M160" s="192">
        <v>0</v>
      </c>
      <c r="N160" s="192">
        <v>0</v>
      </c>
      <c r="O160" s="192">
        <v>0</v>
      </c>
      <c r="P160" s="192">
        <v>0</v>
      </c>
      <c r="Q160" s="192">
        <v>0</v>
      </c>
      <c r="R160" s="192">
        <v>0</v>
      </c>
      <c r="S160" s="192">
        <v>0</v>
      </c>
      <c r="T160" s="192">
        <v>0</v>
      </c>
      <c r="U160" s="192">
        <v>0</v>
      </c>
      <c r="V160" s="192">
        <v>0</v>
      </c>
      <c r="W160" s="192">
        <v>0</v>
      </c>
      <c r="X160" s="192">
        <v>0</v>
      </c>
      <c r="Y160" s="192">
        <v>0</v>
      </c>
      <c r="Z160" s="192">
        <v>0</v>
      </c>
      <c r="AA160" s="192">
        <v>0</v>
      </c>
      <c r="AB160" s="192">
        <v>0</v>
      </c>
      <c r="AC160" s="192">
        <v>0</v>
      </c>
      <c r="AD160" s="193">
        <v>0</v>
      </c>
      <c r="AE160" s="193">
        <v>0</v>
      </c>
      <c r="AF160" s="193">
        <v>0</v>
      </c>
      <c r="AG160" s="193">
        <v>0</v>
      </c>
      <c r="AH160" s="193">
        <v>0</v>
      </c>
      <c r="AI160" s="193">
        <v>0</v>
      </c>
      <c r="AJ160" s="193">
        <v>0</v>
      </c>
      <c r="AK160" s="193">
        <v>0</v>
      </c>
      <c r="AL160" s="193">
        <v>0</v>
      </c>
      <c r="AM160" s="193">
        <v>0</v>
      </c>
      <c r="AN160" s="193">
        <v>0</v>
      </c>
      <c r="AO160" s="193">
        <v>0</v>
      </c>
      <c r="AP160" s="193">
        <v>0</v>
      </c>
      <c r="AQ160" s="193">
        <v>0</v>
      </c>
      <c r="AR160" s="193">
        <v>0</v>
      </c>
      <c r="AS160" s="193">
        <v>0</v>
      </c>
      <c r="AT160" s="193">
        <v>0</v>
      </c>
      <c r="AU160" s="193">
        <v>0</v>
      </c>
      <c r="AV160" s="193">
        <v>0</v>
      </c>
      <c r="AW160" s="193">
        <v>0</v>
      </c>
      <c r="AX160" s="193">
        <v>0</v>
      </c>
      <c r="AY160" s="193">
        <v>0</v>
      </c>
      <c r="AZ160" s="193">
        <v>0</v>
      </c>
      <c r="BA160" s="193">
        <v>0</v>
      </c>
      <c r="BB160" s="193">
        <v>0</v>
      </c>
      <c r="BC160" s="193">
        <v>0</v>
      </c>
      <c r="BD160" s="193">
        <v>0</v>
      </c>
    </row>
    <row r="161" spans="1:56">
      <c r="A161" s="196"/>
      <c r="B161" s="204" t="s">
        <v>1073</v>
      </c>
      <c r="C161" s="196"/>
      <c r="D161" s="192">
        <v>20</v>
      </c>
      <c r="E161" s="192">
        <v>0</v>
      </c>
      <c r="F161" s="192">
        <v>0</v>
      </c>
      <c r="G161" s="192">
        <v>0</v>
      </c>
      <c r="H161" s="192">
        <v>0</v>
      </c>
      <c r="I161" s="192">
        <v>0</v>
      </c>
      <c r="J161" s="192">
        <v>6</v>
      </c>
      <c r="K161" s="192">
        <v>0</v>
      </c>
      <c r="L161" s="192">
        <v>0</v>
      </c>
      <c r="M161" s="192">
        <v>0</v>
      </c>
      <c r="N161" s="192">
        <v>2</v>
      </c>
      <c r="O161" s="192">
        <v>0</v>
      </c>
      <c r="P161" s="192">
        <v>0</v>
      </c>
      <c r="Q161" s="192">
        <v>0</v>
      </c>
      <c r="R161" s="192">
        <v>6</v>
      </c>
      <c r="S161" s="192">
        <v>1</v>
      </c>
      <c r="T161" s="192">
        <v>0</v>
      </c>
      <c r="U161" s="192">
        <v>0</v>
      </c>
      <c r="V161" s="192">
        <v>0</v>
      </c>
      <c r="W161" s="192">
        <v>0</v>
      </c>
      <c r="X161" s="192">
        <v>0</v>
      </c>
      <c r="Y161" s="192">
        <v>0</v>
      </c>
      <c r="Z161" s="192">
        <v>0</v>
      </c>
      <c r="AA161" s="192">
        <v>0</v>
      </c>
      <c r="AB161" s="192">
        <v>34</v>
      </c>
      <c r="AC161" s="192">
        <v>1</v>
      </c>
      <c r="AD161" s="193">
        <v>20400000</v>
      </c>
      <c r="AE161" s="193">
        <v>0</v>
      </c>
      <c r="AF161" s="193">
        <v>0</v>
      </c>
      <c r="AG161" s="193">
        <v>0</v>
      </c>
      <c r="AH161" s="193">
        <v>0</v>
      </c>
      <c r="AI161" s="193">
        <v>0</v>
      </c>
      <c r="AJ161" s="193">
        <v>5280000</v>
      </c>
      <c r="AK161" s="193">
        <v>0</v>
      </c>
      <c r="AL161" s="193">
        <v>0</v>
      </c>
      <c r="AM161" s="193">
        <v>0</v>
      </c>
      <c r="AN161" s="193">
        <v>540000</v>
      </c>
      <c r="AO161" s="193">
        <v>0</v>
      </c>
      <c r="AP161" s="193">
        <v>0</v>
      </c>
      <c r="AQ161" s="193">
        <v>0</v>
      </c>
      <c r="AR161" s="193">
        <v>13500000</v>
      </c>
      <c r="AS161" s="193">
        <v>340000</v>
      </c>
      <c r="AT161" s="193">
        <v>0</v>
      </c>
      <c r="AU161" s="193">
        <v>0</v>
      </c>
      <c r="AV161" s="193">
        <v>0</v>
      </c>
      <c r="AW161" s="193">
        <v>0</v>
      </c>
      <c r="AX161" s="193">
        <v>0</v>
      </c>
      <c r="AY161" s="193">
        <v>0</v>
      </c>
      <c r="AZ161" s="193">
        <v>0</v>
      </c>
      <c r="BA161" s="193">
        <v>0</v>
      </c>
      <c r="BB161" s="193">
        <v>39720000</v>
      </c>
      <c r="BC161" s="193">
        <v>340000</v>
      </c>
      <c r="BD161" s="193">
        <v>40060000</v>
      </c>
    </row>
    <row r="162" spans="1:56" s="229" customFormat="1">
      <c r="A162" s="184">
        <v>5</v>
      </c>
      <c r="B162" s="185" t="s">
        <v>942</v>
      </c>
      <c r="C162" s="197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</row>
    <row r="163" spans="1:56" s="188" customFormat="1">
      <c r="A163" s="189">
        <v>-1</v>
      </c>
      <c r="B163" s="194" t="s">
        <v>1074</v>
      </c>
      <c r="C163" s="191">
        <v>135000</v>
      </c>
      <c r="D163" s="192">
        <v>0</v>
      </c>
      <c r="E163" s="192">
        <v>0</v>
      </c>
      <c r="F163" s="192">
        <v>0</v>
      </c>
      <c r="G163" s="192">
        <v>0</v>
      </c>
      <c r="H163" s="192">
        <v>0</v>
      </c>
      <c r="I163" s="192">
        <v>0</v>
      </c>
      <c r="J163" s="192">
        <v>0</v>
      </c>
      <c r="K163" s="192">
        <v>0</v>
      </c>
      <c r="L163" s="192">
        <v>0</v>
      </c>
      <c r="M163" s="192">
        <v>0</v>
      </c>
      <c r="N163" s="192">
        <v>0</v>
      </c>
      <c r="O163" s="192">
        <v>0</v>
      </c>
      <c r="P163" s="192">
        <v>0</v>
      </c>
      <c r="Q163" s="192">
        <v>0</v>
      </c>
      <c r="R163" s="192">
        <v>1</v>
      </c>
      <c r="S163" s="192">
        <v>0</v>
      </c>
      <c r="T163" s="192">
        <v>0</v>
      </c>
      <c r="U163" s="192">
        <v>0</v>
      </c>
      <c r="V163" s="192">
        <v>0</v>
      </c>
      <c r="W163" s="192">
        <v>0</v>
      </c>
      <c r="X163" s="192">
        <v>0</v>
      </c>
      <c r="Y163" s="192">
        <v>0</v>
      </c>
      <c r="Z163" s="192">
        <v>0</v>
      </c>
      <c r="AA163" s="192">
        <v>0</v>
      </c>
      <c r="AB163" s="192">
        <v>1</v>
      </c>
      <c r="AC163" s="192">
        <v>0</v>
      </c>
      <c r="AD163" s="193">
        <v>0</v>
      </c>
      <c r="AE163" s="193">
        <v>0</v>
      </c>
      <c r="AF163" s="193">
        <v>0</v>
      </c>
      <c r="AG163" s="193">
        <v>0</v>
      </c>
      <c r="AH163" s="193">
        <v>0</v>
      </c>
      <c r="AI163" s="193">
        <v>0</v>
      </c>
      <c r="AJ163" s="193">
        <v>0</v>
      </c>
      <c r="AK163" s="193">
        <v>0</v>
      </c>
      <c r="AL163" s="193">
        <v>0</v>
      </c>
      <c r="AM163" s="193">
        <v>0</v>
      </c>
      <c r="AN163" s="193">
        <v>0</v>
      </c>
      <c r="AO163" s="193">
        <v>0</v>
      </c>
      <c r="AP163" s="193">
        <v>0</v>
      </c>
      <c r="AQ163" s="193">
        <v>0</v>
      </c>
      <c r="AR163" s="193">
        <v>135000</v>
      </c>
      <c r="AS163" s="193">
        <v>0</v>
      </c>
      <c r="AT163" s="193">
        <v>0</v>
      </c>
      <c r="AU163" s="193">
        <v>0</v>
      </c>
      <c r="AV163" s="193">
        <v>0</v>
      </c>
      <c r="AW163" s="193">
        <v>0</v>
      </c>
      <c r="AX163" s="193">
        <v>0</v>
      </c>
      <c r="AY163" s="193">
        <v>0</v>
      </c>
      <c r="AZ163" s="193">
        <v>0</v>
      </c>
      <c r="BA163" s="193">
        <v>0</v>
      </c>
      <c r="BB163" s="193">
        <v>135000</v>
      </c>
      <c r="BC163" s="193">
        <v>0</v>
      </c>
      <c r="BD163" s="193">
        <v>135000</v>
      </c>
    </row>
    <row r="164" spans="1:56" s="188" customFormat="1">
      <c r="A164" s="189">
        <v>-2</v>
      </c>
      <c r="B164" s="194" t="s">
        <v>1075</v>
      </c>
      <c r="C164" s="191">
        <v>370000</v>
      </c>
      <c r="D164" s="192">
        <v>0</v>
      </c>
      <c r="E164" s="192">
        <v>0</v>
      </c>
      <c r="F164" s="192">
        <v>0</v>
      </c>
      <c r="G164" s="192">
        <v>0</v>
      </c>
      <c r="H164" s="192">
        <v>0</v>
      </c>
      <c r="I164" s="192">
        <v>0</v>
      </c>
      <c r="J164" s="192">
        <v>0</v>
      </c>
      <c r="K164" s="192">
        <v>0</v>
      </c>
      <c r="L164" s="192">
        <v>0</v>
      </c>
      <c r="M164" s="192">
        <v>0</v>
      </c>
      <c r="N164" s="192">
        <v>0</v>
      </c>
      <c r="O164" s="192">
        <v>0</v>
      </c>
      <c r="P164" s="192">
        <v>0</v>
      </c>
      <c r="Q164" s="192">
        <v>0</v>
      </c>
      <c r="R164" s="192">
        <v>1</v>
      </c>
      <c r="S164" s="192">
        <v>0</v>
      </c>
      <c r="T164" s="192">
        <v>0</v>
      </c>
      <c r="U164" s="192">
        <v>0</v>
      </c>
      <c r="V164" s="192">
        <v>0</v>
      </c>
      <c r="W164" s="192">
        <v>0</v>
      </c>
      <c r="X164" s="192">
        <v>0</v>
      </c>
      <c r="Y164" s="192">
        <v>0</v>
      </c>
      <c r="Z164" s="192">
        <v>0</v>
      </c>
      <c r="AA164" s="192">
        <v>0</v>
      </c>
      <c r="AB164" s="192">
        <v>1</v>
      </c>
      <c r="AC164" s="192">
        <v>0</v>
      </c>
      <c r="AD164" s="193">
        <v>0</v>
      </c>
      <c r="AE164" s="193">
        <v>0</v>
      </c>
      <c r="AF164" s="193">
        <v>0</v>
      </c>
      <c r="AG164" s="193">
        <v>0</v>
      </c>
      <c r="AH164" s="193">
        <v>0</v>
      </c>
      <c r="AI164" s="193">
        <v>0</v>
      </c>
      <c r="AJ164" s="193">
        <v>0</v>
      </c>
      <c r="AK164" s="193">
        <v>0</v>
      </c>
      <c r="AL164" s="193">
        <v>0</v>
      </c>
      <c r="AM164" s="193">
        <v>0</v>
      </c>
      <c r="AN164" s="193">
        <v>0</v>
      </c>
      <c r="AO164" s="193">
        <v>0</v>
      </c>
      <c r="AP164" s="193">
        <v>0</v>
      </c>
      <c r="AQ164" s="193">
        <v>0</v>
      </c>
      <c r="AR164" s="193">
        <v>370000</v>
      </c>
      <c r="AS164" s="193">
        <v>0</v>
      </c>
      <c r="AT164" s="193">
        <v>0</v>
      </c>
      <c r="AU164" s="193">
        <v>0</v>
      </c>
      <c r="AV164" s="193">
        <v>0</v>
      </c>
      <c r="AW164" s="193">
        <v>0</v>
      </c>
      <c r="AX164" s="193">
        <v>0</v>
      </c>
      <c r="AY164" s="193">
        <v>0</v>
      </c>
      <c r="AZ164" s="193">
        <v>0</v>
      </c>
      <c r="BA164" s="193">
        <v>0</v>
      </c>
      <c r="BB164" s="193">
        <v>370000</v>
      </c>
      <c r="BC164" s="193">
        <v>0</v>
      </c>
      <c r="BD164" s="193">
        <v>370000</v>
      </c>
    </row>
    <row r="165" spans="1:56" s="188" customFormat="1">
      <c r="A165" s="189">
        <v>-3</v>
      </c>
      <c r="B165" s="194" t="s">
        <v>926</v>
      </c>
      <c r="C165" s="191">
        <v>100000</v>
      </c>
      <c r="D165" s="192">
        <v>1</v>
      </c>
      <c r="E165" s="192">
        <v>0</v>
      </c>
      <c r="F165" s="192">
        <v>0</v>
      </c>
      <c r="G165" s="192">
        <v>0</v>
      </c>
      <c r="H165" s="192">
        <v>0</v>
      </c>
      <c r="I165" s="192">
        <v>0</v>
      </c>
      <c r="J165" s="192">
        <v>0</v>
      </c>
      <c r="K165" s="192">
        <v>0</v>
      </c>
      <c r="L165" s="192">
        <v>0</v>
      </c>
      <c r="M165" s="192">
        <v>0</v>
      </c>
      <c r="N165" s="192">
        <v>0</v>
      </c>
      <c r="O165" s="192">
        <v>0</v>
      </c>
      <c r="P165" s="192">
        <v>0</v>
      </c>
      <c r="Q165" s="192">
        <v>0</v>
      </c>
      <c r="R165" s="192">
        <v>0</v>
      </c>
      <c r="S165" s="192">
        <v>0</v>
      </c>
      <c r="T165" s="192">
        <v>0</v>
      </c>
      <c r="U165" s="192">
        <v>0</v>
      </c>
      <c r="V165" s="192">
        <v>0</v>
      </c>
      <c r="W165" s="192">
        <v>0</v>
      </c>
      <c r="X165" s="192">
        <v>0</v>
      </c>
      <c r="Y165" s="192">
        <v>0</v>
      </c>
      <c r="Z165" s="192">
        <v>0</v>
      </c>
      <c r="AA165" s="192">
        <v>0</v>
      </c>
      <c r="AB165" s="192">
        <v>1</v>
      </c>
      <c r="AC165" s="192">
        <v>0</v>
      </c>
      <c r="AD165" s="193">
        <v>100000</v>
      </c>
      <c r="AE165" s="193">
        <v>0</v>
      </c>
      <c r="AF165" s="193">
        <v>0</v>
      </c>
      <c r="AG165" s="193">
        <v>0</v>
      </c>
      <c r="AH165" s="193">
        <v>0</v>
      </c>
      <c r="AI165" s="193">
        <v>0</v>
      </c>
      <c r="AJ165" s="193">
        <v>0</v>
      </c>
      <c r="AK165" s="193">
        <v>0</v>
      </c>
      <c r="AL165" s="193">
        <v>0</v>
      </c>
      <c r="AM165" s="193">
        <v>0</v>
      </c>
      <c r="AN165" s="193">
        <v>0</v>
      </c>
      <c r="AO165" s="193">
        <v>0</v>
      </c>
      <c r="AP165" s="193">
        <v>0</v>
      </c>
      <c r="AQ165" s="193">
        <v>0</v>
      </c>
      <c r="AR165" s="193">
        <v>0</v>
      </c>
      <c r="AS165" s="193">
        <v>0</v>
      </c>
      <c r="AT165" s="193">
        <v>0</v>
      </c>
      <c r="AU165" s="193">
        <v>0</v>
      </c>
      <c r="AV165" s="193">
        <v>0</v>
      </c>
      <c r="AW165" s="193">
        <v>0</v>
      </c>
      <c r="AX165" s="193">
        <v>0</v>
      </c>
      <c r="AY165" s="193">
        <v>0</v>
      </c>
      <c r="AZ165" s="193">
        <v>0</v>
      </c>
      <c r="BA165" s="193">
        <v>0</v>
      </c>
      <c r="BB165" s="193">
        <v>100000</v>
      </c>
      <c r="BC165" s="193">
        <v>0</v>
      </c>
      <c r="BD165" s="193">
        <v>100000</v>
      </c>
    </row>
    <row r="166" spans="1:56" s="188" customFormat="1">
      <c r="A166" s="189">
        <v>-4</v>
      </c>
      <c r="B166" s="190" t="s">
        <v>1076</v>
      </c>
      <c r="C166" s="191">
        <v>110000</v>
      </c>
      <c r="D166" s="192">
        <v>0</v>
      </c>
      <c r="E166" s="192">
        <v>0</v>
      </c>
      <c r="F166" s="192">
        <v>0</v>
      </c>
      <c r="G166" s="192">
        <v>0</v>
      </c>
      <c r="H166" s="192">
        <v>0</v>
      </c>
      <c r="I166" s="192">
        <v>0</v>
      </c>
      <c r="J166" s="192">
        <v>0</v>
      </c>
      <c r="K166" s="192">
        <v>0</v>
      </c>
      <c r="L166" s="192">
        <v>0</v>
      </c>
      <c r="M166" s="192">
        <v>0</v>
      </c>
      <c r="N166" s="192">
        <v>0</v>
      </c>
      <c r="O166" s="192">
        <v>0</v>
      </c>
      <c r="P166" s="192">
        <v>0</v>
      </c>
      <c r="Q166" s="192">
        <v>0</v>
      </c>
      <c r="R166" s="192">
        <v>0</v>
      </c>
      <c r="S166" s="192">
        <v>0</v>
      </c>
      <c r="T166" s="192">
        <v>0</v>
      </c>
      <c r="U166" s="192">
        <v>0</v>
      </c>
      <c r="V166" s="192">
        <v>0</v>
      </c>
      <c r="W166" s="192">
        <v>0</v>
      </c>
      <c r="X166" s="192">
        <v>0</v>
      </c>
      <c r="Y166" s="192">
        <v>0</v>
      </c>
      <c r="Z166" s="192">
        <v>0</v>
      </c>
      <c r="AA166" s="192">
        <v>0</v>
      </c>
      <c r="AB166" s="192">
        <v>0</v>
      </c>
      <c r="AC166" s="192">
        <v>0</v>
      </c>
      <c r="AD166" s="193">
        <v>0</v>
      </c>
      <c r="AE166" s="193">
        <v>0</v>
      </c>
      <c r="AF166" s="193">
        <v>0</v>
      </c>
      <c r="AG166" s="193">
        <v>0</v>
      </c>
      <c r="AH166" s="193">
        <v>0</v>
      </c>
      <c r="AI166" s="193">
        <v>0</v>
      </c>
      <c r="AJ166" s="193">
        <v>0</v>
      </c>
      <c r="AK166" s="193">
        <v>0</v>
      </c>
      <c r="AL166" s="193">
        <v>0</v>
      </c>
      <c r="AM166" s="193">
        <v>0</v>
      </c>
      <c r="AN166" s="193">
        <v>0</v>
      </c>
      <c r="AO166" s="193">
        <v>0</v>
      </c>
      <c r="AP166" s="193">
        <v>0</v>
      </c>
      <c r="AQ166" s="193">
        <v>0</v>
      </c>
      <c r="AR166" s="193">
        <v>0</v>
      </c>
      <c r="AS166" s="193">
        <v>0</v>
      </c>
      <c r="AT166" s="193">
        <v>0</v>
      </c>
      <c r="AU166" s="193">
        <v>0</v>
      </c>
      <c r="AV166" s="193">
        <v>0</v>
      </c>
      <c r="AW166" s="193">
        <v>0</v>
      </c>
      <c r="AX166" s="193">
        <v>0</v>
      </c>
      <c r="AY166" s="193">
        <v>0</v>
      </c>
      <c r="AZ166" s="193">
        <v>0</v>
      </c>
      <c r="BA166" s="193">
        <v>0</v>
      </c>
      <c r="BB166" s="193">
        <v>0</v>
      </c>
      <c r="BC166" s="193">
        <v>0</v>
      </c>
      <c r="BD166" s="193">
        <v>0</v>
      </c>
    </row>
    <row r="167" spans="1:56" s="188" customFormat="1">
      <c r="A167" s="189">
        <v>-5</v>
      </c>
      <c r="B167" s="190" t="s">
        <v>1077</v>
      </c>
      <c r="C167" s="191">
        <v>125000</v>
      </c>
      <c r="D167" s="192">
        <v>0</v>
      </c>
      <c r="E167" s="192">
        <v>0</v>
      </c>
      <c r="F167" s="192">
        <v>0</v>
      </c>
      <c r="G167" s="192">
        <v>0</v>
      </c>
      <c r="H167" s="192">
        <v>0</v>
      </c>
      <c r="I167" s="192">
        <v>0</v>
      </c>
      <c r="J167" s="192">
        <v>0</v>
      </c>
      <c r="K167" s="192">
        <v>0</v>
      </c>
      <c r="L167" s="192">
        <v>0</v>
      </c>
      <c r="M167" s="192">
        <v>0</v>
      </c>
      <c r="N167" s="192">
        <v>0</v>
      </c>
      <c r="O167" s="192">
        <v>0</v>
      </c>
      <c r="P167" s="192">
        <v>0</v>
      </c>
      <c r="Q167" s="192">
        <v>0</v>
      </c>
      <c r="R167" s="192">
        <v>0</v>
      </c>
      <c r="S167" s="192">
        <v>0</v>
      </c>
      <c r="T167" s="192">
        <v>0</v>
      </c>
      <c r="U167" s="192">
        <v>0</v>
      </c>
      <c r="V167" s="192">
        <v>0</v>
      </c>
      <c r="W167" s="192">
        <v>0</v>
      </c>
      <c r="X167" s="192">
        <v>0</v>
      </c>
      <c r="Y167" s="192">
        <v>0</v>
      </c>
      <c r="Z167" s="192">
        <v>0</v>
      </c>
      <c r="AA167" s="192">
        <v>0</v>
      </c>
      <c r="AB167" s="192">
        <v>0</v>
      </c>
      <c r="AC167" s="192">
        <v>0</v>
      </c>
      <c r="AD167" s="193">
        <v>0</v>
      </c>
      <c r="AE167" s="193">
        <v>0</v>
      </c>
      <c r="AF167" s="193">
        <v>0</v>
      </c>
      <c r="AG167" s="193">
        <v>0</v>
      </c>
      <c r="AH167" s="193">
        <v>0</v>
      </c>
      <c r="AI167" s="193">
        <v>0</v>
      </c>
      <c r="AJ167" s="193">
        <v>0</v>
      </c>
      <c r="AK167" s="193">
        <v>0</v>
      </c>
      <c r="AL167" s="193">
        <v>0</v>
      </c>
      <c r="AM167" s="193">
        <v>0</v>
      </c>
      <c r="AN167" s="193">
        <v>0</v>
      </c>
      <c r="AO167" s="193">
        <v>0</v>
      </c>
      <c r="AP167" s="193">
        <v>0</v>
      </c>
      <c r="AQ167" s="193">
        <v>0</v>
      </c>
      <c r="AR167" s="193">
        <v>0</v>
      </c>
      <c r="AS167" s="193">
        <v>0</v>
      </c>
      <c r="AT167" s="193">
        <v>0</v>
      </c>
      <c r="AU167" s="193">
        <v>0</v>
      </c>
      <c r="AV167" s="193">
        <v>0</v>
      </c>
      <c r="AW167" s="193">
        <v>0</v>
      </c>
      <c r="AX167" s="193">
        <v>0</v>
      </c>
      <c r="AY167" s="193">
        <v>0</v>
      </c>
      <c r="AZ167" s="193">
        <v>0</v>
      </c>
      <c r="BA167" s="193">
        <v>0</v>
      </c>
      <c r="BB167" s="193">
        <v>0</v>
      </c>
      <c r="BC167" s="193">
        <v>0</v>
      </c>
      <c r="BD167" s="193">
        <v>0</v>
      </c>
    </row>
    <row r="168" spans="1:56" s="188" customFormat="1">
      <c r="A168" s="189">
        <v>-6</v>
      </c>
      <c r="B168" s="190" t="s">
        <v>839</v>
      </c>
      <c r="C168" s="191">
        <v>150000</v>
      </c>
      <c r="D168" s="192">
        <v>4</v>
      </c>
      <c r="E168" s="192">
        <v>0</v>
      </c>
      <c r="F168" s="192">
        <v>0</v>
      </c>
      <c r="G168" s="192">
        <v>0</v>
      </c>
      <c r="H168" s="192">
        <v>0</v>
      </c>
      <c r="I168" s="192">
        <v>0</v>
      </c>
      <c r="J168" s="192">
        <v>0</v>
      </c>
      <c r="K168" s="192">
        <v>0</v>
      </c>
      <c r="L168" s="192">
        <v>0</v>
      </c>
      <c r="M168" s="192">
        <v>0</v>
      </c>
      <c r="N168" s="192">
        <v>0</v>
      </c>
      <c r="O168" s="192">
        <v>0</v>
      </c>
      <c r="P168" s="192">
        <v>0</v>
      </c>
      <c r="Q168" s="192">
        <v>0</v>
      </c>
      <c r="R168" s="192">
        <v>0</v>
      </c>
      <c r="S168" s="192">
        <v>0</v>
      </c>
      <c r="T168" s="192">
        <v>0</v>
      </c>
      <c r="U168" s="192">
        <v>0</v>
      </c>
      <c r="V168" s="192">
        <v>0</v>
      </c>
      <c r="W168" s="192">
        <v>0</v>
      </c>
      <c r="X168" s="192">
        <v>0</v>
      </c>
      <c r="Y168" s="192">
        <v>0</v>
      </c>
      <c r="Z168" s="192">
        <v>0</v>
      </c>
      <c r="AA168" s="192">
        <v>0</v>
      </c>
      <c r="AB168" s="192">
        <v>4</v>
      </c>
      <c r="AC168" s="192">
        <v>0</v>
      </c>
      <c r="AD168" s="193">
        <v>600000</v>
      </c>
      <c r="AE168" s="193">
        <v>0</v>
      </c>
      <c r="AF168" s="193">
        <v>0</v>
      </c>
      <c r="AG168" s="193">
        <v>0</v>
      </c>
      <c r="AH168" s="193">
        <v>0</v>
      </c>
      <c r="AI168" s="193">
        <v>0</v>
      </c>
      <c r="AJ168" s="193">
        <v>0</v>
      </c>
      <c r="AK168" s="193">
        <v>0</v>
      </c>
      <c r="AL168" s="193">
        <v>0</v>
      </c>
      <c r="AM168" s="193">
        <v>0</v>
      </c>
      <c r="AN168" s="193">
        <v>0</v>
      </c>
      <c r="AO168" s="193">
        <v>0</v>
      </c>
      <c r="AP168" s="193">
        <v>0</v>
      </c>
      <c r="AQ168" s="193">
        <v>0</v>
      </c>
      <c r="AR168" s="193">
        <v>0</v>
      </c>
      <c r="AS168" s="193">
        <v>0</v>
      </c>
      <c r="AT168" s="193">
        <v>0</v>
      </c>
      <c r="AU168" s="193">
        <v>0</v>
      </c>
      <c r="AV168" s="193">
        <v>0</v>
      </c>
      <c r="AW168" s="193">
        <v>0</v>
      </c>
      <c r="AX168" s="193">
        <v>0</v>
      </c>
      <c r="AY168" s="193">
        <v>0</v>
      </c>
      <c r="AZ168" s="193">
        <v>0</v>
      </c>
      <c r="BA168" s="193">
        <v>0</v>
      </c>
      <c r="BB168" s="193">
        <v>600000</v>
      </c>
      <c r="BC168" s="193">
        <v>0</v>
      </c>
      <c r="BD168" s="193">
        <v>600000</v>
      </c>
    </row>
    <row r="169" spans="1:56" s="188" customFormat="1">
      <c r="A169" s="189">
        <v>-7</v>
      </c>
      <c r="B169" s="194" t="s">
        <v>844</v>
      </c>
      <c r="C169" s="191">
        <v>190000</v>
      </c>
      <c r="D169" s="192">
        <v>4</v>
      </c>
      <c r="E169" s="192">
        <v>0</v>
      </c>
      <c r="F169" s="192">
        <v>0</v>
      </c>
      <c r="G169" s="192">
        <v>0</v>
      </c>
      <c r="H169" s="192">
        <v>0</v>
      </c>
      <c r="I169" s="192">
        <v>0</v>
      </c>
      <c r="J169" s="192">
        <v>0</v>
      </c>
      <c r="K169" s="192">
        <v>0</v>
      </c>
      <c r="L169" s="192">
        <v>0</v>
      </c>
      <c r="M169" s="192">
        <v>0</v>
      </c>
      <c r="N169" s="192">
        <v>0</v>
      </c>
      <c r="O169" s="192">
        <v>0</v>
      </c>
      <c r="P169" s="192">
        <v>0</v>
      </c>
      <c r="Q169" s="192">
        <v>0</v>
      </c>
      <c r="R169" s="192">
        <v>0</v>
      </c>
      <c r="S169" s="192">
        <v>0</v>
      </c>
      <c r="T169" s="192">
        <v>0</v>
      </c>
      <c r="U169" s="192">
        <v>0</v>
      </c>
      <c r="V169" s="192">
        <v>0</v>
      </c>
      <c r="W169" s="192">
        <v>0</v>
      </c>
      <c r="X169" s="192">
        <v>0</v>
      </c>
      <c r="Y169" s="192">
        <v>0</v>
      </c>
      <c r="Z169" s="192">
        <v>0</v>
      </c>
      <c r="AA169" s="192">
        <v>0</v>
      </c>
      <c r="AB169" s="192">
        <v>4</v>
      </c>
      <c r="AC169" s="192">
        <v>0</v>
      </c>
      <c r="AD169" s="193">
        <v>760000</v>
      </c>
      <c r="AE169" s="193">
        <v>0</v>
      </c>
      <c r="AF169" s="193">
        <v>0</v>
      </c>
      <c r="AG169" s="193">
        <v>0</v>
      </c>
      <c r="AH169" s="193">
        <v>0</v>
      </c>
      <c r="AI169" s="193">
        <v>0</v>
      </c>
      <c r="AJ169" s="193">
        <v>0</v>
      </c>
      <c r="AK169" s="193">
        <v>0</v>
      </c>
      <c r="AL169" s="193">
        <v>0</v>
      </c>
      <c r="AM169" s="193">
        <v>0</v>
      </c>
      <c r="AN169" s="193">
        <v>0</v>
      </c>
      <c r="AO169" s="193">
        <v>0</v>
      </c>
      <c r="AP169" s="193">
        <v>0</v>
      </c>
      <c r="AQ169" s="193">
        <v>0</v>
      </c>
      <c r="AR169" s="193">
        <v>0</v>
      </c>
      <c r="AS169" s="193">
        <v>0</v>
      </c>
      <c r="AT169" s="193">
        <v>0</v>
      </c>
      <c r="AU169" s="193">
        <v>0</v>
      </c>
      <c r="AV169" s="193">
        <v>0</v>
      </c>
      <c r="AW169" s="193">
        <v>0</v>
      </c>
      <c r="AX169" s="193">
        <v>0</v>
      </c>
      <c r="AY169" s="193">
        <v>0</v>
      </c>
      <c r="AZ169" s="193">
        <v>0</v>
      </c>
      <c r="BA169" s="193">
        <v>0</v>
      </c>
      <c r="BB169" s="193">
        <v>760000</v>
      </c>
      <c r="BC169" s="193">
        <v>0</v>
      </c>
      <c r="BD169" s="193">
        <v>760000</v>
      </c>
    </row>
    <row r="170" spans="1:56" s="188" customFormat="1">
      <c r="A170" s="189">
        <v>-8</v>
      </c>
      <c r="B170" s="194" t="s">
        <v>845</v>
      </c>
      <c r="C170" s="191">
        <v>200000</v>
      </c>
      <c r="D170" s="192">
        <v>4</v>
      </c>
      <c r="E170" s="192">
        <v>0</v>
      </c>
      <c r="F170" s="192">
        <v>0</v>
      </c>
      <c r="G170" s="192">
        <v>0</v>
      </c>
      <c r="H170" s="192">
        <v>0</v>
      </c>
      <c r="I170" s="192">
        <v>0</v>
      </c>
      <c r="J170" s="192">
        <v>0</v>
      </c>
      <c r="K170" s="192">
        <v>0</v>
      </c>
      <c r="L170" s="192">
        <v>0</v>
      </c>
      <c r="M170" s="192">
        <v>0</v>
      </c>
      <c r="N170" s="192">
        <v>0</v>
      </c>
      <c r="O170" s="192">
        <v>0</v>
      </c>
      <c r="P170" s="192">
        <v>0</v>
      </c>
      <c r="Q170" s="192">
        <v>0</v>
      </c>
      <c r="R170" s="192">
        <v>0</v>
      </c>
      <c r="S170" s="192">
        <v>0</v>
      </c>
      <c r="T170" s="192">
        <v>0</v>
      </c>
      <c r="U170" s="192">
        <v>0</v>
      </c>
      <c r="V170" s="192">
        <v>0</v>
      </c>
      <c r="W170" s="192">
        <v>0</v>
      </c>
      <c r="X170" s="192">
        <v>0</v>
      </c>
      <c r="Y170" s="192">
        <v>0</v>
      </c>
      <c r="Z170" s="192">
        <v>0</v>
      </c>
      <c r="AA170" s="192">
        <v>0</v>
      </c>
      <c r="AB170" s="192">
        <v>4</v>
      </c>
      <c r="AC170" s="192">
        <v>0</v>
      </c>
      <c r="AD170" s="193">
        <v>800000</v>
      </c>
      <c r="AE170" s="193">
        <v>0</v>
      </c>
      <c r="AF170" s="193">
        <v>0</v>
      </c>
      <c r="AG170" s="193">
        <v>0</v>
      </c>
      <c r="AH170" s="193">
        <v>0</v>
      </c>
      <c r="AI170" s="193">
        <v>0</v>
      </c>
      <c r="AJ170" s="193">
        <v>0</v>
      </c>
      <c r="AK170" s="193">
        <v>0</v>
      </c>
      <c r="AL170" s="193">
        <v>0</v>
      </c>
      <c r="AM170" s="193">
        <v>0</v>
      </c>
      <c r="AN170" s="193">
        <v>0</v>
      </c>
      <c r="AO170" s="193">
        <v>0</v>
      </c>
      <c r="AP170" s="193">
        <v>0</v>
      </c>
      <c r="AQ170" s="193">
        <v>0</v>
      </c>
      <c r="AR170" s="193">
        <v>0</v>
      </c>
      <c r="AS170" s="193">
        <v>0</v>
      </c>
      <c r="AT170" s="193">
        <v>0</v>
      </c>
      <c r="AU170" s="193">
        <v>0</v>
      </c>
      <c r="AV170" s="193">
        <v>0</v>
      </c>
      <c r="AW170" s="193">
        <v>0</v>
      </c>
      <c r="AX170" s="193">
        <v>0</v>
      </c>
      <c r="AY170" s="193">
        <v>0</v>
      </c>
      <c r="AZ170" s="193">
        <v>0</v>
      </c>
      <c r="BA170" s="193">
        <v>0</v>
      </c>
      <c r="BB170" s="193">
        <v>800000</v>
      </c>
      <c r="BC170" s="193">
        <v>0</v>
      </c>
      <c r="BD170" s="193">
        <v>800000</v>
      </c>
    </row>
    <row r="171" spans="1:56" s="188" customFormat="1">
      <c r="A171" s="189">
        <v>-9</v>
      </c>
      <c r="B171" s="190" t="s">
        <v>887</v>
      </c>
      <c r="C171" s="191">
        <v>225000</v>
      </c>
      <c r="D171" s="192">
        <v>4</v>
      </c>
      <c r="E171" s="192">
        <v>0</v>
      </c>
      <c r="F171" s="192">
        <v>0</v>
      </c>
      <c r="G171" s="192">
        <v>0</v>
      </c>
      <c r="H171" s="192">
        <v>0</v>
      </c>
      <c r="I171" s="192">
        <v>0</v>
      </c>
      <c r="J171" s="192">
        <v>0</v>
      </c>
      <c r="K171" s="192">
        <v>0</v>
      </c>
      <c r="L171" s="192">
        <v>0</v>
      </c>
      <c r="M171" s="192">
        <v>0</v>
      </c>
      <c r="N171" s="192">
        <v>0</v>
      </c>
      <c r="O171" s="192">
        <v>0</v>
      </c>
      <c r="P171" s="192">
        <v>0</v>
      </c>
      <c r="Q171" s="192">
        <v>0</v>
      </c>
      <c r="R171" s="192">
        <v>0</v>
      </c>
      <c r="S171" s="192">
        <v>0</v>
      </c>
      <c r="T171" s="192">
        <v>0</v>
      </c>
      <c r="U171" s="192">
        <v>0</v>
      </c>
      <c r="V171" s="192">
        <v>0</v>
      </c>
      <c r="W171" s="192">
        <v>0</v>
      </c>
      <c r="X171" s="192">
        <v>0</v>
      </c>
      <c r="Y171" s="192">
        <v>0</v>
      </c>
      <c r="Z171" s="192">
        <v>0</v>
      </c>
      <c r="AA171" s="192">
        <v>0</v>
      </c>
      <c r="AB171" s="192">
        <v>4</v>
      </c>
      <c r="AC171" s="192">
        <v>0</v>
      </c>
      <c r="AD171" s="193">
        <v>900000</v>
      </c>
      <c r="AE171" s="193">
        <v>0</v>
      </c>
      <c r="AF171" s="193">
        <v>0</v>
      </c>
      <c r="AG171" s="193">
        <v>0</v>
      </c>
      <c r="AH171" s="193">
        <v>0</v>
      </c>
      <c r="AI171" s="193">
        <v>0</v>
      </c>
      <c r="AJ171" s="193">
        <v>0</v>
      </c>
      <c r="AK171" s="193">
        <v>0</v>
      </c>
      <c r="AL171" s="193">
        <v>0</v>
      </c>
      <c r="AM171" s="193">
        <v>0</v>
      </c>
      <c r="AN171" s="193">
        <v>0</v>
      </c>
      <c r="AO171" s="193">
        <v>0</v>
      </c>
      <c r="AP171" s="193">
        <v>0</v>
      </c>
      <c r="AQ171" s="193">
        <v>0</v>
      </c>
      <c r="AR171" s="193">
        <v>0</v>
      </c>
      <c r="AS171" s="193">
        <v>0</v>
      </c>
      <c r="AT171" s="193">
        <v>0</v>
      </c>
      <c r="AU171" s="193">
        <v>0</v>
      </c>
      <c r="AV171" s="193">
        <v>0</v>
      </c>
      <c r="AW171" s="193">
        <v>0</v>
      </c>
      <c r="AX171" s="193">
        <v>0</v>
      </c>
      <c r="AY171" s="193">
        <v>0</v>
      </c>
      <c r="AZ171" s="193">
        <v>0</v>
      </c>
      <c r="BA171" s="193">
        <v>0</v>
      </c>
      <c r="BB171" s="193">
        <v>900000</v>
      </c>
      <c r="BC171" s="193">
        <v>0</v>
      </c>
      <c r="BD171" s="193">
        <v>900000</v>
      </c>
    </row>
    <row r="172" spans="1:56" s="188" customFormat="1">
      <c r="A172" s="189">
        <v>-10</v>
      </c>
      <c r="B172" s="194" t="s">
        <v>1061</v>
      </c>
      <c r="C172" s="191">
        <v>250000</v>
      </c>
      <c r="D172" s="192">
        <v>4</v>
      </c>
      <c r="E172" s="192">
        <v>0</v>
      </c>
      <c r="F172" s="192">
        <v>0</v>
      </c>
      <c r="G172" s="192">
        <v>0</v>
      </c>
      <c r="H172" s="192">
        <v>0</v>
      </c>
      <c r="I172" s="192">
        <v>0</v>
      </c>
      <c r="J172" s="192">
        <v>0</v>
      </c>
      <c r="K172" s="192">
        <v>0</v>
      </c>
      <c r="L172" s="192">
        <v>0</v>
      </c>
      <c r="M172" s="192">
        <v>0</v>
      </c>
      <c r="N172" s="192">
        <v>0</v>
      </c>
      <c r="O172" s="192">
        <v>0</v>
      </c>
      <c r="P172" s="192">
        <v>0</v>
      </c>
      <c r="Q172" s="192">
        <v>0</v>
      </c>
      <c r="R172" s="192">
        <v>0</v>
      </c>
      <c r="S172" s="192">
        <v>0</v>
      </c>
      <c r="T172" s="192">
        <v>0</v>
      </c>
      <c r="U172" s="192">
        <v>0</v>
      </c>
      <c r="V172" s="192">
        <v>0</v>
      </c>
      <c r="W172" s="192">
        <v>0</v>
      </c>
      <c r="X172" s="192">
        <v>0</v>
      </c>
      <c r="Y172" s="192">
        <v>0</v>
      </c>
      <c r="Z172" s="192">
        <v>0</v>
      </c>
      <c r="AA172" s="192">
        <v>0</v>
      </c>
      <c r="AB172" s="192">
        <v>4</v>
      </c>
      <c r="AC172" s="192">
        <v>0</v>
      </c>
      <c r="AD172" s="193">
        <v>1000000</v>
      </c>
      <c r="AE172" s="193">
        <v>0</v>
      </c>
      <c r="AF172" s="193">
        <v>0</v>
      </c>
      <c r="AG172" s="193">
        <v>0</v>
      </c>
      <c r="AH172" s="193">
        <v>0</v>
      </c>
      <c r="AI172" s="193">
        <v>0</v>
      </c>
      <c r="AJ172" s="193">
        <v>0</v>
      </c>
      <c r="AK172" s="193">
        <v>0</v>
      </c>
      <c r="AL172" s="193">
        <v>0</v>
      </c>
      <c r="AM172" s="193">
        <v>0</v>
      </c>
      <c r="AN172" s="193">
        <v>0</v>
      </c>
      <c r="AO172" s="193">
        <v>0</v>
      </c>
      <c r="AP172" s="193">
        <v>0</v>
      </c>
      <c r="AQ172" s="193">
        <v>0</v>
      </c>
      <c r="AR172" s="193">
        <v>0</v>
      </c>
      <c r="AS172" s="193">
        <v>0</v>
      </c>
      <c r="AT172" s="193">
        <v>0</v>
      </c>
      <c r="AU172" s="193">
        <v>0</v>
      </c>
      <c r="AV172" s="193">
        <v>0</v>
      </c>
      <c r="AW172" s="193">
        <v>0</v>
      </c>
      <c r="AX172" s="193">
        <v>0</v>
      </c>
      <c r="AY172" s="193">
        <v>0</v>
      </c>
      <c r="AZ172" s="193">
        <v>0</v>
      </c>
      <c r="BA172" s="193">
        <v>0</v>
      </c>
      <c r="BB172" s="193">
        <v>1000000</v>
      </c>
      <c r="BC172" s="193">
        <v>0</v>
      </c>
      <c r="BD172" s="193">
        <v>1000000</v>
      </c>
    </row>
    <row r="173" spans="1:56" s="188" customFormat="1">
      <c r="A173" s="189">
        <v>-11</v>
      </c>
      <c r="B173" s="190" t="s">
        <v>1078</v>
      </c>
      <c r="C173" s="191">
        <v>250000</v>
      </c>
      <c r="D173" s="192">
        <v>4</v>
      </c>
      <c r="E173" s="192">
        <v>0</v>
      </c>
      <c r="F173" s="192">
        <v>0</v>
      </c>
      <c r="G173" s="192">
        <v>0</v>
      </c>
      <c r="H173" s="192">
        <v>0</v>
      </c>
      <c r="I173" s="192">
        <v>0</v>
      </c>
      <c r="J173" s="192">
        <v>0</v>
      </c>
      <c r="K173" s="192">
        <v>0</v>
      </c>
      <c r="L173" s="192">
        <v>0</v>
      </c>
      <c r="M173" s="192">
        <v>0</v>
      </c>
      <c r="N173" s="192">
        <v>0</v>
      </c>
      <c r="O173" s="192">
        <v>0</v>
      </c>
      <c r="P173" s="192">
        <v>0</v>
      </c>
      <c r="Q173" s="192">
        <v>0</v>
      </c>
      <c r="R173" s="192">
        <v>0</v>
      </c>
      <c r="S173" s="192">
        <v>0</v>
      </c>
      <c r="T173" s="192">
        <v>0</v>
      </c>
      <c r="U173" s="192">
        <v>0</v>
      </c>
      <c r="V173" s="192">
        <v>0</v>
      </c>
      <c r="W173" s="192">
        <v>0</v>
      </c>
      <c r="X173" s="192">
        <v>0</v>
      </c>
      <c r="Y173" s="192">
        <v>0</v>
      </c>
      <c r="Z173" s="192">
        <v>0</v>
      </c>
      <c r="AA173" s="192">
        <v>0</v>
      </c>
      <c r="AB173" s="192">
        <v>4</v>
      </c>
      <c r="AC173" s="192">
        <v>0</v>
      </c>
      <c r="AD173" s="193">
        <v>1000000</v>
      </c>
      <c r="AE173" s="193">
        <v>0</v>
      </c>
      <c r="AF173" s="193">
        <v>0</v>
      </c>
      <c r="AG173" s="193">
        <v>0</v>
      </c>
      <c r="AH173" s="193">
        <v>0</v>
      </c>
      <c r="AI173" s="193">
        <v>0</v>
      </c>
      <c r="AJ173" s="193">
        <v>0</v>
      </c>
      <c r="AK173" s="193">
        <v>0</v>
      </c>
      <c r="AL173" s="193">
        <v>0</v>
      </c>
      <c r="AM173" s="193">
        <v>0</v>
      </c>
      <c r="AN173" s="193">
        <v>0</v>
      </c>
      <c r="AO173" s="193">
        <v>0</v>
      </c>
      <c r="AP173" s="193">
        <v>0</v>
      </c>
      <c r="AQ173" s="193">
        <v>0</v>
      </c>
      <c r="AR173" s="193">
        <v>0</v>
      </c>
      <c r="AS173" s="193">
        <v>0</v>
      </c>
      <c r="AT173" s="193">
        <v>0</v>
      </c>
      <c r="AU173" s="193">
        <v>0</v>
      </c>
      <c r="AV173" s="193">
        <v>0</v>
      </c>
      <c r="AW173" s="193">
        <v>0</v>
      </c>
      <c r="AX173" s="193">
        <v>0</v>
      </c>
      <c r="AY173" s="193">
        <v>0</v>
      </c>
      <c r="AZ173" s="193">
        <v>0</v>
      </c>
      <c r="BA173" s="193">
        <v>0</v>
      </c>
      <c r="BB173" s="193">
        <v>1000000</v>
      </c>
      <c r="BC173" s="193">
        <v>0</v>
      </c>
      <c r="BD173" s="193">
        <v>1000000</v>
      </c>
    </row>
    <row r="174" spans="1:56" s="188" customFormat="1">
      <c r="A174" s="189">
        <v>-12</v>
      </c>
      <c r="B174" s="190" t="s">
        <v>888</v>
      </c>
      <c r="C174" s="191">
        <v>250000</v>
      </c>
      <c r="D174" s="192">
        <v>0</v>
      </c>
      <c r="E174" s="192">
        <v>0</v>
      </c>
      <c r="F174" s="192">
        <v>0</v>
      </c>
      <c r="G174" s="192">
        <v>0</v>
      </c>
      <c r="H174" s="192">
        <v>0</v>
      </c>
      <c r="I174" s="192">
        <v>0</v>
      </c>
      <c r="J174" s="192">
        <v>0</v>
      </c>
      <c r="K174" s="192">
        <v>0</v>
      </c>
      <c r="L174" s="192">
        <v>0</v>
      </c>
      <c r="M174" s="192">
        <v>0</v>
      </c>
      <c r="N174" s="192">
        <v>0</v>
      </c>
      <c r="O174" s="192">
        <v>0</v>
      </c>
      <c r="P174" s="192">
        <v>0</v>
      </c>
      <c r="Q174" s="192">
        <v>0</v>
      </c>
      <c r="R174" s="192">
        <v>0</v>
      </c>
      <c r="S174" s="192">
        <v>0</v>
      </c>
      <c r="T174" s="192">
        <v>0</v>
      </c>
      <c r="U174" s="192">
        <v>0</v>
      </c>
      <c r="V174" s="192">
        <v>0</v>
      </c>
      <c r="W174" s="192">
        <v>0</v>
      </c>
      <c r="X174" s="192">
        <v>0</v>
      </c>
      <c r="Y174" s="192">
        <v>0</v>
      </c>
      <c r="Z174" s="192">
        <v>0</v>
      </c>
      <c r="AA174" s="192">
        <v>0</v>
      </c>
      <c r="AB174" s="192">
        <v>0</v>
      </c>
      <c r="AC174" s="192">
        <v>0</v>
      </c>
      <c r="AD174" s="193">
        <v>0</v>
      </c>
      <c r="AE174" s="193">
        <v>0</v>
      </c>
      <c r="AF174" s="193">
        <v>0</v>
      </c>
      <c r="AG174" s="193">
        <v>0</v>
      </c>
      <c r="AH174" s="193">
        <v>0</v>
      </c>
      <c r="AI174" s="193">
        <v>0</v>
      </c>
      <c r="AJ174" s="193">
        <v>0</v>
      </c>
      <c r="AK174" s="193">
        <v>0</v>
      </c>
      <c r="AL174" s="193">
        <v>0</v>
      </c>
      <c r="AM174" s="193">
        <v>0</v>
      </c>
      <c r="AN174" s="193">
        <v>0</v>
      </c>
      <c r="AO174" s="193">
        <v>0</v>
      </c>
      <c r="AP174" s="193">
        <v>0</v>
      </c>
      <c r="AQ174" s="193">
        <v>0</v>
      </c>
      <c r="AR174" s="193">
        <v>0</v>
      </c>
      <c r="AS174" s="193">
        <v>0</v>
      </c>
      <c r="AT174" s="193">
        <v>0</v>
      </c>
      <c r="AU174" s="193">
        <v>0</v>
      </c>
      <c r="AV174" s="193">
        <v>0</v>
      </c>
      <c r="AW174" s="193">
        <v>0</v>
      </c>
      <c r="AX174" s="193">
        <v>0</v>
      </c>
      <c r="AY174" s="193">
        <v>0</v>
      </c>
      <c r="AZ174" s="193">
        <v>0</v>
      </c>
      <c r="BA174" s="193">
        <v>0</v>
      </c>
      <c r="BB174" s="193">
        <v>0</v>
      </c>
      <c r="BC174" s="193">
        <v>0</v>
      </c>
      <c r="BD174" s="193">
        <v>0</v>
      </c>
    </row>
    <row r="175" spans="1:56" s="188" customFormat="1">
      <c r="A175" s="189">
        <v>-13</v>
      </c>
      <c r="B175" s="194" t="s">
        <v>1079</v>
      </c>
      <c r="C175" s="191">
        <v>250000</v>
      </c>
      <c r="D175" s="192">
        <v>0</v>
      </c>
      <c r="E175" s="192">
        <v>0</v>
      </c>
      <c r="F175" s="192">
        <v>0</v>
      </c>
      <c r="G175" s="192">
        <v>0</v>
      </c>
      <c r="H175" s="192">
        <v>1</v>
      </c>
      <c r="I175" s="192">
        <v>0</v>
      </c>
      <c r="J175" s="192">
        <v>0</v>
      </c>
      <c r="K175" s="192">
        <v>0</v>
      </c>
      <c r="L175" s="192">
        <v>0</v>
      </c>
      <c r="M175" s="192">
        <v>0</v>
      </c>
      <c r="N175" s="192">
        <v>0</v>
      </c>
      <c r="O175" s="192">
        <v>0</v>
      </c>
      <c r="P175" s="192">
        <v>0</v>
      </c>
      <c r="Q175" s="192">
        <v>0</v>
      </c>
      <c r="R175" s="192">
        <v>0</v>
      </c>
      <c r="S175" s="192">
        <v>0</v>
      </c>
      <c r="T175" s="192">
        <v>0</v>
      </c>
      <c r="U175" s="192">
        <v>0</v>
      </c>
      <c r="V175" s="192">
        <v>0</v>
      </c>
      <c r="W175" s="192">
        <v>0</v>
      </c>
      <c r="X175" s="192">
        <v>0</v>
      </c>
      <c r="Y175" s="192">
        <v>0</v>
      </c>
      <c r="Z175" s="192">
        <v>0</v>
      </c>
      <c r="AA175" s="192">
        <v>0</v>
      </c>
      <c r="AB175" s="192">
        <v>1</v>
      </c>
      <c r="AC175" s="192">
        <v>0</v>
      </c>
      <c r="AD175" s="193">
        <v>0</v>
      </c>
      <c r="AE175" s="193">
        <v>0</v>
      </c>
      <c r="AF175" s="193">
        <v>0</v>
      </c>
      <c r="AG175" s="193">
        <v>0</v>
      </c>
      <c r="AH175" s="193">
        <v>250000</v>
      </c>
      <c r="AI175" s="193">
        <v>0</v>
      </c>
      <c r="AJ175" s="193">
        <v>0</v>
      </c>
      <c r="AK175" s="193">
        <v>0</v>
      </c>
      <c r="AL175" s="193">
        <v>0</v>
      </c>
      <c r="AM175" s="193">
        <v>0</v>
      </c>
      <c r="AN175" s="193">
        <v>0</v>
      </c>
      <c r="AO175" s="193">
        <v>0</v>
      </c>
      <c r="AP175" s="193">
        <v>0</v>
      </c>
      <c r="AQ175" s="193">
        <v>0</v>
      </c>
      <c r="AR175" s="193">
        <v>0</v>
      </c>
      <c r="AS175" s="193">
        <v>0</v>
      </c>
      <c r="AT175" s="193">
        <v>0</v>
      </c>
      <c r="AU175" s="193">
        <v>0</v>
      </c>
      <c r="AV175" s="193">
        <v>0</v>
      </c>
      <c r="AW175" s="193">
        <v>0</v>
      </c>
      <c r="AX175" s="193">
        <v>0</v>
      </c>
      <c r="AY175" s="193">
        <v>0</v>
      </c>
      <c r="AZ175" s="193">
        <v>0</v>
      </c>
      <c r="BA175" s="193">
        <v>0</v>
      </c>
      <c r="BB175" s="193">
        <v>250000</v>
      </c>
      <c r="BC175" s="193">
        <v>0</v>
      </c>
      <c r="BD175" s="193">
        <v>250000</v>
      </c>
    </row>
    <row r="176" spans="1:56" s="188" customFormat="1">
      <c r="A176" s="189">
        <v>-14</v>
      </c>
      <c r="B176" s="194" t="s">
        <v>890</v>
      </c>
      <c r="C176" s="191">
        <v>300000</v>
      </c>
      <c r="D176" s="192">
        <v>0</v>
      </c>
      <c r="E176" s="192">
        <v>0</v>
      </c>
      <c r="F176" s="192">
        <v>0</v>
      </c>
      <c r="G176" s="192">
        <v>0</v>
      </c>
      <c r="H176" s="192">
        <v>0</v>
      </c>
      <c r="I176" s="192">
        <v>0</v>
      </c>
      <c r="J176" s="192">
        <v>0</v>
      </c>
      <c r="K176" s="192">
        <v>0</v>
      </c>
      <c r="L176" s="192">
        <v>0</v>
      </c>
      <c r="M176" s="192">
        <v>0</v>
      </c>
      <c r="N176" s="192">
        <v>0</v>
      </c>
      <c r="O176" s="192">
        <v>0</v>
      </c>
      <c r="P176" s="192">
        <v>0</v>
      </c>
      <c r="Q176" s="192">
        <v>0</v>
      </c>
      <c r="R176" s="192">
        <v>0</v>
      </c>
      <c r="S176" s="192">
        <v>0</v>
      </c>
      <c r="T176" s="192">
        <v>0</v>
      </c>
      <c r="U176" s="192">
        <v>0</v>
      </c>
      <c r="V176" s="192">
        <v>0</v>
      </c>
      <c r="W176" s="192">
        <v>0</v>
      </c>
      <c r="X176" s="192">
        <v>0</v>
      </c>
      <c r="Y176" s="192">
        <v>0</v>
      </c>
      <c r="Z176" s="192">
        <v>0</v>
      </c>
      <c r="AA176" s="192">
        <v>0</v>
      </c>
      <c r="AB176" s="192">
        <v>0</v>
      </c>
      <c r="AC176" s="192">
        <v>0</v>
      </c>
      <c r="AD176" s="193">
        <v>0</v>
      </c>
      <c r="AE176" s="193">
        <v>0</v>
      </c>
      <c r="AF176" s="193">
        <v>0</v>
      </c>
      <c r="AG176" s="193">
        <v>0</v>
      </c>
      <c r="AH176" s="193">
        <v>0</v>
      </c>
      <c r="AI176" s="193">
        <v>0</v>
      </c>
      <c r="AJ176" s="193">
        <v>0</v>
      </c>
      <c r="AK176" s="193">
        <v>0</v>
      </c>
      <c r="AL176" s="193">
        <v>0</v>
      </c>
      <c r="AM176" s="193">
        <v>0</v>
      </c>
      <c r="AN176" s="193">
        <v>0</v>
      </c>
      <c r="AO176" s="193">
        <v>0</v>
      </c>
      <c r="AP176" s="193">
        <v>0</v>
      </c>
      <c r="AQ176" s="193">
        <v>0</v>
      </c>
      <c r="AR176" s="193">
        <v>0</v>
      </c>
      <c r="AS176" s="193">
        <v>0</v>
      </c>
      <c r="AT176" s="193">
        <v>0</v>
      </c>
      <c r="AU176" s="193">
        <v>0</v>
      </c>
      <c r="AV176" s="193">
        <v>0</v>
      </c>
      <c r="AW176" s="193">
        <v>0</v>
      </c>
      <c r="AX176" s="193">
        <v>0</v>
      </c>
      <c r="AY176" s="193">
        <v>0</v>
      </c>
      <c r="AZ176" s="193">
        <v>0</v>
      </c>
      <c r="BA176" s="193">
        <v>0</v>
      </c>
      <c r="BB176" s="193">
        <v>0</v>
      </c>
      <c r="BC176" s="193">
        <v>0</v>
      </c>
      <c r="BD176" s="193">
        <v>0</v>
      </c>
    </row>
    <row r="177" spans="1:56" s="188" customFormat="1">
      <c r="A177" s="189">
        <v>-15</v>
      </c>
      <c r="B177" s="194" t="s">
        <v>854</v>
      </c>
      <c r="C177" s="191">
        <v>300000</v>
      </c>
      <c r="D177" s="192">
        <v>5</v>
      </c>
      <c r="E177" s="192">
        <v>0</v>
      </c>
      <c r="F177" s="192">
        <v>0</v>
      </c>
      <c r="G177" s="192">
        <v>0</v>
      </c>
      <c r="H177" s="192">
        <v>0</v>
      </c>
      <c r="I177" s="192">
        <v>0</v>
      </c>
      <c r="J177" s="192">
        <v>0</v>
      </c>
      <c r="K177" s="192">
        <v>0</v>
      </c>
      <c r="L177" s="192">
        <v>0</v>
      </c>
      <c r="M177" s="192">
        <v>0</v>
      </c>
      <c r="N177" s="192">
        <v>0</v>
      </c>
      <c r="O177" s="192">
        <v>0</v>
      </c>
      <c r="P177" s="192">
        <v>0</v>
      </c>
      <c r="Q177" s="192">
        <v>0</v>
      </c>
      <c r="R177" s="192">
        <v>0</v>
      </c>
      <c r="S177" s="192">
        <v>0</v>
      </c>
      <c r="T177" s="192">
        <v>0</v>
      </c>
      <c r="U177" s="192">
        <v>0</v>
      </c>
      <c r="V177" s="192">
        <v>0</v>
      </c>
      <c r="W177" s="192">
        <v>0</v>
      </c>
      <c r="X177" s="192">
        <v>0</v>
      </c>
      <c r="Y177" s="192">
        <v>0</v>
      </c>
      <c r="Z177" s="192">
        <v>0</v>
      </c>
      <c r="AA177" s="192">
        <v>0</v>
      </c>
      <c r="AB177" s="192">
        <v>5</v>
      </c>
      <c r="AC177" s="192">
        <v>0</v>
      </c>
      <c r="AD177" s="193">
        <v>1500000</v>
      </c>
      <c r="AE177" s="193">
        <v>0</v>
      </c>
      <c r="AF177" s="193">
        <v>0</v>
      </c>
      <c r="AG177" s="193">
        <v>0</v>
      </c>
      <c r="AH177" s="193">
        <v>0</v>
      </c>
      <c r="AI177" s="193">
        <v>0</v>
      </c>
      <c r="AJ177" s="193">
        <v>0</v>
      </c>
      <c r="AK177" s="193">
        <v>0</v>
      </c>
      <c r="AL177" s="193">
        <v>0</v>
      </c>
      <c r="AM177" s="193">
        <v>0</v>
      </c>
      <c r="AN177" s="193">
        <v>0</v>
      </c>
      <c r="AO177" s="193">
        <v>0</v>
      </c>
      <c r="AP177" s="193">
        <v>0</v>
      </c>
      <c r="AQ177" s="193">
        <v>0</v>
      </c>
      <c r="AR177" s="193">
        <v>0</v>
      </c>
      <c r="AS177" s="193">
        <v>0</v>
      </c>
      <c r="AT177" s="193">
        <v>0</v>
      </c>
      <c r="AU177" s="193">
        <v>0</v>
      </c>
      <c r="AV177" s="193">
        <v>0</v>
      </c>
      <c r="AW177" s="193">
        <v>0</v>
      </c>
      <c r="AX177" s="193">
        <v>0</v>
      </c>
      <c r="AY177" s="193">
        <v>0</v>
      </c>
      <c r="AZ177" s="193">
        <v>0</v>
      </c>
      <c r="BA177" s="193">
        <v>0</v>
      </c>
      <c r="BB177" s="193">
        <v>1500000</v>
      </c>
      <c r="BC177" s="193">
        <v>0</v>
      </c>
      <c r="BD177" s="193">
        <v>1500000</v>
      </c>
    </row>
    <row r="178" spans="1:56" s="188" customFormat="1">
      <c r="A178" s="189">
        <v>-16</v>
      </c>
      <c r="B178" s="190" t="s">
        <v>1080</v>
      </c>
      <c r="C178" s="191">
        <v>400000</v>
      </c>
      <c r="D178" s="192">
        <v>1</v>
      </c>
      <c r="E178" s="192">
        <v>0</v>
      </c>
      <c r="F178" s="192">
        <v>0</v>
      </c>
      <c r="G178" s="192">
        <v>0</v>
      </c>
      <c r="H178" s="192">
        <v>0</v>
      </c>
      <c r="I178" s="192">
        <v>0</v>
      </c>
      <c r="J178" s="192">
        <v>0</v>
      </c>
      <c r="K178" s="192">
        <v>0</v>
      </c>
      <c r="L178" s="192">
        <v>0</v>
      </c>
      <c r="M178" s="192">
        <v>0</v>
      </c>
      <c r="N178" s="192">
        <v>0</v>
      </c>
      <c r="O178" s="192">
        <v>0</v>
      </c>
      <c r="P178" s="192">
        <v>0</v>
      </c>
      <c r="Q178" s="192">
        <v>0</v>
      </c>
      <c r="R178" s="192">
        <v>1</v>
      </c>
      <c r="S178" s="192">
        <v>0</v>
      </c>
      <c r="T178" s="192">
        <v>0</v>
      </c>
      <c r="U178" s="192">
        <v>0</v>
      </c>
      <c r="V178" s="192">
        <v>0</v>
      </c>
      <c r="W178" s="192">
        <v>0</v>
      </c>
      <c r="X178" s="192">
        <v>0</v>
      </c>
      <c r="Y178" s="192">
        <v>0</v>
      </c>
      <c r="Z178" s="192">
        <v>0</v>
      </c>
      <c r="AA178" s="192">
        <v>0</v>
      </c>
      <c r="AB178" s="192">
        <v>2</v>
      </c>
      <c r="AC178" s="192">
        <v>0</v>
      </c>
      <c r="AD178" s="193">
        <v>400000</v>
      </c>
      <c r="AE178" s="193">
        <v>0</v>
      </c>
      <c r="AF178" s="193">
        <v>0</v>
      </c>
      <c r="AG178" s="193">
        <v>0</v>
      </c>
      <c r="AH178" s="193">
        <v>0</v>
      </c>
      <c r="AI178" s="193">
        <v>0</v>
      </c>
      <c r="AJ178" s="193">
        <v>0</v>
      </c>
      <c r="AK178" s="193">
        <v>0</v>
      </c>
      <c r="AL178" s="193">
        <v>0</v>
      </c>
      <c r="AM178" s="193">
        <v>0</v>
      </c>
      <c r="AN178" s="193">
        <v>0</v>
      </c>
      <c r="AO178" s="193">
        <v>0</v>
      </c>
      <c r="AP178" s="193">
        <v>0</v>
      </c>
      <c r="AQ178" s="193">
        <v>0</v>
      </c>
      <c r="AR178" s="193">
        <v>400000</v>
      </c>
      <c r="AS178" s="193">
        <v>0</v>
      </c>
      <c r="AT178" s="193">
        <v>0</v>
      </c>
      <c r="AU178" s="193">
        <v>0</v>
      </c>
      <c r="AV178" s="193">
        <v>0</v>
      </c>
      <c r="AW178" s="193">
        <v>0</v>
      </c>
      <c r="AX178" s="193">
        <v>0</v>
      </c>
      <c r="AY178" s="193">
        <v>0</v>
      </c>
      <c r="AZ178" s="193">
        <v>0</v>
      </c>
      <c r="BA178" s="193">
        <v>0</v>
      </c>
      <c r="BB178" s="193">
        <v>800000</v>
      </c>
      <c r="BC178" s="193">
        <v>0</v>
      </c>
      <c r="BD178" s="193">
        <v>800000</v>
      </c>
    </row>
    <row r="179" spans="1:56" s="188" customFormat="1">
      <c r="A179" s="189">
        <v>-17</v>
      </c>
      <c r="B179" s="190" t="s">
        <v>1081</v>
      </c>
      <c r="C179" s="191">
        <v>450000</v>
      </c>
      <c r="D179" s="192">
        <v>0</v>
      </c>
      <c r="E179" s="192">
        <v>0</v>
      </c>
      <c r="F179" s="192">
        <v>0</v>
      </c>
      <c r="G179" s="192">
        <v>0</v>
      </c>
      <c r="H179" s="192">
        <v>0</v>
      </c>
      <c r="I179" s="192">
        <v>0</v>
      </c>
      <c r="J179" s="192">
        <v>0</v>
      </c>
      <c r="K179" s="192">
        <v>0</v>
      </c>
      <c r="L179" s="192">
        <v>0</v>
      </c>
      <c r="M179" s="192">
        <v>0</v>
      </c>
      <c r="N179" s="192">
        <v>0</v>
      </c>
      <c r="O179" s="192">
        <v>0</v>
      </c>
      <c r="P179" s="192">
        <v>0</v>
      </c>
      <c r="Q179" s="192">
        <v>0</v>
      </c>
      <c r="R179" s="192">
        <v>1</v>
      </c>
      <c r="S179" s="192">
        <v>0</v>
      </c>
      <c r="T179" s="192">
        <v>0</v>
      </c>
      <c r="U179" s="192">
        <v>0</v>
      </c>
      <c r="V179" s="192">
        <v>0</v>
      </c>
      <c r="W179" s="192">
        <v>0</v>
      </c>
      <c r="X179" s="192">
        <v>0</v>
      </c>
      <c r="Y179" s="192">
        <v>0</v>
      </c>
      <c r="Z179" s="192">
        <v>0</v>
      </c>
      <c r="AA179" s="192">
        <v>0</v>
      </c>
      <c r="AB179" s="192">
        <v>1</v>
      </c>
      <c r="AC179" s="192">
        <v>0</v>
      </c>
      <c r="AD179" s="193">
        <v>0</v>
      </c>
      <c r="AE179" s="193">
        <v>0</v>
      </c>
      <c r="AF179" s="193">
        <v>0</v>
      </c>
      <c r="AG179" s="193">
        <v>0</v>
      </c>
      <c r="AH179" s="193">
        <v>0</v>
      </c>
      <c r="AI179" s="193">
        <v>0</v>
      </c>
      <c r="AJ179" s="193">
        <v>0</v>
      </c>
      <c r="AK179" s="193">
        <v>0</v>
      </c>
      <c r="AL179" s="193">
        <v>0</v>
      </c>
      <c r="AM179" s="193">
        <v>0</v>
      </c>
      <c r="AN179" s="193">
        <v>0</v>
      </c>
      <c r="AO179" s="193">
        <v>0</v>
      </c>
      <c r="AP179" s="193">
        <v>0</v>
      </c>
      <c r="AQ179" s="193">
        <v>0</v>
      </c>
      <c r="AR179" s="193">
        <v>450000</v>
      </c>
      <c r="AS179" s="193">
        <v>0</v>
      </c>
      <c r="AT179" s="193">
        <v>0</v>
      </c>
      <c r="AU179" s="193">
        <v>0</v>
      </c>
      <c r="AV179" s="193">
        <v>0</v>
      </c>
      <c r="AW179" s="193">
        <v>0</v>
      </c>
      <c r="AX179" s="193">
        <v>0</v>
      </c>
      <c r="AY179" s="193">
        <v>0</v>
      </c>
      <c r="AZ179" s="193">
        <v>0</v>
      </c>
      <c r="BA179" s="193">
        <v>0</v>
      </c>
      <c r="BB179" s="193">
        <v>450000</v>
      </c>
      <c r="BC179" s="193">
        <v>0</v>
      </c>
      <c r="BD179" s="193">
        <v>450000</v>
      </c>
    </row>
    <row r="180" spans="1:56" s="188" customFormat="1">
      <c r="A180" s="189">
        <v>-18</v>
      </c>
      <c r="B180" s="194" t="s">
        <v>1082</v>
      </c>
      <c r="C180" s="191">
        <v>450000</v>
      </c>
      <c r="D180" s="192">
        <v>0</v>
      </c>
      <c r="E180" s="192">
        <v>0</v>
      </c>
      <c r="F180" s="192">
        <v>0</v>
      </c>
      <c r="G180" s="192">
        <v>0</v>
      </c>
      <c r="H180" s="192">
        <v>0</v>
      </c>
      <c r="I180" s="192">
        <v>0</v>
      </c>
      <c r="J180" s="192">
        <v>0</v>
      </c>
      <c r="K180" s="192">
        <v>0</v>
      </c>
      <c r="L180" s="192">
        <v>0</v>
      </c>
      <c r="M180" s="192">
        <v>0</v>
      </c>
      <c r="N180" s="192">
        <v>0</v>
      </c>
      <c r="O180" s="192">
        <v>0</v>
      </c>
      <c r="P180" s="192">
        <v>0</v>
      </c>
      <c r="Q180" s="192">
        <v>0</v>
      </c>
      <c r="R180" s="192">
        <v>0</v>
      </c>
      <c r="S180" s="192">
        <v>0</v>
      </c>
      <c r="T180" s="192">
        <v>0</v>
      </c>
      <c r="U180" s="192">
        <v>0</v>
      </c>
      <c r="V180" s="192">
        <v>0</v>
      </c>
      <c r="W180" s="192">
        <v>0</v>
      </c>
      <c r="X180" s="192">
        <v>0</v>
      </c>
      <c r="Y180" s="192">
        <v>0</v>
      </c>
      <c r="Z180" s="192">
        <v>0</v>
      </c>
      <c r="AA180" s="192">
        <v>0</v>
      </c>
      <c r="AB180" s="192">
        <v>0</v>
      </c>
      <c r="AC180" s="192">
        <v>0</v>
      </c>
      <c r="AD180" s="193">
        <v>0</v>
      </c>
      <c r="AE180" s="193">
        <v>0</v>
      </c>
      <c r="AF180" s="193">
        <v>0</v>
      </c>
      <c r="AG180" s="193">
        <v>0</v>
      </c>
      <c r="AH180" s="193">
        <v>0</v>
      </c>
      <c r="AI180" s="193">
        <v>0</v>
      </c>
      <c r="AJ180" s="193">
        <v>0</v>
      </c>
      <c r="AK180" s="193">
        <v>0</v>
      </c>
      <c r="AL180" s="193">
        <v>0</v>
      </c>
      <c r="AM180" s="193">
        <v>0</v>
      </c>
      <c r="AN180" s="193">
        <v>0</v>
      </c>
      <c r="AO180" s="193">
        <v>0</v>
      </c>
      <c r="AP180" s="193">
        <v>0</v>
      </c>
      <c r="AQ180" s="193">
        <v>0</v>
      </c>
      <c r="AR180" s="193">
        <v>0</v>
      </c>
      <c r="AS180" s="193">
        <v>0</v>
      </c>
      <c r="AT180" s="193">
        <v>0</v>
      </c>
      <c r="AU180" s="193">
        <v>0</v>
      </c>
      <c r="AV180" s="193">
        <v>0</v>
      </c>
      <c r="AW180" s="193">
        <v>0</v>
      </c>
      <c r="AX180" s="193">
        <v>0</v>
      </c>
      <c r="AY180" s="193">
        <v>0</v>
      </c>
      <c r="AZ180" s="193">
        <v>0</v>
      </c>
      <c r="BA180" s="193">
        <v>0</v>
      </c>
      <c r="BB180" s="193">
        <v>0</v>
      </c>
      <c r="BC180" s="193">
        <v>0</v>
      </c>
      <c r="BD180" s="193">
        <v>0</v>
      </c>
    </row>
    <row r="181" spans="1:56" s="188" customFormat="1">
      <c r="A181" s="189">
        <v>-19</v>
      </c>
      <c r="B181" s="194" t="s">
        <v>1083</v>
      </c>
      <c r="C181" s="191">
        <v>460000</v>
      </c>
      <c r="D181" s="192">
        <v>0</v>
      </c>
      <c r="E181" s="192">
        <v>0</v>
      </c>
      <c r="F181" s="192">
        <v>0</v>
      </c>
      <c r="G181" s="192">
        <v>0</v>
      </c>
      <c r="H181" s="192">
        <v>0</v>
      </c>
      <c r="I181" s="192">
        <v>0</v>
      </c>
      <c r="J181" s="192">
        <v>0</v>
      </c>
      <c r="K181" s="192">
        <v>0</v>
      </c>
      <c r="L181" s="192">
        <v>0</v>
      </c>
      <c r="M181" s="192">
        <v>0</v>
      </c>
      <c r="N181" s="192">
        <v>0</v>
      </c>
      <c r="O181" s="192">
        <v>0</v>
      </c>
      <c r="P181" s="192">
        <v>0</v>
      </c>
      <c r="Q181" s="192">
        <v>0</v>
      </c>
      <c r="R181" s="192">
        <v>0</v>
      </c>
      <c r="S181" s="192">
        <v>0</v>
      </c>
      <c r="T181" s="192">
        <v>0</v>
      </c>
      <c r="U181" s="192">
        <v>0</v>
      </c>
      <c r="V181" s="192">
        <v>0</v>
      </c>
      <c r="W181" s="192">
        <v>0</v>
      </c>
      <c r="X181" s="192">
        <v>0</v>
      </c>
      <c r="Y181" s="192">
        <v>0</v>
      </c>
      <c r="Z181" s="192">
        <v>0</v>
      </c>
      <c r="AA181" s="192">
        <v>0</v>
      </c>
      <c r="AB181" s="192">
        <v>0</v>
      </c>
      <c r="AC181" s="192">
        <v>0</v>
      </c>
      <c r="AD181" s="193">
        <v>0</v>
      </c>
      <c r="AE181" s="193">
        <v>0</v>
      </c>
      <c r="AF181" s="193">
        <v>0</v>
      </c>
      <c r="AG181" s="193">
        <v>0</v>
      </c>
      <c r="AH181" s="193">
        <v>0</v>
      </c>
      <c r="AI181" s="193">
        <v>0</v>
      </c>
      <c r="AJ181" s="193">
        <v>0</v>
      </c>
      <c r="AK181" s="193">
        <v>0</v>
      </c>
      <c r="AL181" s="193">
        <v>0</v>
      </c>
      <c r="AM181" s="193">
        <v>0</v>
      </c>
      <c r="AN181" s="193">
        <v>0</v>
      </c>
      <c r="AO181" s="193">
        <v>0</v>
      </c>
      <c r="AP181" s="193">
        <v>0</v>
      </c>
      <c r="AQ181" s="193">
        <v>0</v>
      </c>
      <c r="AR181" s="193">
        <v>0</v>
      </c>
      <c r="AS181" s="193">
        <v>0</v>
      </c>
      <c r="AT181" s="193">
        <v>0</v>
      </c>
      <c r="AU181" s="193">
        <v>0</v>
      </c>
      <c r="AV181" s="193">
        <v>0</v>
      </c>
      <c r="AW181" s="193">
        <v>0</v>
      </c>
      <c r="AX181" s="193">
        <v>0</v>
      </c>
      <c r="AY181" s="193">
        <v>0</v>
      </c>
      <c r="AZ181" s="193">
        <v>0</v>
      </c>
      <c r="BA181" s="193">
        <v>0</v>
      </c>
      <c r="BB181" s="193">
        <v>0</v>
      </c>
      <c r="BC181" s="193">
        <v>0</v>
      </c>
      <c r="BD181" s="193">
        <v>0</v>
      </c>
    </row>
    <row r="182" spans="1:56" s="188" customFormat="1">
      <c r="A182" s="189">
        <v>-20</v>
      </c>
      <c r="B182" s="194" t="s">
        <v>956</v>
      </c>
      <c r="C182" s="191">
        <v>460000</v>
      </c>
      <c r="D182" s="192">
        <v>0</v>
      </c>
      <c r="E182" s="192">
        <v>0</v>
      </c>
      <c r="F182" s="192">
        <v>0</v>
      </c>
      <c r="G182" s="192">
        <v>0</v>
      </c>
      <c r="H182" s="192">
        <v>0</v>
      </c>
      <c r="I182" s="192">
        <v>0</v>
      </c>
      <c r="J182" s="192">
        <v>0</v>
      </c>
      <c r="K182" s="192">
        <v>0</v>
      </c>
      <c r="L182" s="192">
        <v>0</v>
      </c>
      <c r="M182" s="192">
        <v>0</v>
      </c>
      <c r="N182" s="192">
        <v>0</v>
      </c>
      <c r="O182" s="192">
        <v>0</v>
      </c>
      <c r="P182" s="192">
        <v>0</v>
      </c>
      <c r="Q182" s="192">
        <v>0</v>
      </c>
      <c r="R182" s="192">
        <v>0</v>
      </c>
      <c r="S182" s="192">
        <v>0</v>
      </c>
      <c r="T182" s="192">
        <v>0</v>
      </c>
      <c r="U182" s="192">
        <v>0</v>
      </c>
      <c r="V182" s="192">
        <v>0</v>
      </c>
      <c r="W182" s="192">
        <v>0</v>
      </c>
      <c r="X182" s="192">
        <v>0</v>
      </c>
      <c r="Y182" s="192">
        <v>0</v>
      </c>
      <c r="Z182" s="192">
        <v>0</v>
      </c>
      <c r="AA182" s="192">
        <v>0</v>
      </c>
      <c r="AB182" s="192">
        <v>0</v>
      </c>
      <c r="AC182" s="192">
        <v>0</v>
      </c>
      <c r="AD182" s="193">
        <v>0</v>
      </c>
      <c r="AE182" s="193">
        <v>0</v>
      </c>
      <c r="AF182" s="193">
        <v>0</v>
      </c>
      <c r="AG182" s="193">
        <v>0</v>
      </c>
      <c r="AH182" s="193">
        <v>0</v>
      </c>
      <c r="AI182" s="193">
        <v>0</v>
      </c>
      <c r="AJ182" s="193">
        <v>0</v>
      </c>
      <c r="AK182" s="193">
        <v>0</v>
      </c>
      <c r="AL182" s="193">
        <v>0</v>
      </c>
      <c r="AM182" s="193">
        <v>0</v>
      </c>
      <c r="AN182" s="193">
        <v>0</v>
      </c>
      <c r="AO182" s="193">
        <v>0</v>
      </c>
      <c r="AP182" s="193">
        <v>0</v>
      </c>
      <c r="AQ182" s="193">
        <v>0</v>
      </c>
      <c r="AR182" s="193">
        <v>0</v>
      </c>
      <c r="AS182" s="193">
        <v>0</v>
      </c>
      <c r="AT182" s="193">
        <v>0</v>
      </c>
      <c r="AU182" s="193">
        <v>0</v>
      </c>
      <c r="AV182" s="193">
        <v>0</v>
      </c>
      <c r="AW182" s="193">
        <v>0</v>
      </c>
      <c r="AX182" s="193">
        <v>0</v>
      </c>
      <c r="AY182" s="193">
        <v>0</v>
      </c>
      <c r="AZ182" s="193">
        <v>0</v>
      </c>
      <c r="BA182" s="193">
        <v>0</v>
      </c>
      <c r="BB182" s="193">
        <v>0</v>
      </c>
      <c r="BC182" s="193">
        <v>0</v>
      </c>
      <c r="BD182" s="193">
        <v>0</v>
      </c>
    </row>
    <row r="183" spans="1:56" s="188" customFormat="1">
      <c r="A183" s="189">
        <v>-21</v>
      </c>
      <c r="B183" s="194" t="s">
        <v>899</v>
      </c>
      <c r="C183" s="191">
        <v>460000</v>
      </c>
      <c r="D183" s="192">
        <v>4</v>
      </c>
      <c r="E183" s="192">
        <v>0</v>
      </c>
      <c r="F183" s="192">
        <v>0</v>
      </c>
      <c r="G183" s="192">
        <v>0</v>
      </c>
      <c r="H183" s="192">
        <v>0</v>
      </c>
      <c r="I183" s="192">
        <v>0</v>
      </c>
      <c r="J183" s="192">
        <v>0</v>
      </c>
      <c r="K183" s="192">
        <v>0</v>
      </c>
      <c r="L183" s="192">
        <v>0</v>
      </c>
      <c r="M183" s="192">
        <v>0</v>
      </c>
      <c r="N183" s="192">
        <v>0</v>
      </c>
      <c r="O183" s="192">
        <v>0</v>
      </c>
      <c r="P183" s="192">
        <v>0</v>
      </c>
      <c r="Q183" s="192">
        <v>0</v>
      </c>
      <c r="R183" s="192">
        <v>0</v>
      </c>
      <c r="S183" s="192">
        <v>0</v>
      </c>
      <c r="T183" s="192">
        <v>0</v>
      </c>
      <c r="U183" s="192">
        <v>0</v>
      </c>
      <c r="V183" s="192">
        <v>0</v>
      </c>
      <c r="W183" s="192">
        <v>0</v>
      </c>
      <c r="X183" s="192">
        <v>0</v>
      </c>
      <c r="Y183" s="192">
        <v>0</v>
      </c>
      <c r="Z183" s="192">
        <v>0</v>
      </c>
      <c r="AA183" s="192">
        <v>0</v>
      </c>
      <c r="AB183" s="192">
        <v>4</v>
      </c>
      <c r="AC183" s="192">
        <v>0</v>
      </c>
      <c r="AD183" s="193">
        <v>1840000</v>
      </c>
      <c r="AE183" s="193">
        <v>0</v>
      </c>
      <c r="AF183" s="193">
        <v>0</v>
      </c>
      <c r="AG183" s="193">
        <v>0</v>
      </c>
      <c r="AH183" s="193">
        <v>0</v>
      </c>
      <c r="AI183" s="193">
        <v>0</v>
      </c>
      <c r="AJ183" s="193">
        <v>0</v>
      </c>
      <c r="AK183" s="193">
        <v>0</v>
      </c>
      <c r="AL183" s="193">
        <v>0</v>
      </c>
      <c r="AM183" s="193">
        <v>0</v>
      </c>
      <c r="AN183" s="193">
        <v>0</v>
      </c>
      <c r="AO183" s="193">
        <v>0</v>
      </c>
      <c r="AP183" s="193">
        <v>0</v>
      </c>
      <c r="AQ183" s="193">
        <v>0</v>
      </c>
      <c r="AR183" s="193">
        <v>0</v>
      </c>
      <c r="AS183" s="193">
        <v>0</v>
      </c>
      <c r="AT183" s="193">
        <v>0</v>
      </c>
      <c r="AU183" s="193">
        <v>0</v>
      </c>
      <c r="AV183" s="193">
        <v>0</v>
      </c>
      <c r="AW183" s="193">
        <v>0</v>
      </c>
      <c r="AX183" s="193">
        <v>0</v>
      </c>
      <c r="AY183" s="193">
        <v>0</v>
      </c>
      <c r="AZ183" s="193">
        <v>0</v>
      </c>
      <c r="BA183" s="193">
        <v>0</v>
      </c>
      <c r="BB183" s="193">
        <v>1840000</v>
      </c>
      <c r="BC183" s="193">
        <v>0</v>
      </c>
      <c r="BD183" s="193">
        <v>1840000</v>
      </c>
    </row>
    <row r="184" spans="1:56" s="188" customFormat="1">
      <c r="A184" s="189">
        <v>-22</v>
      </c>
      <c r="B184" s="190" t="s">
        <v>1063</v>
      </c>
      <c r="C184" s="191">
        <v>700000</v>
      </c>
      <c r="D184" s="192">
        <v>4</v>
      </c>
      <c r="E184" s="192">
        <v>0</v>
      </c>
      <c r="F184" s="192">
        <v>0</v>
      </c>
      <c r="G184" s="192">
        <v>0</v>
      </c>
      <c r="H184" s="192">
        <v>0</v>
      </c>
      <c r="I184" s="192">
        <v>0</v>
      </c>
      <c r="J184" s="192">
        <v>0</v>
      </c>
      <c r="K184" s="192">
        <v>0</v>
      </c>
      <c r="L184" s="192">
        <v>0</v>
      </c>
      <c r="M184" s="192">
        <v>0</v>
      </c>
      <c r="N184" s="192">
        <v>0</v>
      </c>
      <c r="O184" s="192">
        <v>0</v>
      </c>
      <c r="P184" s="192">
        <v>0</v>
      </c>
      <c r="Q184" s="192">
        <v>0</v>
      </c>
      <c r="R184" s="192">
        <v>0</v>
      </c>
      <c r="S184" s="192">
        <v>0</v>
      </c>
      <c r="T184" s="192">
        <v>0</v>
      </c>
      <c r="U184" s="192">
        <v>0</v>
      </c>
      <c r="V184" s="192">
        <v>0</v>
      </c>
      <c r="W184" s="192">
        <v>0</v>
      </c>
      <c r="X184" s="192">
        <v>0</v>
      </c>
      <c r="Y184" s="192">
        <v>0</v>
      </c>
      <c r="Z184" s="192">
        <v>0</v>
      </c>
      <c r="AA184" s="192">
        <v>0</v>
      </c>
      <c r="AB184" s="192">
        <v>4</v>
      </c>
      <c r="AC184" s="192">
        <v>0</v>
      </c>
      <c r="AD184" s="193">
        <v>2800000</v>
      </c>
      <c r="AE184" s="193">
        <v>0</v>
      </c>
      <c r="AF184" s="193">
        <v>0</v>
      </c>
      <c r="AG184" s="193">
        <v>0</v>
      </c>
      <c r="AH184" s="193">
        <v>0</v>
      </c>
      <c r="AI184" s="193">
        <v>0</v>
      </c>
      <c r="AJ184" s="193">
        <v>0</v>
      </c>
      <c r="AK184" s="193">
        <v>0</v>
      </c>
      <c r="AL184" s="193">
        <v>0</v>
      </c>
      <c r="AM184" s="193">
        <v>0</v>
      </c>
      <c r="AN184" s="193">
        <v>0</v>
      </c>
      <c r="AO184" s="193">
        <v>0</v>
      </c>
      <c r="AP184" s="193">
        <v>0</v>
      </c>
      <c r="AQ184" s="193">
        <v>0</v>
      </c>
      <c r="AR184" s="193">
        <v>0</v>
      </c>
      <c r="AS184" s="193">
        <v>0</v>
      </c>
      <c r="AT184" s="193">
        <v>0</v>
      </c>
      <c r="AU184" s="193">
        <v>0</v>
      </c>
      <c r="AV184" s="193">
        <v>0</v>
      </c>
      <c r="AW184" s="193">
        <v>0</v>
      </c>
      <c r="AX184" s="193">
        <v>0</v>
      </c>
      <c r="AY184" s="193">
        <v>0</v>
      </c>
      <c r="AZ184" s="193">
        <v>0</v>
      </c>
      <c r="BA184" s="193">
        <v>0</v>
      </c>
      <c r="BB184" s="193">
        <v>2800000</v>
      </c>
      <c r="BC184" s="193">
        <v>0</v>
      </c>
      <c r="BD184" s="193">
        <v>2800000</v>
      </c>
    </row>
    <row r="185" spans="1:56" s="188" customFormat="1">
      <c r="A185" s="189">
        <v>-23</v>
      </c>
      <c r="B185" s="194" t="s">
        <v>1084</v>
      </c>
      <c r="C185" s="191">
        <v>750000</v>
      </c>
      <c r="D185" s="192">
        <v>4</v>
      </c>
      <c r="E185" s="192">
        <v>0</v>
      </c>
      <c r="F185" s="192">
        <v>0</v>
      </c>
      <c r="G185" s="192">
        <v>0</v>
      </c>
      <c r="H185" s="192">
        <v>0</v>
      </c>
      <c r="I185" s="192">
        <v>0</v>
      </c>
      <c r="J185" s="192">
        <v>0</v>
      </c>
      <c r="K185" s="192">
        <v>0</v>
      </c>
      <c r="L185" s="192">
        <v>0</v>
      </c>
      <c r="M185" s="192">
        <v>0</v>
      </c>
      <c r="N185" s="192">
        <v>0</v>
      </c>
      <c r="O185" s="192">
        <v>0</v>
      </c>
      <c r="P185" s="192">
        <v>0</v>
      </c>
      <c r="Q185" s="192">
        <v>0</v>
      </c>
      <c r="R185" s="192">
        <v>0</v>
      </c>
      <c r="S185" s="192">
        <v>0</v>
      </c>
      <c r="T185" s="192">
        <v>0</v>
      </c>
      <c r="U185" s="192">
        <v>0</v>
      </c>
      <c r="V185" s="192">
        <v>0</v>
      </c>
      <c r="W185" s="192">
        <v>0</v>
      </c>
      <c r="X185" s="192">
        <v>0</v>
      </c>
      <c r="Y185" s="192">
        <v>0</v>
      </c>
      <c r="Z185" s="192">
        <v>0</v>
      </c>
      <c r="AA185" s="192">
        <v>0</v>
      </c>
      <c r="AB185" s="192">
        <v>4</v>
      </c>
      <c r="AC185" s="192">
        <v>0</v>
      </c>
      <c r="AD185" s="193">
        <v>3000000</v>
      </c>
      <c r="AE185" s="193">
        <v>0</v>
      </c>
      <c r="AF185" s="193">
        <v>0</v>
      </c>
      <c r="AG185" s="193">
        <v>0</v>
      </c>
      <c r="AH185" s="193">
        <v>0</v>
      </c>
      <c r="AI185" s="193">
        <v>0</v>
      </c>
      <c r="AJ185" s="193">
        <v>0</v>
      </c>
      <c r="AK185" s="193">
        <v>0</v>
      </c>
      <c r="AL185" s="193">
        <v>0</v>
      </c>
      <c r="AM185" s="193">
        <v>0</v>
      </c>
      <c r="AN185" s="193">
        <v>0</v>
      </c>
      <c r="AO185" s="193">
        <v>0</v>
      </c>
      <c r="AP185" s="193">
        <v>0</v>
      </c>
      <c r="AQ185" s="193">
        <v>0</v>
      </c>
      <c r="AR185" s="193">
        <v>0</v>
      </c>
      <c r="AS185" s="193">
        <v>0</v>
      </c>
      <c r="AT185" s="193">
        <v>0</v>
      </c>
      <c r="AU185" s="193">
        <v>0</v>
      </c>
      <c r="AV185" s="193">
        <v>0</v>
      </c>
      <c r="AW185" s="193">
        <v>0</v>
      </c>
      <c r="AX185" s="193">
        <v>0</v>
      </c>
      <c r="AY185" s="193">
        <v>0</v>
      </c>
      <c r="AZ185" s="193">
        <v>0</v>
      </c>
      <c r="BA185" s="193">
        <v>0</v>
      </c>
      <c r="BB185" s="193">
        <v>3000000</v>
      </c>
      <c r="BC185" s="193">
        <v>0</v>
      </c>
      <c r="BD185" s="193">
        <v>3000000</v>
      </c>
    </row>
    <row r="186" spans="1:56" s="188" customFormat="1">
      <c r="A186" s="189">
        <v>-24</v>
      </c>
      <c r="B186" s="190" t="s">
        <v>868</v>
      </c>
      <c r="C186" s="191">
        <v>1400000</v>
      </c>
      <c r="D186" s="192">
        <v>0</v>
      </c>
      <c r="E186" s="192">
        <v>0</v>
      </c>
      <c r="F186" s="192">
        <v>0</v>
      </c>
      <c r="G186" s="192">
        <v>0</v>
      </c>
      <c r="H186" s="192">
        <v>0</v>
      </c>
      <c r="I186" s="192">
        <v>0</v>
      </c>
      <c r="J186" s="192">
        <v>0</v>
      </c>
      <c r="K186" s="192">
        <v>0</v>
      </c>
      <c r="L186" s="192">
        <v>0</v>
      </c>
      <c r="M186" s="192">
        <v>0</v>
      </c>
      <c r="N186" s="192">
        <v>0</v>
      </c>
      <c r="O186" s="192">
        <v>0</v>
      </c>
      <c r="P186" s="192">
        <v>0</v>
      </c>
      <c r="Q186" s="192">
        <v>0</v>
      </c>
      <c r="R186" s="192">
        <v>0</v>
      </c>
      <c r="S186" s="192">
        <v>0</v>
      </c>
      <c r="T186" s="192">
        <v>0</v>
      </c>
      <c r="U186" s="192">
        <v>0</v>
      </c>
      <c r="V186" s="192">
        <v>0</v>
      </c>
      <c r="W186" s="192">
        <v>0</v>
      </c>
      <c r="X186" s="192">
        <v>0</v>
      </c>
      <c r="Y186" s="192">
        <v>0</v>
      </c>
      <c r="Z186" s="192">
        <v>0</v>
      </c>
      <c r="AA186" s="192">
        <v>0</v>
      </c>
      <c r="AB186" s="192">
        <v>0</v>
      </c>
      <c r="AC186" s="192">
        <v>0</v>
      </c>
      <c r="AD186" s="193">
        <v>0</v>
      </c>
      <c r="AE186" s="193">
        <v>0</v>
      </c>
      <c r="AF186" s="193">
        <v>0</v>
      </c>
      <c r="AG186" s="193">
        <v>0</v>
      </c>
      <c r="AH186" s="193">
        <v>0</v>
      </c>
      <c r="AI186" s="193">
        <v>0</v>
      </c>
      <c r="AJ186" s="193">
        <v>0</v>
      </c>
      <c r="AK186" s="193">
        <v>0</v>
      </c>
      <c r="AL186" s="193">
        <v>0</v>
      </c>
      <c r="AM186" s="193">
        <v>0</v>
      </c>
      <c r="AN186" s="193">
        <v>0</v>
      </c>
      <c r="AO186" s="193">
        <v>0</v>
      </c>
      <c r="AP186" s="193">
        <v>0</v>
      </c>
      <c r="AQ186" s="193">
        <v>0</v>
      </c>
      <c r="AR186" s="193">
        <v>0</v>
      </c>
      <c r="AS186" s="193">
        <v>0</v>
      </c>
      <c r="AT186" s="193">
        <v>0</v>
      </c>
      <c r="AU186" s="193">
        <v>0</v>
      </c>
      <c r="AV186" s="193">
        <v>0</v>
      </c>
      <c r="AW186" s="193">
        <v>0</v>
      </c>
      <c r="AX186" s="193">
        <v>0</v>
      </c>
      <c r="AY186" s="193">
        <v>0</v>
      </c>
      <c r="AZ186" s="193">
        <v>0</v>
      </c>
      <c r="BA186" s="193">
        <v>0</v>
      </c>
      <c r="BB186" s="193">
        <v>0</v>
      </c>
      <c r="BC186" s="193">
        <v>0</v>
      </c>
      <c r="BD186" s="193">
        <v>0</v>
      </c>
    </row>
    <row r="187" spans="1:56" s="188" customFormat="1">
      <c r="A187" s="189">
        <v>-25</v>
      </c>
      <c r="B187" s="190" t="s">
        <v>907</v>
      </c>
      <c r="C187" s="191">
        <v>1600000</v>
      </c>
      <c r="D187" s="192">
        <v>0</v>
      </c>
      <c r="E187" s="192">
        <v>0</v>
      </c>
      <c r="F187" s="192">
        <v>0</v>
      </c>
      <c r="G187" s="192">
        <v>0</v>
      </c>
      <c r="H187" s="192">
        <v>0</v>
      </c>
      <c r="I187" s="192">
        <v>0</v>
      </c>
      <c r="J187" s="192">
        <v>0</v>
      </c>
      <c r="K187" s="192">
        <v>0</v>
      </c>
      <c r="L187" s="192">
        <v>0</v>
      </c>
      <c r="M187" s="192">
        <v>0</v>
      </c>
      <c r="N187" s="192">
        <v>0</v>
      </c>
      <c r="O187" s="192">
        <v>0</v>
      </c>
      <c r="P187" s="192">
        <v>0</v>
      </c>
      <c r="Q187" s="192">
        <v>0</v>
      </c>
      <c r="R187" s="192">
        <v>0</v>
      </c>
      <c r="S187" s="192">
        <v>0</v>
      </c>
      <c r="T187" s="192">
        <v>0</v>
      </c>
      <c r="U187" s="192">
        <v>0</v>
      </c>
      <c r="V187" s="192">
        <v>0</v>
      </c>
      <c r="W187" s="192">
        <v>0</v>
      </c>
      <c r="X187" s="192">
        <v>0</v>
      </c>
      <c r="Y187" s="192">
        <v>0</v>
      </c>
      <c r="Z187" s="192">
        <v>0</v>
      </c>
      <c r="AA187" s="192">
        <v>0</v>
      </c>
      <c r="AB187" s="192">
        <v>0</v>
      </c>
      <c r="AC187" s="192">
        <v>0</v>
      </c>
      <c r="AD187" s="193">
        <v>0</v>
      </c>
      <c r="AE187" s="193">
        <v>0</v>
      </c>
      <c r="AF187" s="193">
        <v>0</v>
      </c>
      <c r="AG187" s="193">
        <v>0</v>
      </c>
      <c r="AH187" s="193">
        <v>0</v>
      </c>
      <c r="AI187" s="193">
        <v>0</v>
      </c>
      <c r="AJ187" s="193">
        <v>0</v>
      </c>
      <c r="AK187" s="193">
        <v>0</v>
      </c>
      <c r="AL187" s="193">
        <v>0</v>
      </c>
      <c r="AM187" s="193">
        <v>0</v>
      </c>
      <c r="AN187" s="193">
        <v>0</v>
      </c>
      <c r="AO187" s="193">
        <v>0</v>
      </c>
      <c r="AP187" s="193">
        <v>0</v>
      </c>
      <c r="AQ187" s="193">
        <v>0</v>
      </c>
      <c r="AR187" s="193">
        <v>0</v>
      </c>
      <c r="AS187" s="193">
        <v>0</v>
      </c>
      <c r="AT187" s="193">
        <v>0</v>
      </c>
      <c r="AU187" s="193">
        <v>0</v>
      </c>
      <c r="AV187" s="193">
        <v>0</v>
      </c>
      <c r="AW187" s="193">
        <v>0</v>
      </c>
      <c r="AX187" s="193">
        <v>0</v>
      </c>
      <c r="AY187" s="193">
        <v>0</v>
      </c>
      <c r="AZ187" s="193">
        <v>0</v>
      </c>
      <c r="BA187" s="193">
        <v>0</v>
      </c>
      <c r="BB187" s="193">
        <v>0</v>
      </c>
      <c r="BC187" s="193">
        <v>0</v>
      </c>
      <c r="BD187" s="193">
        <v>0</v>
      </c>
    </row>
    <row r="188" spans="1:56" s="188" customFormat="1">
      <c r="A188" s="189">
        <v>-26</v>
      </c>
      <c r="B188" s="194" t="s">
        <v>873</v>
      </c>
      <c r="C188" s="191">
        <v>2250000</v>
      </c>
      <c r="D188" s="192">
        <v>0</v>
      </c>
      <c r="E188" s="192">
        <v>0</v>
      </c>
      <c r="F188" s="192">
        <v>0</v>
      </c>
      <c r="G188" s="192">
        <v>0</v>
      </c>
      <c r="H188" s="192">
        <v>0</v>
      </c>
      <c r="I188" s="192">
        <v>0</v>
      </c>
      <c r="J188" s="192">
        <v>0</v>
      </c>
      <c r="K188" s="192">
        <v>0</v>
      </c>
      <c r="L188" s="192">
        <v>0</v>
      </c>
      <c r="M188" s="192">
        <v>0</v>
      </c>
      <c r="N188" s="192">
        <v>0</v>
      </c>
      <c r="O188" s="192">
        <v>0</v>
      </c>
      <c r="P188" s="192">
        <v>0</v>
      </c>
      <c r="Q188" s="192">
        <v>0</v>
      </c>
      <c r="R188" s="192">
        <v>0</v>
      </c>
      <c r="S188" s="192">
        <v>0</v>
      </c>
      <c r="T188" s="192">
        <v>0</v>
      </c>
      <c r="U188" s="192">
        <v>0</v>
      </c>
      <c r="V188" s="192">
        <v>0</v>
      </c>
      <c r="W188" s="192">
        <v>0</v>
      </c>
      <c r="X188" s="192">
        <v>0</v>
      </c>
      <c r="Y188" s="192">
        <v>0</v>
      </c>
      <c r="Z188" s="192">
        <v>0</v>
      </c>
      <c r="AA188" s="192">
        <v>0</v>
      </c>
      <c r="AB188" s="192">
        <v>0</v>
      </c>
      <c r="AC188" s="192">
        <v>0</v>
      </c>
      <c r="AD188" s="193">
        <v>0</v>
      </c>
      <c r="AE188" s="193">
        <v>0</v>
      </c>
      <c r="AF188" s="193">
        <v>0</v>
      </c>
      <c r="AG188" s="193">
        <v>0</v>
      </c>
      <c r="AH188" s="193">
        <v>0</v>
      </c>
      <c r="AI188" s="193">
        <v>0</v>
      </c>
      <c r="AJ188" s="193">
        <v>0</v>
      </c>
      <c r="AK188" s="193">
        <v>0</v>
      </c>
      <c r="AL188" s="193">
        <v>0</v>
      </c>
      <c r="AM188" s="193">
        <v>0</v>
      </c>
      <c r="AN188" s="193">
        <v>0</v>
      </c>
      <c r="AO188" s="193">
        <v>0</v>
      </c>
      <c r="AP188" s="193">
        <v>0</v>
      </c>
      <c r="AQ188" s="193">
        <v>0</v>
      </c>
      <c r="AR188" s="193">
        <v>0</v>
      </c>
      <c r="AS188" s="193">
        <v>0</v>
      </c>
      <c r="AT188" s="193">
        <v>0</v>
      </c>
      <c r="AU188" s="193">
        <v>0</v>
      </c>
      <c r="AV188" s="193">
        <v>0</v>
      </c>
      <c r="AW188" s="193">
        <v>0</v>
      </c>
      <c r="AX188" s="193">
        <v>0</v>
      </c>
      <c r="AY188" s="193">
        <v>0</v>
      </c>
      <c r="AZ188" s="193">
        <v>0</v>
      </c>
      <c r="BA188" s="193">
        <v>0</v>
      </c>
      <c r="BB188" s="193">
        <v>0</v>
      </c>
      <c r="BC188" s="193">
        <v>0</v>
      </c>
      <c r="BD188" s="193">
        <v>0</v>
      </c>
    </row>
    <row r="189" spans="1:56" s="188" customFormat="1">
      <c r="A189" s="189">
        <v>-27</v>
      </c>
      <c r="B189" s="190" t="s">
        <v>1085</v>
      </c>
      <c r="C189" s="191">
        <v>2800000</v>
      </c>
      <c r="D189" s="192">
        <v>1</v>
      </c>
      <c r="E189" s="192">
        <v>0</v>
      </c>
      <c r="F189" s="192">
        <v>0</v>
      </c>
      <c r="G189" s="192">
        <v>0</v>
      </c>
      <c r="H189" s="192">
        <v>0</v>
      </c>
      <c r="I189" s="192">
        <v>0</v>
      </c>
      <c r="J189" s="192">
        <v>0</v>
      </c>
      <c r="K189" s="192">
        <v>0</v>
      </c>
      <c r="L189" s="192">
        <v>0</v>
      </c>
      <c r="M189" s="192">
        <v>0</v>
      </c>
      <c r="N189" s="192">
        <v>0</v>
      </c>
      <c r="O189" s="192">
        <v>0</v>
      </c>
      <c r="P189" s="192">
        <v>0</v>
      </c>
      <c r="Q189" s="192">
        <v>0</v>
      </c>
      <c r="R189" s="192">
        <v>0</v>
      </c>
      <c r="S189" s="192">
        <v>0</v>
      </c>
      <c r="T189" s="192">
        <v>0</v>
      </c>
      <c r="U189" s="192">
        <v>0</v>
      </c>
      <c r="V189" s="192">
        <v>0</v>
      </c>
      <c r="W189" s="192">
        <v>0</v>
      </c>
      <c r="X189" s="192">
        <v>0</v>
      </c>
      <c r="Y189" s="192">
        <v>0</v>
      </c>
      <c r="Z189" s="192">
        <v>0</v>
      </c>
      <c r="AA189" s="192">
        <v>0</v>
      </c>
      <c r="AB189" s="192">
        <v>1</v>
      </c>
      <c r="AC189" s="192">
        <v>0</v>
      </c>
      <c r="AD189" s="193">
        <v>2800000</v>
      </c>
      <c r="AE189" s="193">
        <v>0</v>
      </c>
      <c r="AF189" s="193">
        <v>0</v>
      </c>
      <c r="AG189" s="193">
        <v>0</v>
      </c>
      <c r="AH189" s="193">
        <v>0</v>
      </c>
      <c r="AI189" s="193">
        <v>0</v>
      </c>
      <c r="AJ189" s="193">
        <v>0</v>
      </c>
      <c r="AK189" s="193">
        <v>0</v>
      </c>
      <c r="AL189" s="193">
        <v>0</v>
      </c>
      <c r="AM189" s="193">
        <v>0</v>
      </c>
      <c r="AN189" s="193">
        <v>0</v>
      </c>
      <c r="AO189" s="193">
        <v>0</v>
      </c>
      <c r="AP189" s="193">
        <v>0</v>
      </c>
      <c r="AQ189" s="193">
        <v>0</v>
      </c>
      <c r="AR189" s="193">
        <v>0</v>
      </c>
      <c r="AS189" s="193">
        <v>0</v>
      </c>
      <c r="AT189" s="193">
        <v>0</v>
      </c>
      <c r="AU189" s="193">
        <v>0</v>
      </c>
      <c r="AV189" s="193">
        <v>0</v>
      </c>
      <c r="AW189" s="193">
        <v>0</v>
      </c>
      <c r="AX189" s="193">
        <v>0</v>
      </c>
      <c r="AY189" s="193">
        <v>0</v>
      </c>
      <c r="AZ189" s="193">
        <v>0</v>
      </c>
      <c r="BA189" s="193">
        <v>0</v>
      </c>
      <c r="BB189" s="193">
        <v>2800000</v>
      </c>
      <c r="BC189" s="193">
        <v>0</v>
      </c>
      <c r="BD189" s="193">
        <v>2800000</v>
      </c>
    </row>
    <row r="190" spans="1:56" s="188" customFormat="1">
      <c r="A190" s="189">
        <v>-28</v>
      </c>
      <c r="B190" s="194" t="s">
        <v>1086</v>
      </c>
      <c r="C190" s="191">
        <v>3000000</v>
      </c>
      <c r="D190" s="192">
        <v>0</v>
      </c>
      <c r="E190" s="192">
        <v>0</v>
      </c>
      <c r="F190" s="192">
        <v>0</v>
      </c>
      <c r="G190" s="192">
        <v>0</v>
      </c>
      <c r="H190" s="192">
        <v>0</v>
      </c>
      <c r="I190" s="192">
        <v>0</v>
      </c>
      <c r="J190" s="192">
        <v>0</v>
      </c>
      <c r="K190" s="192">
        <v>0</v>
      </c>
      <c r="L190" s="192">
        <v>0</v>
      </c>
      <c r="M190" s="192">
        <v>0</v>
      </c>
      <c r="N190" s="192">
        <v>0</v>
      </c>
      <c r="O190" s="192">
        <v>0</v>
      </c>
      <c r="P190" s="192">
        <v>0</v>
      </c>
      <c r="Q190" s="192">
        <v>0</v>
      </c>
      <c r="R190" s="192">
        <v>0</v>
      </c>
      <c r="S190" s="192">
        <v>0</v>
      </c>
      <c r="T190" s="192">
        <v>0</v>
      </c>
      <c r="U190" s="192">
        <v>0</v>
      </c>
      <c r="V190" s="192">
        <v>0</v>
      </c>
      <c r="W190" s="192">
        <v>0</v>
      </c>
      <c r="X190" s="192">
        <v>0</v>
      </c>
      <c r="Y190" s="192">
        <v>0</v>
      </c>
      <c r="Z190" s="192">
        <v>0</v>
      </c>
      <c r="AA190" s="192">
        <v>0</v>
      </c>
      <c r="AB190" s="192">
        <v>0</v>
      </c>
      <c r="AC190" s="192">
        <v>0</v>
      </c>
      <c r="AD190" s="193">
        <v>0</v>
      </c>
      <c r="AE190" s="193">
        <v>0</v>
      </c>
      <c r="AF190" s="193">
        <v>0</v>
      </c>
      <c r="AG190" s="193">
        <v>0</v>
      </c>
      <c r="AH190" s="193">
        <v>0</v>
      </c>
      <c r="AI190" s="193">
        <v>0</v>
      </c>
      <c r="AJ190" s="193">
        <v>0</v>
      </c>
      <c r="AK190" s="193">
        <v>0</v>
      </c>
      <c r="AL190" s="193">
        <v>0</v>
      </c>
      <c r="AM190" s="193">
        <v>0</v>
      </c>
      <c r="AN190" s="193">
        <v>0</v>
      </c>
      <c r="AO190" s="193">
        <v>0</v>
      </c>
      <c r="AP190" s="193">
        <v>0</v>
      </c>
      <c r="AQ190" s="193">
        <v>0</v>
      </c>
      <c r="AR190" s="193">
        <v>0</v>
      </c>
      <c r="AS190" s="193">
        <v>0</v>
      </c>
      <c r="AT190" s="193">
        <v>0</v>
      </c>
      <c r="AU190" s="193">
        <v>0</v>
      </c>
      <c r="AV190" s="193">
        <v>0</v>
      </c>
      <c r="AW190" s="193">
        <v>0</v>
      </c>
      <c r="AX190" s="193">
        <v>0</v>
      </c>
      <c r="AY190" s="193">
        <v>0</v>
      </c>
      <c r="AZ190" s="193">
        <v>0</v>
      </c>
      <c r="BA190" s="193">
        <v>0</v>
      </c>
      <c r="BB190" s="193">
        <v>0</v>
      </c>
      <c r="BC190" s="193">
        <v>0</v>
      </c>
      <c r="BD190" s="193">
        <v>0</v>
      </c>
    </row>
    <row r="191" spans="1:56">
      <c r="A191" s="196"/>
      <c r="B191" s="194" t="s">
        <v>1087</v>
      </c>
      <c r="C191" s="196"/>
      <c r="D191" s="192">
        <v>44</v>
      </c>
      <c r="E191" s="192">
        <v>0</v>
      </c>
      <c r="F191" s="192">
        <v>0</v>
      </c>
      <c r="G191" s="192">
        <v>0</v>
      </c>
      <c r="H191" s="192">
        <v>1</v>
      </c>
      <c r="I191" s="192">
        <v>0</v>
      </c>
      <c r="J191" s="192">
        <v>0</v>
      </c>
      <c r="K191" s="192">
        <v>0</v>
      </c>
      <c r="L191" s="192">
        <v>0</v>
      </c>
      <c r="M191" s="192">
        <v>0</v>
      </c>
      <c r="N191" s="192">
        <v>0</v>
      </c>
      <c r="O191" s="192">
        <v>0</v>
      </c>
      <c r="P191" s="192">
        <v>0</v>
      </c>
      <c r="Q191" s="192">
        <v>0</v>
      </c>
      <c r="R191" s="192">
        <v>4</v>
      </c>
      <c r="S191" s="192">
        <v>0</v>
      </c>
      <c r="T191" s="192">
        <v>0</v>
      </c>
      <c r="U191" s="192">
        <v>0</v>
      </c>
      <c r="V191" s="192">
        <v>0</v>
      </c>
      <c r="W191" s="192">
        <v>0</v>
      </c>
      <c r="X191" s="192">
        <v>0</v>
      </c>
      <c r="Y191" s="192">
        <v>0</v>
      </c>
      <c r="Z191" s="192">
        <v>0</v>
      </c>
      <c r="AA191" s="192">
        <v>0</v>
      </c>
      <c r="AB191" s="192">
        <v>49</v>
      </c>
      <c r="AC191" s="192">
        <v>0</v>
      </c>
      <c r="AD191" s="193">
        <v>17500000</v>
      </c>
      <c r="AE191" s="193">
        <v>0</v>
      </c>
      <c r="AF191" s="193">
        <v>0</v>
      </c>
      <c r="AG191" s="193">
        <v>0</v>
      </c>
      <c r="AH191" s="193">
        <v>250000</v>
      </c>
      <c r="AI191" s="193">
        <v>0</v>
      </c>
      <c r="AJ191" s="193">
        <v>0</v>
      </c>
      <c r="AK191" s="193">
        <v>0</v>
      </c>
      <c r="AL191" s="193">
        <v>0</v>
      </c>
      <c r="AM191" s="193">
        <v>0</v>
      </c>
      <c r="AN191" s="193">
        <v>0</v>
      </c>
      <c r="AO191" s="193">
        <v>0</v>
      </c>
      <c r="AP191" s="193">
        <v>0</v>
      </c>
      <c r="AQ191" s="193">
        <v>0</v>
      </c>
      <c r="AR191" s="193">
        <v>1355000</v>
      </c>
      <c r="AS191" s="193">
        <v>0</v>
      </c>
      <c r="AT191" s="193">
        <v>0</v>
      </c>
      <c r="AU191" s="193">
        <v>0</v>
      </c>
      <c r="AV191" s="193">
        <v>0</v>
      </c>
      <c r="AW191" s="193">
        <v>0</v>
      </c>
      <c r="AX191" s="193">
        <v>0</v>
      </c>
      <c r="AY191" s="193">
        <v>0</v>
      </c>
      <c r="AZ191" s="193">
        <v>0</v>
      </c>
      <c r="BA191" s="193">
        <v>0</v>
      </c>
      <c r="BB191" s="193">
        <v>19105000</v>
      </c>
      <c r="BC191" s="193">
        <v>0</v>
      </c>
      <c r="BD191" s="193">
        <v>19105000</v>
      </c>
    </row>
    <row r="192" spans="1:56" s="229" customFormat="1">
      <c r="A192" s="184">
        <v>6</v>
      </c>
      <c r="B192" s="185" t="s">
        <v>1088</v>
      </c>
      <c r="C192" s="197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</row>
    <row r="193" spans="1:56" s="229" customFormat="1">
      <c r="A193" s="189">
        <v>-1</v>
      </c>
      <c r="B193" s="194" t="s">
        <v>839</v>
      </c>
      <c r="C193" s="191">
        <v>110000</v>
      </c>
      <c r="D193" s="192">
        <v>0</v>
      </c>
      <c r="E193" s="192">
        <v>0</v>
      </c>
      <c r="F193" s="192">
        <v>0</v>
      </c>
      <c r="G193" s="192">
        <v>0</v>
      </c>
      <c r="H193" s="192">
        <v>0</v>
      </c>
      <c r="I193" s="192">
        <v>0</v>
      </c>
      <c r="J193" s="192">
        <v>0</v>
      </c>
      <c r="K193" s="192">
        <v>0</v>
      </c>
      <c r="L193" s="192">
        <v>0</v>
      </c>
      <c r="M193" s="192">
        <v>0</v>
      </c>
      <c r="N193" s="192">
        <v>0</v>
      </c>
      <c r="O193" s="192">
        <v>0</v>
      </c>
      <c r="P193" s="192">
        <v>0</v>
      </c>
      <c r="Q193" s="192">
        <v>0</v>
      </c>
      <c r="R193" s="192">
        <v>0</v>
      </c>
      <c r="S193" s="192">
        <v>0</v>
      </c>
      <c r="T193" s="192">
        <v>0</v>
      </c>
      <c r="U193" s="192">
        <v>0</v>
      </c>
      <c r="V193" s="192">
        <v>0</v>
      </c>
      <c r="W193" s="192">
        <v>0</v>
      </c>
      <c r="X193" s="192">
        <v>0</v>
      </c>
      <c r="Y193" s="192">
        <v>0</v>
      </c>
      <c r="Z193" s="192">
        <v>0</v>
      </c>
      <c r="AA193" s="192">
        <v>0</v>
      </c>
      <c r="AB193" s="192">
        <v>0</v>
      </c>
      <c r="AC193" s="192">
        <v>0</v>
      </c>
      <c r="AD193" s="193">
        <v>0</v>
      </c>
      <c r="AE193" s="193">
        <v>0</v>
      </c>
      <c r="AF193" s="193">
        <v>0</v>
      </c>
      <c r="AG193" s="193">
        <v>0</v>
      </c>
      <c r="AH193" s="193">
        <v>0</v>
      </c>
      <c r="AI193" s="193">
        <v>0</v>
      </c>
      <c r="AJ193" s="193">
        <v>0</v>
      </c>
      <c r="AK193" s="193">
        <v>0</v>
      </c>
      <c r="AL193" s="193">
        <v>0</v>
      </c>
      <c r="AM193" s="193">
        <v>0</v>
      </c>
      <c r="AN193" s="193">
        <v>0</v>
      </c>
      <c r="AO193" s="193">
        <v>0</v>
      </c>
      <c r="AP193" s="193">
        <v>0</v>
      </c>
      <c r="AQ193" s="193">
        <v>0</v>
      </c>
      <c r="AR193" s="193">
        <v>0</v>
      </c>
      <c r="AS193" s="193">
        <v>0</v>
      </c>
      <c r="AT193" s="193">
        <v>0</v>
      </c>
      <c r="AU193" s="193">
        <v>0</v>
      </c>
      <c r="AV193" s="193">
        <v>0</v>
      </c>
      <c r="AW193" s="193">
        <v>0</v>
      </c>
      <c r="AX193" s="193">
        <v>0</v>
      </c>
      <c r="AY193" s="193">
        <v>0</v>
      </c>
      <c r="AZ193" s="193">
        <v>0</v>
      </c>
      <c r="BA193" s="193">
        <v>0</v>
      </c>
      <c r="BB193" s="193">
        <v>0</v>
      </c>
      <c r="BC193" s="193">
        <v>0</v>
      </c>
      <c r="BD193" s="193">
        <v>0</v>
      </c>
    </row>
    <row r="194" spans="1:56" s="229" customFormat="1">
      <c r="A194" s="189">
        <v>-2</v>
      </c>
      <c r="B194" s="231" t="s">
        <v>844</v>
      </c>
      <c r="C194" s="191">
        <v>190000</v>
      </c>
      <c r="D194" s="192">
        <v>0</v>
      </c>
      <c r="E194" s="192">
        <v>0</v>
      </c>
      <c r="F194" s="192">
        <v>0</v>
      </c>
      <c r="G194" s="192">
        <v>0</v>
      </c>
      <c r="H194" s="192">
        <v>0</v>
      </c>
      <c r="I194" s="192">
        <v>0</v>
      </c>
      <c r="J194" s="192">
        <v>0</v>
      </c>
      <c r="K194" s="192">
        <v>0</v>
      </c>
      <c r="L194" s="192">
        <v>0</v>
      </c>
      <c r="M194" s="192">
        <v>0</v>
      </c>
      <c r="N194" s="192">
        <v>0</v>
      </c>
      <c r="O194" s="192">
        <v>0</v>
      </c>
      <c r="P194" s="192">
        <v>0</v>
      </c>
      <c r="Q194" s="192">
        <v>0</v>
      </c>
      <c r="R194" s="192">
        <v>0</v>
      </c>
      <c r="S194" s="192">
        <v>0</v>
      </c>
      <c r="T194" s="192">
        <v>0</v>
      </c>
      <c r="U194" s="192">
        <v>0</v>
      </c>
      <c r="V194" s="192">
        <v>0</v>
      </c>
      <c r="W194" s="192">
        <v>0</v>
      </c>
      <c r="X194" s="192">
        <v>0</v>
      </c>
      <c r="Y194" s="192">
        <v>0</v>
      </c>
      <c r="Z194" s="192">
        <v>0</v>
      </c>
      <c r="AA194" s="192">
        <v>0</v>
      </c>
      <c r="AB194" s="192">
        <v>0</v>
      </c>
      <c r="AC194" s="192">
        <v>0</v>
      </c>
      <c r="AD194" s="193">
        <v>0</v>
      </c>
      <c r="AE194" s="193">
        <v>0</v>
      </c>
      <c r="AF194" s="193">
        <v>0</v>
      </c>
      <c r="AG194" s="193">
        <v>0</v>
      </c>
      <c r="AH194" s="193">
        <v>0</v>
      </c>
      <c r="AI194" s="193">
        <v>0</v>
      </c>
      <c r="AJ194" s="193">
        <v>0</v>
      </c>
      <c r="AK194" s="193">
        <v>0</v>
      </c>
      <c r="AL194" s="193">
        <v>0</v>
      </c>
      <c r="AM194" s="193">
        <v>0</v>
      </c>
      <c r="AN194" s="193">
        <v>0</v>
      </c>
      <c r="AO194" s="193">
        <v>0</v>
      </c>
      <c r="AP194" s="193">
        <v>0</v>
      </c>
      <c r="AQ194" s="193">
        <v>0</v>
      </c>
      <c r="AR194" s="193">
        <v>0</v>
      </c>
      <c r="AS194" s="193">
        <v>0</v>
      </c>
      <c r="AT194" s="193">
        <v>0</v>
      </c>
      <c r="AU194" s="193">
        <v>0</v>
      </c>
      <c r="AV194" s="193">
        <v>0</v>
      </c>
      <c r="AW194" s="193">
        <v>0</v>
      </c>
      <c r="AX194" s="193">
        <v>0</v>
      </c>
      <c r="AY194" s="193">
        <v>0</v>
      </c>
      <c r="AZ194" s="193">
        <v>0</v>
      </c>
      <c r="BA194" s="193">
        <v>0</v>
      </c>
      <c r="BB194" s="193">
        <v>0</v>
      </c>
      <c r="BC194" s="193">
        <v>0</v>
      </c>
      <c r="BD194" s="193">
        <v>0</v>
      </c>
    </row>
    <row r="195" spans="1:56" s="229" customFormat="1">
      <c r="A195" s="189">
        <v>-3</v>
      </c>
      <c r="B195" s="190" t="s">
        <v>845</v>
      </c>
      <c r="C195" s="191">
        <v>200000</v>
      </c>
      <c r="D195" s="192">
        <v>0</v>
      </c>
      <c r="E195" s="192">
        <v>0</v>
      </c>
      <c r="F195" s="192">
        <v>0</v>
      </c>
      <c r="G195" s="192">
        <v>0</v>
      </c>
      <c r="H195" s="192">
        <v>0</v>
      </c>
      <c r="I195" s="192">
        <v>0</v>
      </c>
      <c r="J195" s="192">
        <v>0</v>
      </c>
      <c r="K195" s="192">
        <v>0</v>
      </c>
      <c r="L195" s="192">
        <v>0</v>
      </c>
      <c r="M195" s="192">
        <v>0</v>
      </c>
      <c r="N195" s="192">
        <v>0</v>
      </c>
      <c r="O195" s="192">
        <v>0</v>
      </c>
      <c r="P195" s="192">
        <v>0</v>
      </c>
      <c r="Q195" s="192">
        <v>0</v>
      </c>
      <c r="R195" s="192">
        <v>0</v>
      </c>
      <c r="S195" s="192">
        <v>0</v>
      </c>
      <c r="T195" s="192">
        <v>0</v>
      </c>
      <c r="U195" s="192">
        <v>0</v>
      </c>
      <c r="V195" s="192">
        <v>0</v>
      </c>
      <c r="W195" s="192">
        <v>0</v>
      </c>
      <c r="X195" s="192">
        <v>0</v>
      </c>
      <c r="Y195" s="192">
        <v>0</v>
      </c>
      <c r="Z195" s="192">
        <v>0</v>
      </c>
      <c r="AA195" s="192">
        <v>0</v>
      </c>
      <c r="AB195" s="192">
        <v>0</v>
      </c>
      <c r="AC195" s="192">
        <v>0</v>
      </c>
      <c r="AD195" s="193">
        <v>0</v>
      </c>
      <c r="AE195" s="193">
        <v>0</v>
      </c>
      <c r="AF195" s="193">
        <v>0</v>
      </c>
      <c r="AG195" s="193">
        <v>0</v>
      </c>
      <c r="AH195" s="193">
        <v>0</v>
      </c>
      <c r="AI195" s="193">
        <v>0</v>
      </c>
      <c r="AJ195" s="193">
        <v>0</v>
      </c>
      <c r="AK195" s="193">
        <v>0</v>
      </c>
      <c r="AL195" s="193">
        <v>0</v>
      </c>
      <c r="AM195" s="193">
        <v>0</v>
      </c>
      <c r="AN195" s="193">
        <v>0</v>
      </c>
      <c r="AO195" s="193">
        <v>0</v>
      </c>
      <c r="AP195" s="193">
        <v>0</v>
      </c>
      <c r="AQ195" s="193">
        <v>0</v>
      </c>
      <c r="AR195" s="193">
        <v>0</v>
      </c>
      <c r="AS195" s="193">
        <v>0</v>
      </c>
      <c r="AT195" s="193">
        <v>0</v>
      </c>
      <c r="AU195" s="193">
        <v>0</v>
      </c>
      <c r="AV195" s="193">
        <v>0</v>
      </c>
      <c r="AW195" s="193">
        <v>0</v>
      </c>
      <c r="AX195" s="193">
        <v>0</v>
      </c>
      <c r="AY195" s="193">
        <v>0</v>
      </c>
      <c r="AZ195" s="193">
        <v>0</v>
      </c>
      <c r="BA195" s="193">
        <v>0</v>
      </c>
      <c r="BB195" s="193">
        <v>0</v>
      </c>
      <c r="BC195" s="193">
        <v>0</v>
      </c>
      <c r="BD195" s="193">
        <v>0</v>
      </c>
    </row>
    <row r="196" spans="1:56" s="229" customFormat="1">
      <c r="A196" s="189">
        <v>-4</v>
      </c>
      <c r="B196" s="190" t="s">
        <v>887</v>
      </c>
      <c r="C196" s="191">
        <v>225000</v>
      </c>
      <c r="D196" s="192">
        <v>0</v>
      </c>
      <c r="E196" s="192">
        <v>0</v>
      </c>
      <c r="F196" s="192">
        <v>0</v>
      </c>
      <c r="G196" s="192">
        <v>0</v>
      </c>
      <c r="H196" s="192">
        <v>0</v>
      </c>
      <c r="I196" s="192">
        <v>0</v>
      </c>
      <c r="J196" s="192">
        <v>0</v>
      </c>
      <c r="K196" s="192">
        <v>0</v>
      </c>
      <c r="L196" s="192">
        <v>0</v>
      </c>
      <c r="M196" s="192">
        <v>0</v>
      </c>
      <c r="N196" s="192">
        <v>0</v>
      </c>
      <c r="O196" s="192">
        <v>0</v>
      </c>
      <c r="P196" s="192">
        <v>0</v>
      </c>
      <c r="Q196" s="192">
        <v>0</v>
      </c>
      <c r="R196" s="192">
        <v>0</v>
      </c>
      <c r="S196" s="192">
        <v>0</v>
      </c>
      <c r="T196" s="192">
        <v>0</v>
      </c>
      <c r="U196" s="192">
        <v>0</v>
      </c>
      <c r="V196" s="192">
        <v>0</v>
      </c>
      <c r="W196" s="192">
        <v>1</v>
      </c>
      <c r="X196" s="192">
        <v>0</v>
      </c>
      <c r="Y196" s="192">
        <v>0</v>
      </c>
      <c r="Z196" s="192">
        <v>0</v>
      </c>
      <c r="AA196" s="192">
        <v>0</v>
      </c>
      <c r="AB196" s="192">
        <v>0</v>
      </c>
      <c r="AC196" s="192">
        <v>1</v>
      </c>
      <c r="AD196" s="193">
        <v>0</v>
      </c>
      <c r="AE196" s="193">
        <v>0</v>
      </c>
      <c r="AF196" s="193">
        <v>0</v>
      </c>
      <c r="AG196" s="193">
        <v>0</v>
      </c>
      <c r="AH196" s="193">
        <v>0</v>
      </c>
      <c r="AI196" s="193">
        <v>0</v>
      </c>
      <c r="AJ196" s="193">
        <v>0</v>
      </c>
      <c r="AK196" s="193">
        <v>0</v>
      </c>
      <c r="AL196" s="193">
        <v>0</v>
      </c>
      <c r="AM196" s="193">
        <v>0</v>
      </c>
      <c r="AN196" s="193">
        <v>0</v>
      </c>
      <c r="AO196" s="193">
        <v>0</v>
      </c>
      <c r="AP196" s="193">
        <v>0</v>
      </c>
      <c r="AQ196" s="193">
        <v>0</v>
      </c>
      <c r="AR196" s="193">
        <v>0</v>
      </c>
      <c r="AS196" s="193">
        <v>0</v>
      </c>
      <c r="AT196" s="193">
        <v>0</v>
      </c>
      <c r="AU196" s="193">
        <v>0</v>
      </c>
      <c r="AV196" s="193">
        <v>0</v>
      </c>
      <c r="AW196" s="193">
        <v>225000</v>
      </c>
      <c r="AX196" s="193">
        <v>0</v>
      </c>
      <c r="AY196" s="193">
        <v>0</v>
      </c>
      <c r="AZ196" s="193">
        <v>0</v>
      </c>
      <c r="BA196" s="193">
        <v>0</v>
      </c>
      <c r="BB196" s="193">
        <v>0</v>
      </c>
      <c r="BC196" s="193">
        <v>225000</v>
      </c>
      <c r="BD196" s="193">
        <v>225000</v>
      </c>
    </row>
    <row r="197" spans="1:56" s="229" customFormat="1">
      <c r="A197" s="189">
        <v>-5</v>
      </c>
      <c r="B197" s="231" t="s">
        <v>1061</v>
      </c>
      <c r="C197" s="191">
        <v>250000</v>
      </c>
      <c r="D197" s="192">
        <v>0</v>
      </c>
      <c r="E197" s="192">
        <v>0</v>
      </c>
      <c r="F197" s="192">
        <v>0</v>
      </c>
      <c r="G197" s="192">
        <v>0</v>
      </c>
      <c r="H197" s="192">
        <v>0</v>
      </c>
      <c r="I197" s="192">
        <v>0</v>
      </c>
      <c r="J197" s="192">
        <v>0</v>
      </c>
      <c r="K197" s="192">
        <v>0</v>
      </c>
      <c r="L197" s="192">
        <v>0</v>
      </c>
      <c r="M197" s="192">
        <v>0</v>
      </c>
      <c r="N197" s="192">
        <v>0</v>
      </c>
      <c r="O197" s="192">
        <v>0</v>
      </c>
      <c r="P197" s="192">
        <v>0</v>
      </c>
      <c r="Q197" s="192">
        <v>0</v>
      </c>
      <c r="R197" s="192">
        <v>0</v>
      </c>
      <c r="S197" s="192">
        <v>0</v>
      </c>
      <c r="T197" s="192">
        <v>1</v>
      </c>
      <c r="U197" s="192">
        <v>0</v>
      </c>
      <c r="V197" s="192">
        <v>2</v>
      </c>
      <c r="W197" s="192">
        <v>1</v>
      </c>
      <c r="X197" s="192">
        <v>0</v>
      </c>
      <c r="Y197" s="192">
        <v>0</v>
      </c>
      <c r="Z197" s="192">
        <v>0</v>
      </c>
      <c r="AA197" s="192">
        <v>0</v>
      </c>
      <c r="AB197" s="192">
        <v>3</v>
      </c>
      <c r="AC197" s="192">
        <v>1</v>
      </c>
      <c r="AD197" s="193">
        <v>0</v>
      </c>
      <c r="AE197" s="193">
        <v>0</v>
      </c>
      <c r="AF197" s="193">
        <v>0</v>
      </c>
      <c r="AG197" s="193">
        <v>0</v>
      </c>
      <c r="AH197" s="193">
        <v>0</v>
      </c>
      <c r="AI197" s="193">
        <v>0</v>
      </c>
      <c r="AJ197" s="193">
        <v>0</v>
      </c>
      <c r="AK197" s="193">
        <v>0</v>
      </c>
      <c r="AL197" s="193">
        <v>0</v>
      </c>
      <c r="AM197" s="193">
        <v>0</v>
      </c>
      <c r="AN197" s="193">
        <v>0</v>
      </c>
      <c r="AO197" s="193">
        <v>0</v>
      </c>
      <c r="AP197" s="193">
        <v>0</v>
      </c>
      <c r="AQ197" s="193">
        <v>0</v>
      </c>
      <c r="AR197" s="193">
        <v>0</v>
      </c>
      <c r="AS197" s="193">
        <v>0</v>
      </c>
      <c r="AT197" s="193">
        <v>250000</v>
      </c>
      <c r="AU197" s="193">
        <v>0</v>
      </c>
      <c r="AV197" s="193">
        <v>500000</v>
      </c>
      <c r="AW197" s="193">
        <v>250000</v>
      </c>
      <c r="AX197" s="193">
        <v>0</v>
      </c>
      <c r="AY197" s="193">
        <v>0</v>
      </c>
      <c r="AZ197" s="193">
        <v>0</v>
      </c>
      <c r="BA197" s="193">
        <v>0</v>
      </c>
      <c r="BB197" s="193">
        <v>750000</v>
      </c>
      <c r="BC197" s="193">
        <v>250000</v>
      </c>
      <c r="BD197" s="193">
        <v>1000000</v>
      </c>
    </row>
    <row r="198" spans="1:56" s="229" customFormat="1">
      <c r="A198" s="189">
        <v>-6</v>
      </c>
      <c r="B198" s="194" t="s">
        <v>899</v>
      </c>
      <c r="C198" s="191">
        <v>460000</v>
      </c>
      <c r="D198" s="192">
        <v>1</v>
      </c>
      <c r="E198" s="192">
        <v>0</v>
      </c>
      <c r="F198" s="192">
        <v>0</v>
      </c>
      <c r="G198" s="192">
        <v>0</v>
      </c>
      <c r="H198" s="192">
        <v>0</v>
      </c>
      <c r="I198" s="192">
        <v>0</v>
      </c>
      <c r="J198" s="192">
        <v>0</v>
      </c>
      <c r="K198" s="192">
        <v>0</v>
      </c>
      <c r="L198" s="192">
        <v>0</v>
      </c>
      <c r="M198" s="192">
        <v>0</v>
      </c>
      <c r="N198" s="192">
        <v>1</v>
      </c>
      <c r="O198" s="192">
        <v>0</v>
      </c>
      <c r="P198" s="192">
        <v>0</v>
      </c>
      <c r="Q198" s="192">
        <v>0</v>
      </c>
      <c r="R198" s="192">
        <v>0</v>
      </c>
      <c r="S198" s="192">
        <v>0</v>
      </c>
      <c r="T198" s="192">
        <v>1</v>
      </c>
      <c r="U198" s="192">
        <v>0</v>
      </c>
      <c r="V198" s="192">
        <v>1</v>
      </c>
      <c r="W198" s="192">
        <v>2</v>
      </c>
      <c r="X198" s="192">
        <v>0</v>
      </c>
      <c r="Y198" s="192">
        <v>0</v>
      </c>
      <c r="Z198" s="192">
        <v>0</v>
      </c>
      <c r="AA198" s="192">
        <v>0</v>
      </c>
      <c r="AB198" s="192">
        <v>4</v>
      </c>
      <c r="AC198" s="192">
        <v>2</v>
      </c>
      <c r="AD198" s="193">
        <v>460000</v>
      </c>
      <c r="AE198" s="193">
        <v>0</v>
      </c>
      <c r="AF198" s="193">
        <v>0</v>
      </c>
      <c r="AG198" s="193">
        <v>0</v>
      </c>
      <c r="AH198" s="193">
        <v>0</v>
      </c>
      <c r="AI198" s="193">
        <v>0</v>
      </c>
      <c r="AJ198" s="193">
        <v>0</v>
      </c>
      <c r="AK198" s="193">
        <v>0</v>
      </c>
      <c r="AL198" s="193">
        <v>0</v>
      </c>
      <c r="AM198" s="193">
        <v>0</v>
      </c>
      <c r="AN198" s="193">
        <v>460000</v>
      </c>
      <c r="AO198" s="193">
        <v>0</v>
      </c>
      <c r="AP198" s="193">
        <v>0</v>
      </c>
      <c r="AQ198" s="193">
        <v>0</v>
      </c>
      <c r="AR198" s="193">
        <v>0</v>
      </c>
      <c r="AS198" s="193">
        <v>0</v>
      </c>
      <c r="AT198" s="193">
        <v>460000</v>
      </c>
      <c r="AU198" s="193">
        <v>0</v>
      </c>
      <c r="AV198" s="193">
        <v>460000</v>
      </c>
      <c r="AW198" s="193">
        <v>920000</v>
      </c>
      <c r="AX198" s="193">
        <v>0</v>
      </c>
      <c r="AY198" s="193">
        <v>0</v>
      </c>
      <c r="AZ198" s="193">
        <v>0</v>
      </c>
      <c r="BA198" s="193">
        <v>0</v>
      </c>
      <c r="BB198" s="193">
        <v>1840000</v>
      </c>
      <c r="BC198" s="193">
        <v>920000</v>
      </c>
      <c r="BD198" s="193">
        <v>2760000</v>
      </c>
    </row>
    <row r="199" spans="1:56" s="229" customFormat="1">
      <c r="A199" s="189">
        <v>-7</v>
      </c>
      <c r="B199" s="190" t="s">
        <v>1063</v>
      </c>
      <c r="C199" s="191">
        <v>700000</v>
      </c>
      <c r="D199" s="192">
        <v>0</v>
      </c>
      <c r="E199" s="192">
        <v>0</v>
      </c>
      <c r="F199" s="192">
        <v>0</v>
      </c>
      <c r="G199" s="192">
        <v>0</v>
      </c>
      <c r="H199" s="192">
        <v>0</v>
      </c>
      <c r="I199" s="192">
        <v>0</v>
      </c>
      <c r="J199" s="192">
        <v>0</v>
      </c>
      <c r="K199" s="192">
        <v>0</v>
      </c>
      <c r="L199" s="192">
        <v>0</v>
      </c>
      <c r="M199" s="192">
        <v>0</v>
      </c>
      <c r="N199" s="192">
        <v>0</v>
      </c>
      <c r="O199" s="192">
        <v>0</v>
      </c>
      <c r="P199" s="192">
        <v>0</v>
      </c>
      <c r="Q199" s="192">
        <v>0</v>
      </c>
      <c r="R199" s="192">
        <v>0</v>
      </c>
      <c r="S199" s="192">
        <v>0</v>
      </c>
      <c r="T199" s="192">
        <v>1</v>
      </c>
      <c r="U199" s="192">
        <v>0</v>
      </c>
      <c r="V199" s="192">
        <v>2</v>
      </c>
      <c r="W199" s="192">
        <v>0</v>
      </c>
      <c r="X199" s="192">
        <v>0</v>
      </c>
      <c r="Y199" s="192">
        <v>0</v>
      </c>
      <c r="Z199" s="192">
        <v>0</v>
      </c>
      <c r="AA199" s="192">
        <v>0</v>
      </c>
      <c r="AB199" s="192">
        <v>0</v>
      </c>
      <c r="AC199" s="192">
        <v>0</v>
      </c>
      <c r="AD199" s="193">
        <v>0</v>
      </c>
      <c r="AE199" s="193">
        <v>0</v>
      </c>
      <c r="AF199" s="193">
        <v>0</v>
      </c>
      <c r="AG199" s="193">
        <v>0</v>
      </c>
      <c r="AH199" s="193">
        <v>0</v>
      </c>
      <c r="AI199" s="193">
        <v>0</v>
      </c>
      <c r="AJ199" s="193">
        <v>0</v>
      </c>
      <c r="AK199" s="193">
        <v>0</v>
      </c>
      <c r="AL199" s="193">
        <v>0</v>
      </c>
      <c r="AM199" s="193">
        <v>0</v>
      </c>
      <c r="AN199" s="193">
        <v>0</v>
      </c>
      <c r="AO199" s="193">
        <v>0</v>
      </c>
      <c r="AP199" s="193">
        <v>0</v>
      </c>
      <c r="AQ199" s="193">
        <v>0</v>
      </c>
      <c r="AR199" s="193">
        <v>0</v>
      </c>
      <c r="AS199" s="193">
        <v>0</v>
      </c>
      <c r="AT199" s="193">
        <v>700000</v>
      </c>
      <c r="AU199" s="193">
        <v>0</v>
      </c>
      <c r="AV199" s="193">
        <v>1400000</v>
      </c>
      <c r="AW199" s="193">
        <v>0</v>
      </c>
      <c r="AX199" s="193">
        <v>0</v>
      </c>
      <c r="AY199" s="193">
        <v>0</v>
      </c>
      <c r="AZ199" s="193">
        <v>0</v>
      </c>
      <c r="BA199" s="193">
        <v>0</v>
      </c>
      <c r="BB199" s="193">
        <v>2100000</v>
      </c>
      <c r="BC199" s="193">
        <v>0</v>
      </c>
      <c r="BD199" s="193">
        <v>2100000</v>
      </c>
    </row>
    <row r="200" spans="1:56">
      <c r="A200" s="196"/>
      <c r="B200" s="194" t="s">
        <v>1089</v>
      </c>
      <c r="C200" s="196"/>
      <c r="D200" s="192">
        <v>1</v>
      </c>
      <c r="E200" s="192">
        <v>0</v>
      </c>
      <c r="F200" s="192">
        <v>0</v>
      </c>
      <c r="G200" s="192">
        <v>0</v>
      </c>
      <c r="H200" s="192">
        <v>0</v>
      </c>
      <c r="I200" s="192">
        <v>0</v>
      </c>
      <c r="J200" s="192">
        <v>0</v>
      </c>
      <c r="K200" s="192">
        <v>0</v>
      </c>
      <c r="L200" s="192">
        <v>0</v>
      </c>
      <c r="M200" s="192">
        <v>0</v>
      </c>
      <c r="N200" s="192">
        <v>1</v>
      </c>
      <c r="O200" s="192">
        <v>0</v>
      </c>
      <c r="P200" s="192">
        <v>0</v>
      </c>
      <c r="Q200" s="192">
        <v>0</v>
      </c>
      <c r="R200" s="192">
        <v>0</v>
      </c>
      <c r="S200" s="192">
        <v>0</v>
      </c>
      <c r="T200" s="192">
        <v>3</v>
      </c>
      <c r="U200" s="192">
        <v>0</v>
      </c>
      <c r="V200" s="192">
        <v>5</v>
      </c>
      <c r="W200" s="192">
        <v>4</v>
      </c>
      <c r="X200" s="192">
        <v>0</v>
      </c>
      <c r="Y200" s="192">
        <v>0</v>
      </c>
      <c r="Z200" s="192">
        <v>0</v>
      </c>
      <c r="AA200" s="192">
        <v>0</v>
      </c>
      <c r="AB200" s="192">
        <v>7</v>
      </c>
      <c r="AC200" s="192">
        <v>4</v>
      </c>
      <c r="AD200" s="193">
        <v>460000</v>
      </c>
      <c r="AE200" s="193">
        <v>0</v>
      </c>
      <c r="AF200" s="193">
        <v>0</v>
      </c>
      <c r="AG200" s="193">
        <v>0</v>
      </c>
      <c r="AH200" s="193">
        <v>0</v>
      </c>
      <c r="AI200" s="193">
        <v>0</v>
      </c>
      <c r="AJ200" s="193">
        <v>0</v>
      </c>
      <c r="AK200" s="193">
        <v>0</v>
      </c>
      <c r="AL200" s="193">
        <v>0</v>
      </c>
      <c r="AM200" s="193">
        <v>0</v>
      </c>
      <c r="AN200" s="193">
        <v>460000</v>
      </c>
      <c r="AO200" s="193">
        <v>0</v>
      </c>
      <c r="AP200" s="193">
        <v>0</v>
      </c>
      <c r="AQ200" s="193">
        <v>0</v>
      </c>
      <c r="AR200" s="193">
        <v>0</v>
      </c>
      <c r="AS200" s="193">
        <v>0</v>
      </c>
      <c r="AT200" s="193">
        <v>1410000</v>
      </c>
      <c r="AU200" s="193">
        <v>0</v>
      </c>
      <c r="AV200" s="193">
        <v>2360000</v>
      </c>
      <c r="AW200" s="193">
        <v>1395000</v>
      </c>
      <c r="AX200" s="193">
        <v>0</v>
      </c>
      <c r="AY200" s="193">
        <v>0</v>
      </c>
      <c r="AZ200" s="193">
        <v>0</v>
      </c>
      <c r="BA200" s="193">
        <v>0</v>
      </c>
      <c r="BB200" s="193">
        <v>4690000</v>
      </c>
      <c r="BC200" s="193">
        <v>1395000</v>
      </c>
      <c r="BD200" s="193">
        <v>6085000</v>
      </c>
    </row>
    <row r="201" spans="1:56" s="229" customFormat="1">
      <c r="A201" s="184">
        <v>7</v>
      </c>
      <c r="B201" s="185" t="s">
        <v>978</v>
      </c>
      <c r="C201" s="197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</row>
    <row r="202" spans="1:56" s="230" customFormat="1">
      <c r="A202" s="189">
        <v>-1</v>
      </c>
      <c r="B202" s="190" t="s">
        <v>979</v>
      </c>
      <c r="C202" s="191">
        <v>200000</v>
      </c>
      <c r="D202" s="192">
        <v>0</v>
      </c>
      <c r="E202" s="192">
        <v>0</v>
      </c>
      <c r="F202" s="192">
        <v>0</v>
      </c>
      <c r="G202" s="192">
        <v>0</v>
      </c>
      <c r="H202" s="192">
        <v>0</v>
      </c>
      <c r="I202" s="192">
        <v>0</v>
      </c>
      <c r="J202" s="192">
        <v>0</v>
      </c>
      <c r="K202" s="192">
        <v>0</v>
      </c>
      <c r="L202" s="192">
        <v>0</v>
      </c>
      <c r="M202" s="192">
        <v>0</v>
      </c>
      <c r="N202" s="192">
        <v>0</v>
      </c>
      <c r="O202" s="192">
        <v>0</v>
      </c>
      <c r="P202" s="192">
        <v>0</v>
      </c>
      <c r="Q202" s="192">
        <v>0</v>
      </c>
      <c r="R202" s="192">
        <v>0</v>
      </c>
      <c r="S202" s="192">
        <v>0</v>
      </c>
      <c r="T202" s="192">
        <v>0</v>
      </c>
      <c r="U202" s="192">
        <v>0</v>
      </c>
      <c r="V202" s="192">
        <v>0</v>
      </c>
      <c r="W202" s="192">
        <v>0</v>
      </c>
      <c r="X202" s="192">
        <v>0</v>
      </c>
      <c r="Y202" s="192">
        <v>0</v>
      </c>
      <c r="Z202" s="192">
        <v>1</v>
      </c>
      <c r="AA202" s="192">
        <v>0</v>
      </c>
      <c r="AB202" s="192">
        <v>1</v>
      </c>
      <c r="AC202" s="192">
        <v>0</v>
      </c>
      <c r="AD202" s="193">
        <v>0</v>
      </c>
      <c r="AE202" s="193">
        <v>0</v>
      </c>
      <c r="AF202" s="193">
        <v>0</v>
      </c>
      <c r="AG202" s="193">
        <v>0</v>
      </c>
      <c r="AH202" s="193">
        <v>0</v>
      </c>
      <c r="AI202" s="193">
        <v>0</v>
      </c>
      <c r="AJ202" s="193">
        <v>0</v>
      </c>
      <c r="AK202" s="193">
        <v>0</v>
      </c>
      <c r="AL202" s="193">
        <v>0</v>
      </c>
      <c r="AM202" s="193">
        <v>0</v>
      </c>
      <c r="AN202" s="193">
        <v>0</v>
      </c>
      <c r="AO202" s="193">
        <v>0</v>
      </c>
      <c r="AP202" s="193">
        <v>0</v>
      </c>
      <c r="AQ202" s="193">
        <v>0</v>
      </c>
      <c r="AR202" s="193">
        <v>0</v>
      </c>
      <c r="AS202" s="193">
        <v>0</v>
      </c>
      <c r="AT202" s="193">
        <v>0</v>
      </c>
      <c r="AU202" s="193">
        <v>0</v>
      </c>
      <c r="AV202" s="193">
        <v>0</v>
      </c>
      <c r="AW202" s="193">
        <v>0</v>
      </c>
      <c r="AX202" s="193">
        <v>0</v>
      </c>
      <c r="AY202" s="193">
        <v>0</v>
      </c>
      <c r="AZ202" s="193">
        <v>200000</v>
      </c>
      <c r="BA202" s="193">
        <v>0</v>
      </c>
      <c r="BB202" s="193">
        <v>200000</v>
      </c>
      <c r="BC202" s="193">
        <v>0</v>
      </c>
      <c r="BD202" s="193">
        <v>200000</v>
      </c>
    </row>
    <row r="203" spans="1:56" s="230" customFormat="1">
      <c r="A203" s="189">
        <v>-2</v>
      </c>
      <c r="B203" s="190" t="s">
        <v>1090</v>
      </c>
      <c r="C203" s="191">
        <v>225000</v>
      </c>
      <c r="D203" s="192">
        <v>0</v>
      </c>
      <c r="E203" s="192">
        <v>0</v>
      </c>
      <c r="F203" s="192">
        <v>0</v>
      </c>
      <c r="G203" s="192">
        <v>0</v>
      </c>
      <c r="H203" s="192">
        <v>0</v>
      </c>
      <c r="I203" s="192">
        <v>0</v>
      </c>
      <c r="J203" s="192">
        <v>0</v>
      </c>
      <c r="K203" s="192">
        <v>0</v>
      </c>
      <c r="L203" s="192">
        <v>0</v>
      </c>
      <c r="M203" s="192">
        <v>0</v>
      </c>
      <c r="N203" s="192">
        <v>0</v>
      </c>
      <c r="O203" s="192">
        <v>0</v>
      </c>
      <c r="P203" s="192">
        <v>0</v>
      </c>
      <c r="Q203" s="192">
        <v>0</v>
      </c>
      <c r="R203" s="192">
        <v>0</v>
      </c>
      <c r="S203" s="192">
        <v>0</v>
      </c>
      <c r="T203" s="192">
        <v>0</v>
      </c>
      <c r="U203" s="192">
        <v>0</v>
      </c>
      <c r="V203" s="192">
        <v>0</v>
      </c>
      <c r="W203" s="192">
        <v>0</v>
      </c>
      <c r="X203" s="192">
        <v>0</v>
      </c>
      <c r="Y203" s="192">
        <v>0</v>
      </c>
      <c r="Z203" s="192">
        <v>0</v>
      </c>
      <c r="AA203" s="192">
        <v>0</v>
      </c>
      <c r="AB203" s="192">
        <v>0</v>
      </c>
      <c r="AC203" s="192">
        <v>0</v>
      </c>
      <c r="AD203" s="193">
        <v>0</v>
      </c>
      <c r="AE203" s="193">
        <v>0</v>
      </c>
      <c r="AF203" s="193">
        <v>0</v>
      </c>
      <c r="AG203" s="193">
        <v>0</v>
      </c>
      <c r="AH203" s="193">
        <v>0</v>
      </c>
      <c r="AI203" s="193">
        <v>0</v>
      </c>
      <c r="AJ203" s="193">
        <v>0</v>
      </c>
      <c r="AK203" s="193">
        <v>0</v>
      </c>
      <c r="AL203" s="193">
        <v>0</v>
      </c>
      <c r="AM203" s="193">
        <v>0</v>
      </c>
      <c r="AN203" s="193">
        <v>0</v>
      </c>
      <c r="AO203" s="193">
        <v>0</v>
      </c>
      <c r="AP203" s="193">
        <v>0</v>
      </c>
      <c r="AQ203" s="193">
        <v>0</v>
      </c>
      <c r="AR203" s="193">
        <v>0</v>
      </c>
      <c r="AS203" s="193">
        <v>0</v>
      </c>
      <c r="AT203" s="193">
        <v>0</v>
      </c>
      <c r="AU203" s="193">
        <v>0</v>
      </c>
      <c r="AV203" s="193">
        <v>0</v>
      </c>
      <c r="AW203" s="193">
        <v>0</v>
      </c>
      <c r="AX203" s="193">
        <v>0</v>
      </c>
      <c r="AY203" s="193">
        <v>0</v>
      </c>
      <c r="AZ203" s="193">
        <v>0</v>
      </c>
      <c r="BA203" s="193">
        <v>0</v>
      </c>
      <c r="BB203" s="193">
        <v>0</v>
      </c>
      <c r="BC203" s="193">
        <v>0</v>
      </c>
      <c r="BD203" s="193">
        <v>0</v>
      </c>
    </row>
    <row r="204" spans="1:56" s="230" customFormat="1">
      <c r="A204" s="189">
        <v>-3</v>
      </c>
      <c r="B204" s="190" t="s">
        <v>1091</v>
      </c>
      <c r="C204" s="191">
        <v>450000</v>
      </c>
      <c r="D204" s="192">
        <v>0</v>
      </c>
      <c r="E204" s="192">
        <v>0</v>
      </c>
      <c r="F204" s="192">
        <v>0</v>
      </c>
      <c r="G204" s="192">
        <v>0</v>
      </c>
      <c r="H204" s="192">
        <v>0</v>
      </c>
      <c r="I204" s="192">
        <v>0</v>
      </c>
      <c r="J204" s="192">
        <v>0</v>
      </c>
      <c r="K204" s="192">
        <v>0</v>
      </c>
      <c r="L204" s="192">
        <v>0</v>
      </c>
      <c r="M204" s="192">
        <v>0</v>
      </c>
      <c r="N204" s="192">
        <v>0</v>
      </c>
      <c r="O204" s="192">
        <v>0</v>
      </c>
      <c r="P204" s="192">
        <v>0</v>
      </c>
      <c r="Q204" s="192">
        <v>0</v>
      </c>
      <c r="R204" s="192">
        <v>0</v>
      </c>
      <c r="S204" s="192">
        <v>0</v>
      </c>
      <c r="T204" s="192">
        <v>0</v>
      </c>
      <c r="U204" s="192">
        <v>0</v>
      </c>
      <c r="V204" s="192">
        <v>0</v>
      </c>
      <c r="W204" s="192">
        <v>0</v>
      </c>
      <c r="X204" s="192">
        <v>0</v>
      </c>
      <c r="Y204" s="192">
        <v>0</v>
      </c>
      <c r="Z204" s="192">
        <v>0</v>
      </c>
      <c r="AA204" s="192">
        <v>0</v>
      </c>
      <c r="AB204" s="192">
        <v>0</v>
      </c>
      <c r="AC204" s="192">
        <v>0</v>
      </c>
      <c r="AD204" s="193">
        <v>0</v>
      </c>
      <c r="AE204" s="193">
        <v>0</v>
      </c>
      <c r="AF204" s="193">
        <v>0</v>
      </c>
      <c r="AG204" s="193">
        <v>0</v>
      </c>
      <c r="AH204" s="193">
        <v>0</v>
      </c>
      <c r="AI204" s="193">
        <v>0</v>
      </c>
      <c r="AJ204" s="193">
        <v>0</v>
      </c>
      <c r="AK204" s="193">
        <v>0</v>
      </c>
      <c r="AL204" s="193">
        <v>0</v>
      </c>
      <c r="AM204" s="193">
        <v>0</v>
      </c>
      <c r="AN204" s="193">
        <v>0</v>
      </c>
      <c r="AO204" s="193">
        <v>0</v>
      </c>
      <c r="AP204" s="193">
        <v>0</v>
      </c>
      <c r="AQ204" s="193">
        <v>0</v>
      </c>
      <c r="AR204" s="193">
        <v>0</v>
      </c>
      <c r="AS204" s="193">
        <v>0</v>
      </c>
      <c r="AT204" s="193">
        <v>0</v>
      </c>
      <c r="AU204" s="193">
        <v>0</v>
      </c>
      <c r="AV204" s="193">
        <v>0</v>
      </c>
      <c r="AW204" s="193">
        <v>0</v>
      </c>
      <c r="AX204" s="193">
        <v>0</v>
      </c>
      <c r="AY204" s="193">
        <v>0</v>
      </c>
      <c r="AZ204" s="193">
        <v>0</v>
      </c>
      <c r="BA204" s="193">
        <v>0</v>
      </c>
      <c r="BB204" s="193">
        <v>0</v>
      </c>
      <c r="BC204" s="193">
        <v>0</v>
      </c>
      <c r="BD204" s="193">
        <v>0</v>
      </c>
    </row>
    <row r="205" spans="1:56" s="230" customFormat="1">
      <c r="A205" s="189">
        <v>-4</v>
      </c>
      <c r="B205" s="190" t="s">
        <v>1092</v>
      </c>
      <c r="C205" s="191">
        <v>450000</v>
      </c>
      <c r="D205" s="192">
        <v>0</v>
      </c>
      <c r="E205" s="192">
        <v>0</v>
      </c>
      <c r="F205" s="192">
        <v>0</v>
      </c>
      <c r="G205" s="192">
        <v>0</v>
      </c>
      <c r="H205" s="192">
        <v>0</v>
      </c>
      <c r="I205" s="192">
        <v>0</v>
      </c>
      <c r="J205" s="192">
        <v>0</v>
      </c>
      <c r="K205" s="192">
        <v>0</v>
      </c>
      <c r="L205" s="192">
        <v>0</v>
      </c>
      <c r="M205" s="192">
        <v>0</v>
      </c>
      <c r="N205" s="192">
        <v>0</v>
      </c>
      <c r="O205" s="192">
        <v>0</v>
      </c>
      <c r="P205" s="192">
        <v>0</v>
      </c>
      <c r="Q205" s="192">
        <v>0</v>
      </c>
      <c r="R205" s="192">
        <v>0</v>
      </c>
      <c r="S205" s="192">
        <v>0</v>
      </c>
      <c r="T205" s="192">
        <v>0</v>
      </c>
      <c r="U205" s="192">
        <v>0</v>
      </c>
      <c r="V205" s="192">
        <v>0</v>
      </c>
      <c r="W205" s="192">
        <v>0</v>
      </c>
      <c r="X205" s="192">
        <v>0</v>
      </c>
      <c r="Y205" s="192">
        <v>0</v>
      </c>
      <c r="Z205" s="192">
        <v>0</v>
      </c>
      <c r="AA205" s="192">
        <v>0</v>
      </c>
      <c r="AB205" s="192">
        <v>0</v>
      </c>
      <c r="AC205" s="192">
        <v>0</v>
      </c>
      <c r="AD205" s="193">
        <v>0</v>
      </c>
      <c r="AE205" s="193">
        <v>0</v>
      </c>
      <c r="AF205" s="193">
        <v>0</v>
      </c>
      <c r="AG205" s="193">
        <v>0</v>
      </c>
      <c r="AH205" s="193">
        <v>0</v>
      </c>
      <c r="AI205" s="193">
        <v>0</v>
      </c>
      <c r="AJ205" s="193">
        <v>0</v>
      </c>
      <c r="AK205" s="193">
        <v>0</v>
      </c>
      <c r="AL205" s="193">
        <v>0</v>
      </c>
      <c r="AM205" s="193">
        <v>0</v>
      </c>
      <c r="AN205" s="193">
        <v>0</v>
      </c>
      <c r="AO205" s="193">
        <v>0</v>
      </c>
      <c r="AP205" s="193">
        <v>0</v>
      </c>
      <c r="AQ205" s="193">
        <v>0</v>
      </c>
      <c r="AR205" s="193">
        <v>0</v>
      </c>
      <c r="AS205" s="193">
        <v>0</v>
      </c>
      <c r="AT205" s="193">
        <v>0</v>
      </c>
      <c r="AU205" s="193">
        <v>0</v>
      </c>
      <c r="AV205" s="193">
        <v>0</v>
      </c>
      <c r="AW205" s="193">
        <v>0</v>
      </c>
      <c r="AX205" s="193">
        <v>0</v>
      </c>
      <c r="AY205" s="193">
        <v>0</v>
      </c>
      <c r="AZ205" s="193">
        <v>0</v>
      </c>
      <c r="BA205" s="193">
        <v>0</v>
      </c>
      <c r="BB205" s="193">
        <v>0</v>
      </c>
      <c r="BC205" s="193">
        <v>0</v>
      </c>
      <c r="BD205" s="193">
        <v>0</v>
      </c>
    </row>
    <row r="206" spans="1:56" s="229" customFormat="1">
      <c r="A206" s="189">
        <v>-5</v>
      </c>
      <c r="B206" s="190" t="s">
        <v>981</v>
      </c>
      <c r="C206" s="191">
        <v>150000</v>
      </c>
      <c r="D206" s="192">
        <v>0</v>
      </c>
      <c r="E206" s="192">
        <v>0</v>
      </c>
      <c r="F206" s="192">
        <v>0</v>
      </c>
      <c r="G206" s="192">
        <v>0</v>
      </c>
      <c r="H206" s="192">
        <v>0</v>
      </c>
      <c r="I206" s="192">
        <v>0</v>
      </c>
      <c r="J206" s="192">
        <v>0</v>
      </c>
      <c r="K206" s="192">
        <v>0</v>
      </c>
      <c r="L206" s="192">
        <v>0</v>
      </c>
      <c r="M206" s="192">
        <v>0</v>
      </c>
      <c r="N206" s="192">
        <v>0</v>
      </c>
      <c r="O206" s="192">
        <v>0</v>
      </c>
      <c r="P206" s="192">
        <v>0</v>
      </c>
      <c r="Q206" s="192">
        <v>0</v>
      </c>
      <c r="R206" s="192">
        <v>0</v>
      </c>
      <c r="S206" s="192">
        <v>0</v>
      </c>
      <c r="T206" s="192">
        <v>0</v>
      </c>
      <c r="U206" s="192">
        <v>0</v>
      </c>
      <c r="V206" s="192">
        <v>0</v>
      </c>
      <c r="W206" s="192">
        <v>0</v>
      </c>
      <c r="X206" s="192">
        <v>0</v>
      </c>
      <c r="Y206" s="192">
        <v>0</v>
      </c>
      <c r="Z206" s="192">
        <v>0</v>
      </c>
      <c r="AA206" s="192">
        <v>0</v>
      </c>
      <c r="AB206" s="192">
        <v>0</v>
      </c>
      <c r="AC206" s="192">
        <v>0</v>
      </c>
      <c r="AD206" s="193">
        <v>0</v>
      </c>
      <c r="AE206" s="193">
        <v>0</v>
      </c>
      <c r="AF206" s="193">
        <v>0</v>
      </c>
      <c r="AG206" s="193">
        <v>0</v>
      </c>
      <c r="AH206" s="193">
        <v>0</v>
      </c>
      <c r="AI206" s="193">
        <v>0</v>
      </c>
      <c r="AJ206" s="193">
        <v>0</v>
      </c>
      <c r="AK206" s="193">
        <v>0</v>
      </c>
      <c r="AL206" s="193">
        <v>0</v>
      </c>
      <c r="AM206" s="193">
        <v>0</v>
      </c>
      <c r="AN206" s="193">
        <v>0</v>
      </c>
      <c r="AO206" s="193">
        <v>0</v>
      </c>
      <c r="AP206" s="193">
        <v>0</v>
      </c>
      <c r="AQ206" s="193">
        <v>0</v>
      </c>
      <c r="AR206" s="193">
        <v>0</v>
      </c>
      <c r="AS206" s="193">
        <v>0</v>
      </c>
      <c r="AT206" s="193">
        <v>0</v>
      </c>
      <c r="AU206" s="193">
        <v>0</v>
      </c>
      <c r="AV206" s="193">
        <v>0</v>
      </c>
      <c r="AW206" s="193">
        <v>0</v>
      </c>
      <c r="AX206" s="193">
        <v>0</v>
      </c>
      <c r="AY206" s="193">
        <v>0</v>
      </c>
      <c r="AZ206" s="193">
        <v>0</v>
      </c>
      <c r="BA206" s="193">
        <v>0</v>
      </c>
      <c r="BB206" s="193">
        <v>0</v>
      </c>
      <c r="BC206" s="193">
        <v>0</v>
      </c>
      <c r="BD206" s="193">
        <v>0</v>
      </c>
    </row>
    <row r="207" spans="1:56" s="229" customFormat="1">
      <c r="A207" s="189">
        <v>-6</v>
      </c>
      <c r="B207" s="194" t="s">
        <v>844</v>
      </c>
      <c r="C207" s="191">
        <v>190000</v>
      </c>
      <c r="D207" s="192">
        <v>0</v>
      </c>
      <c r="E207" s="192">
        <v>0</v>
      </c>
      <c r="F207" s="192">
        <v>0</v>
      </c>
      <c r="G207" s="192">
        <v>0</v>
      </c>
      <c r="H207" s="192">
        <v>0</v>
      </c>
      <c r="I207" s="192">
        <v>0</v>
      </c>
      <c r="J207" s="192">
        <v>0</v>
      </c>
      <c r="K207" s="192">
        <v>0</v>
      </c>
      <c r="L207" s="192">
        <v>0</v>
      </c>
      <c r="M207" s="192">
        <v>0</v>
      </c>
      <c r="N207" s="192">
        <v>0</v>
      </c>
      <c r="O207" s="192">
        <v>0</v>
      </c>
      <c r="P207" s="192">
        <v>0</v>
      </c>
      <c r="Q207" s="192">
        <v>0</v>
      </c>
      <c r="R207" s="192">
        <v>0</v>
      </c>
      <c r="S207" s="192">
        <v>0</v>
      </c>
      <c r="T207" s="192">
        <v>0</v>
      </c>
      <c r="U207" s="192">
        <v>0</v>
      </c>
      <c r="V207" s="192">
        <v>0</v>
      </c>
      <c r="W207" s="192">
        <v>0</v>
      </c>
      <c r="X207" s="192">
        <v>0</v>
      </c>
      <c r="Y207" s="192">
        <v>0</v>
      </c>
      <c r="Z207" s="192">
        <v>0</v>
      </c>
      <c r="AA207" s="192">
        <v>1</v>
      </c>
      <c r="AB207" s="192">
        <v>0</v>
      </c>
      <c r="AC207" s="192">
        <v>1</v>
      </c>
      <c r="AD207" s="193">
        <v>0</v>
      </c>
      <c r="AE207" s="193">
        <v>0</v>
      </c>
      <c r="AF207" s="193">
        <v>0</v>
      </c>
      <c r="AG207" s="193">
        <v>0</v>
      </c>
      <c r="AH207" s="193">
        <v>0</v>
      </c>
      <c r="AI207" s="193">
        <v>0</v>
      </c>
      <c r="AJ207" s="193">
        <v>0</v>
      </c>
      <c r="AK207" s="193">
        <v>0</v>
      </c>
      <c r="AL207" s="193">
        <v>0</v>
      </c>
      <c r="AM207" s="193">
        <v>0</v>
      </c>
      <c r="AN207" s="193">
        <v>0</v>
      </c>
      <c r="AO207" s="193">
        <v>0</v>
      </c>
      <c r="AP207" s="193">
        <v>0</v>
      </c>
      <c r="AQ207" s="193">
        <v>0</v>
      </c>
      <c r="AR207" s="193">
        <v>0</v>
      </c>
      <c r="AS207" s="193">
        <v>0</v>
      </c>
      <c r="AT207" s="193">
        <v>0</v>
      </c>
      <c r="AU207" s="193">
        <v>0</v>
      </c>
      <c r="AV207" s="193">
        <v>0</v>
      </c>
      <c r="AW207" s="193">
        <v>0</v>
      </c>
      <c r="AX207" s="193">
        <v>0</v>
      </c>
      <c r="AY207" s="193">
        <v>0</v>
      </c>
      <c r="AZ207" s="193">
        <v>0</v>
      </c>
      <c r="BA207" s="193">
        <v>190000</v>
      </c>
      <c r="BB207" s="193">
        <v>0</v>
      </c>
      <c r="BC207" s="193">
        <v>190000</v>
      </c>
      <c r="BD207" s="193">
        <v>190000</v>
      </c>
    </row>
    <row r="208" spans="1:56" s="230" customFormat="1">
      <c r="A208" s="189">
        <v>-7</v>
      </c>
      <c r="B208" s="190" t="s">
        <v>1093</v>
      </c>
      <c r="C208" s="191">
        <v>200000</v>
      </c>
      <c r="D208" s="192">
        <v>0</v>
      </c>
      <c r="E208" s="192">
        <v>0</v>
      </c>
      <c r="F208" s="192">
        <v>0</v>
      </c>
      <c r="G208" s="192">
        <v>0</v>
      </c>
      <c r="H208" s="192">
        <v>0</v>
      </c>
      <c r="I208" s="192">
        <v>0</v>
      </c>
      <c r="J208" s="192">
        <v>0</v>
      </c>
      <c r="K208" s="192">
        <v>0</v>
      </c>
      <c r="L208" s="192">
        <v>0</v>
      </c>
      <c r="M208" s="192">
        <v>0</v>
      </c>
      <c r="N208" s="192">
        <v>0</v>
      </c>
      <c r="O208" s="192">
        <v>0</v>
      </c>
      <c r="P208" s="192">
        <v>0</v>
      </c>
      <c r="Q208" s="192">
        <v>0</v>
      </c>
      <c r="R208" s="192">
        <v>0</v>
      </c>
      <c r="S208" s="192">
        <v>0</v>
      </c>
      <c r="T208" s="192">
        <v>0</v>
      </c>
      <c r="U208" s="192">
        <v>0</v>
      </c>
      <c r="V208" s="192">
        <v>0</v>
      </c>
      <c r="W208" s="192">
        <v>0</v>
      </c>
      <c r="X208" s="192">
        <v>0</v>
      </c>
      <c r="Y208" s="192">
        <v>0</v>
      </c>
      <c r="Z208" s="192">
        <v>0</v>
      </c>
      <c r="AA208" s="192">
        <v>0</v>
      </c>
      <c r="AB208" s="192">
        <v>0</v>
      </c>
      <c r="AC208" s="192">
        <v>0</v>
      </c>
      <c r="AD208" s="193">
        <v>0</v>
      </c>
      <c r="AE208" s="193">
        <v>0</v>
      </c>
      <c r="AF208" s="193">
        <v>0</v>
      </c>
      <c r="AG208" s="193">
        <v>0</v>
      </c>
      <c r="AH208" s="193">
        <v>0</v>
      </c>
      <c r="AI208" s="193">
        <v>0</v>
      </c>
      <c r="AJ208" s="193">
        <v>0</v>
      </c>
      <c r="AK208" s="193">
        <v>0</v>
      </c>
      <c r="AL208" s="193">
        <v>0</v>
      </c>
      <c r="AM208" s="193">
        <v>0</v>
      </c>
      <c r="AN208" s="193">
        <v>0</v>
      </c>
      <c r="AO208" s="193">
        <v>0</v>
      </c>
      <c r="AP208" s="193">
        <v>0</v>
      </c>
      <c r="AQ208" s="193">
        <v>0</v>
      </c>
      <c r="AR208" s="193">
        <v>0</v>
      </c>
      <c r="AS208" s="193">
        <v>0</v>
      </c>
      <c r="AT208" s="193">
        <v>0</v>
      </c>
      <c r="AU208" s="193">
        <v>0</v>
      </c>
      <c r="AV208" s="193">
        <v>0</v>
      </c>
      <c r="AW208" s="193">
        <v>0</v>
      </c>
      <c r="AX208" s="193">
        <v>0</v>
      </c>
      <c r="AY208" s="193">
        <v>0</v>
      </c>
      <c r="AZ208" s="193">
        <v>0</v>
      </c>
      <c r="BA208" s="193">
        <v>0</v>
      </c>
      <c r="BB208" s="193">
        <v>0</v>
      </c>
      <c r="BC208" s="193">
        <v>0</v>
      </c>
      <c r="BD208" s="193">
        <v>0</v>
      </c>
    </row>
    <row r="209" spans="1:56" s="229" customFormat="1">
      <c r="A209" s="189">
        <v>-8</v>
      </c>
      <c r="B209" s="194" t="s">
        <v>1059</v>
      </c>
      <c r="C209" s="191">
        <v>200000</v>
      </c>
      <c r="D209" s="192">
        <v>0</v>
      </c>
      <c r="E209" s="192">
        <v>0</v>
      </c>
      <c r="F209" s="192">
        <v>0</v>
      </c>
      <c r="G209" s="192">
        <v>0</v>
      </c>
      <c r="H209" s="192">
        <v>0</v>
      </c>
      <c r="I209" s="192">
        <v>0</v>
      </c>
      <c r="J209" s="192">
        <v>0</v>
      </c>
      <c r="K209" s="192">
        <v>0</v>
      </c>
      <c r="L209" s="192">
        <v>0</v>
      </c>
      <c r="M209" s="192">
        <v>0</v>
      </c>
      <c r="N209" s="192">
        <v>0</v>
      </c>
      <c r="O209" s="192">
        <v>0</v>
      </c>
      <c r="P209" s="192">
        <v>0</v>
      </c>
      <c r="Q209" s="192">
        <v>0</v>
      </c>
      <c r="R209" s="192">
        <v>0</v>
      </c>
      <c r="S209" s="192">
        <v>0</v>
      </c>
      <c r="T209" s="192">
        <v>0</v>
      </c>
      <c r="U209" s="192">
        <v>0</v>
      </c>
      <c r="V209" s="192">
        <v>0</v>
      </c>
      <c r="W209" s="192">
        <v>0</v>
      </c>
      <c r="X209" s="192">
        <v>0</v>
      </c>
      <c r="Y209" s="192">
        <v>0</v>
      </c>
      <c r="Z209" s="192">
        <v>0</v>
      </c>
      <c r="AA209" s="192">
        <v>0</v>
      </c>
      <c r="AB209" s="192">
        <v>0</v>
      </c>
      <c r="AC209" s="192">
        <v>0</v>
      </c>
      <c r="AD209" s="193">
        <v>0</v>
      </c>
      <c r="AE209" s="193">
        <v>0</v>
      </c>
      <c r="AF209" s="193">
        <v>0</v>
      </c>
      <c r="AG209" s="193">
        <v>0</v>
      </c>
      <c r="AH209" s="193">
        <v>0</v>
      </c>
      <c r="AI209" s="193">
        <v>0</v>
      </c>
      <c r="AJ209" s="193">
        <v>0</v>
      </c>
      <c r="AK209" s="193">
        <v>0</v>
      </c>
      <c r="AL209" s="193">
        <v>0</v>
      </c>
      <c r="AM209" s="193">
        <v>0</v>
      </c>
      <c r="AN209" s="193">
        <v>0</v>
      </c>
      <c r="AO209" s="193">
        <v>0</v>
      </c>
      <c r="AP209" s="193">
        <v>0</v>
      </c>
      <c r="AQ209" s="193">
        <v>0</v>
      </c>
      <c r="AR209" s="193">
        <v>0</v>
      </c>
      <c r="AS209" s="193">
        <v>0</v>
      </c>
      <c r="AT209" s="193">
        <v>0</v>
      </c>
      <c r="AU209" s="193">
        <v>0</v>
      </c>
      <c r="AV209" s="193">
        <v>0</v>
      </c>
      <c r="AW209" s="193">
        <v>0</v>
      </c>
      <c r="AX209" s="193">
        <v>0</v>
      </c>
      <c r="AY209" s="193">
        <v>0</v>
      </c>
      <c r="AZ209" s="193">
        <v>0</v>
      </c>
      <c r="BA209" s="193">
        <v>0</v>
      </c>
      <c r="BB209" s="193">
        <v>0</v>
      </c>
      <c r="BC209" s="193">
        <v>0</v>
      </c>
      <c r="BD209" s="193">
        <v>0</v>
      </c>
    </row>
    <row r="210" spans="1:56" s="230" customFormat="1">
      <c r="A210" s="189">
        <v>-9</v>
      </c>
      <c r="B210" s="190" t="s">
        <v>984</v>
      </c>
      <c r="C210" s="191">
        <v>400000</v>
      </c>
      <c r="D210" s="192">
        <v>0</v>
      </c>
      <c r="E210" s="192">
        <v>0</v>
      </c>
      <c r="F210" s="192">
        <v>0</v>
      </c>
      <c r="G210" s="192">
        <v>0</v>
      </c>
      <c r="H210" s="192">
        <v>0</v>
      </c>
      <c r="I210" s="192">
        <v>0</v>
      </c>
      <c r="J210" s="192">
        <v>0</v>
      </c>
      <c r="K210" s="192">
        <v>0</v>
      </c>
      <c r="L210" s="192">
        <v>0</v>
      </c>
      <c r="M210" s="192">
        <v>0</v>
      </c>
      <c r="N210" s="192">
        <v>0</v>
      </c>
      <c r="O210" s="192">
        <v>0</v>
      </c>
      <c r="P210" s="192">
        <v>0</v>
      </c>
      <c r="Q210" s="192">
        <v>0</v>
      </c>
      <c r="R210" s="192">
        <v>0</v>
      </c>
      <c r="S210" s="192">
        <v>0</v>
      </c>
      <c r="T210" s="192">
        <v>0</v>
      </c>
      <c r="U210" s="192">
        <v>0</v>
      </c>
      <c r="V210" s="192">
        <v>0</v>
      </c>
      <c r="W210" s="192">
        <v>0</v>
      </c>
      <c r="X210" s="192">
        <v>0</v>
      </c>
      <c r="Y210" s="192">
        <v>0</v>
      </c>
      <c r="Z210" s="192">
        <v>0</v>
      </c>
      <c r="AA210" s="192">
        <v>1</v>
      </c>
      <c r="AB210" s="192">
        <v>0</v>
      </c>
      <c r="AC210" s="192">
        <v>1</v>
      </c>
      <c r="AD210" s="193">
        <v>0</v>
      </c>
      <c r="AE210" s="193">
        <v>0</v>
      </c>
      <c r="AF210" s="193">
        <v>0</v>
      </c>
      <c r="AG210" s="193">
        <v>0</v>
      </c>
      <c r="AH210" s="193">
        <v>0</v>
      </c>
      <c r="AI210" s="193">
        <v>0</v>
      </c>
      <c r="AJ210" s="193">
        <v>0</v>
      </c>
      <c r="AK210" s="193">
        <v>0</v>
      </c>
      <c r="AL210" s="193">
        <v>0</v>
      </c>
      <c r="AM210" s="193">
        <v>0</v>
      </c>
      <c r="AN210" s="193">
        <v>0</v>
      </c>
      <c r="AO210" s="193">
        <v>0</v>
      </c>
      <c r="AP210" s="193">
        <v>0</v>
      </c>
      <c r="AQ210" s="193">
        <v>0</v>
      </c>
      <c r="AR210" s="193">
        <v>0</v>
      </c>
      <c r="AS210" s="193">
        <v>0</v>
      </c>
      <c r="AT210" s="193">
        <v>0</v>
      </c>
      <c r="AU210" s="193">
        <v>0</v>
      </c>
      <c r="AV210" s="193">
        <v>0</v>
      </c>
      <c r="AW210" s="193">
        <v>0</v>
      </c>
      <c r="AX210" s="193">
        <v>0</v>
      </c>
      <c r="AY210" s="193">
        <v>0</v>
      </c>
      <c r="AZ210" s="193">
        <v>0</v>
      </c>
      <c r="BA210" s="193">
        <v>400000</v>
      </c>
      <c r="BB210" s="193">
        <v>0</v>
      </c>
      <c r="BC210" s="193">
        <v>400000</v>
      </c>
      <c r="BD210" s="193">
        <v>400000</v>
      </c>
    </row>
    <row r="211" spans="1:56" s="229" customFormat="1">
      <c r="A211" s="189">
        <v>-10</v>
      </c>
      <c r="B211" s="190" t="s">
        <v>985</v>
      </c>
      <c r="C211" s="191">
        <v>450000</v>
      </c>
      <c r="D211" s="192">
        <v>0</v>
      </c>
      <c r="E211" s="192">
        <v>0</v>
      </c>
      <c r="F211" s="192">
        <v>0</v>
      </c>
      <c r="G211" s="192">
        <v>0</v>
      </c>
      <c r="H211" s="192">
        <v>0</v>
      </c>
      <c r="I211" s="192">
        <v>0</v>
      </c>
      <c r="J211" s="192">
        <v>0</v>
      </c>
      <c r="K211" s="192">
        <v>0</v>
      </c>
      <c r="L211" s="192">
        <v>0</v>
      </c>
      <c r="M211" s="192">
        <v>0</v>
      </c>
      <c r="N211" s="192">
        <v>0</v>
      </c>
      <c r="O211" s="192">
        <v>0</v>
      </c>
      <c r="P211" s="192">
        <v>0</v>
      </c>
      <c r="Q211" s="192">
        <v>0</v>
      </c>
      <c r="R211" s="192">
        <v>0</v>
      </c>
      <c r="S211" s="192">
        <v>0</v>
      </c>
      <c r="T211" s="192">
        <v>0</v>
      </c>
      <c r="U211" s="192">
        <v>0</v>
      </c>
      <c r="V211" s="192">
        <v>0</v>
      </c>
      <c r="W211" s="192">
        <v>0</v>
      </c>
      <c r="X211" s="192">
        <v>0</v>
      </c>
      <c r="Y211" s="192">
        <v>0</v>
      </c>
      <c r="Z211" s="192">
        <v>0</v>
      </c>
      <c r="AA211" s="192">
        <v>1</v>
      </c>
      <c r="AB211" s="192">
        <v>0</v>
      </c>
      <c r="AC211" s="192">
        <v>1</v>
      </c>
      <c r="AD211" s="193">
        <v>0</v>
      </c>
      <c r="AE211" s="193">
        <v>0</v>
      </c>
      <c r="AF211" s="193">
        <v>0</v>
      </c>
      <c r="AG211" s="193">
        <v>0</v>
      </c>
      <c r="AH211" s="193">
        <v>0</v>
      </c>
      <c r="AI211" s="193">
        <v>0</v>
      </c>
      <c r="AJ211" s="193">
        <v>0</v>
      </c>
      <c r="AK211" s="193">
        <v>0</v>
      </c>
      <c r="AL211" s="193">
        <v>0</v>
      </c>
      <c r="AM211" s="193">
        <v>0</v>
      </c>
      <c r="AN211" s="193">
        <v>0</v>
      </c>
      <c r="AO211" s="193">
        <v>0</v>
      </c>
      <c r="AP211" s="193">
        <v>0</v>
      </c>
      <c r="AQ211" s="193">
        <v>0</v>
      </c>
      <c r="AR211" s="193">
        <v>0</v>
      </c>
      <c r="AS211" s="193">
        <v>0</v>
      </c>
      <c r="AT211" s="193">
        <v>0</v>
      </c>
      <c r="AU211" s="193">
        <v>0</v>
      </c>
      <c r="AV211" s="193">
        <v>0</v>
      </c>
      <c r="AW211" s="193">
        <v>0</v>
      </c>
      <c r="AX211" s="193">
        <v>0</v>
      </c>
      <c r="AY211" s="193">
        <v>0</v>
      </c>
      <c r="AZ211" s="193">
        <v>0</v>
      </c>
      <c r="BA211" s="193">
        <v>450000</v>
      </c>
      <c r="BB211" s="193">
        <v>0</v>
      </c>
      <c r="BC211" s="193">
        <v>450000</v>
      </c>
      <c r="BD211" s="193">
        <v>450000</v>
      </c>
    </row>
    <row r="212" spans="1:56" s="229" customFormat="1">
      <c r="A212" s="189">
        <v>-11</v>
      </c>
      <c r="B212" s="190" t="s">
        <v>986</v>
      </c>
      <c r="C212" s="191">
        <v>450000</v>
      </c>
      <c r="D212" s="192">
        <v>0</v>
      </c>
      <c r="E212" s="192">
        <v>0</v>
      </c>
      <c r="F212" s="192">
        <v>0</v>
      </c>
      <c r="G212" s="192">
        <v>0</v>
      </c>
      <c r="H212" s="192">
        <v>0</v>
      </c>
      <c r="I212" s="192">
        <v>0</v>
      </c>
      <c r="J212" s="192">
        <v>0</v>
      </c>
      <c r="K212" s="192">
        <v>0</v>
      </c>
      <c r="L212" s="192">
        <v>0</v>
      </c>
      <c r="M212" s="192">
        <v>0</v>
      </c>
      <c r="N212" s="192">
        <v>0</v>
      </c>
      <c r="O212" s="192">
        <v>0</v>
      </c>
      <c r="P212" s="192">
        <v>0</v>
      </c>
      <c r="Q212" s="192">
        <v>0</v>
      </c>
      <c r="R212" s="192">
        <v>0</v>
      </c>
      <c r="S212" s="192">
        <v>0</v>
      </c>
      <c r="T212" s="192">
        <v>0</v>
      </c>
      <c r="U212" s="192">
        <v>0</v>
      </c>
      <c r="V212" s="192">
        <v>0</v>
      </c>
      <c r="W212" s="192">
        <v>0</v>
      </c>
      <c r="X212" s="192">
        <v>0</v>
      </c>
      <c r="Y212" s="192">
        <v>0</v>
      </c>
      <c r="Z212" s="192">
        <v>0</v>
      </c>
      <c r="AA212" s="192">
        <v>0</v>
      </c>
      <c r="AB212" s="192">
        <v>0</v>
      </c>
      <c r="AC212" s="192">
        <v>0</v>
      </c>
      <c r="AD212" s="193">
        <v>0</v>
      </c>
      <c r="AE212" s="193">
        <v>0</v>
      </c>
      <c r="AF212" s="193">
        <v>0</v>
      </c>
      <c r="AG212" s="193">
        <v>0</v>
      </c>
      <c r="AH212" s="193">
        <v>0</v>
      </c>
      <c r="AI212" s="193">
        <v>0</v>
      </c>
      <c r="AJ212" s="193">
        <v>0</v>
      </c>
      <c r="AK212" s="193">
        <v>0</v>
      </c>
      <c r="AL212" s="193">
        <v>0</v>
      </c>
      <c r="AM212" s="193">
        <v>0</v>
      </c>
      <c r="AN212" s="193">
        <v>0</v>
      </c>
      <c r="AO212" s="193">
        <v>0</v>
      </c>
      <c r="AP212" s="193">
        <v>0</v>
      </c>
      <c r="AQ212" s="193">
        <v>0</v>
      </c>
      <c r="AR212" s="193">
        <v>0</v>
      </c>
      <c r="AS212" s="193">
        <v>0</v>
      </c>
      <c r="AT212" s="193">
        <v>0</v>
      </c>
      <c r="AU212" s="193">
        <v>0</v>
      </c>
      <c r="AV212" s="193">
        <v>0</v>
      </c>
      <c r="AW212" s="193">
        <v>0</v>
      </c>
      <c r="AX212" s="193">
        <v>0</v>
      </c>
      <c r="AY212" s="193">
        <v>0</v>
      </c>
      <c r="AZ212" s="193">
        <v>0</v>
      </c>
      <c r="BA212" s="193">
        <v>0</v>
      </c>
      <c r="BB212" s="193">
        <v>0</v>
      </c>
      <c r="BC212" s="193">
        <v>0</v>
      </c>
      <c r="BD212" s="193">
        <v>0</v>
      </c>
    </row>
    <row r="213" spans="1:56" s="230" customFormat="1">
      <c r="A213" s="189">
        <v>-12</v>
      </c>
      <c r="B213" s="190" t="s">
        <v>1094</v>
      </c>
      <c r="C213" s="191">
        <v>450000</v>
      </c>
      <c r="D213" s="192">
        <v>0</v>
      </c>
      <c r="E213" s="192">
        <v>0</v>
      </c>
      <c r="F213" s="192">
        <v>0</v>
      </c>
      <c r="G213" s="192">
        <v>0</v>
      </c>
      <c r="H213" s="192">
        <v>0</v>
      </c>
      <c r="I213" s="192">
        <v>0</v>
      </c>
      <c r="J213" s="192">
        <v>0</v>
      </c>
      <c r="K213" s="192">
        <v>0</v>
      </c>
      <c r="L213" s="192">
        <v>0</v>
      </c>
      <c r="M213" s="192">
        <v>0</v>
      </c>
      <c r="N213" s="192">
        <v>0</v>
      </c>
      <c r="O213" s="192">
        <v>0</v>
      </c>
      <c r="P213" s="192">
        <v>0</v>
      </c>
      <c r="Q213" s="192">
        <v>0</v>
      </c>
      <c r="R213" s="192">
        <v>0</v>
      </c>
      <c r="S213" s="192">
        <v>0</v>
      </c>
      <c r="T213" s="192">
        <v>0</v>
      </c>
      <c r="U213" s="192">
        <v>0</v>
      </c>
      <c r="V213" s="192">
        <v>0</v>
      </c>
      <c r="W213" s="192">
        <v>0</v>
      </c>
      <c r="X213" s="192">
        <v>0</v>
      </c>
      <c r="Y213" s="192">
        <v>0</v>
      </c>
      <c r="Z213" s="192">
        <v>0</v>
      </c>
      <c r="AA213" s="192">
        <v>0</v>
      </c>
      <c r="AB213" s="192">
        <v>0</v>
      </c>
      <c r="AC213" s="192">
        <v>0</v>
      </c>
      <c r="AD213" s="193">
        <v>0</v>
      </c>
      <c r="AE213" s="193">
        <v>0</v>
      </c>
      <c r="AF213" s="193">
        <v>0</v>
      </c>
      <c r="AG213" s="193">
        <v>0</v>
      </c>
      <c r="AH213" s="193">
        <v>0</v>
      </c>
      <c r="AI213" s="193">
        <v>0</v>
      </c>
      <c r="AJ213" s="193">
        <v>0</v>
      </c>
      <c r="AK213" s="193">
        <v>0</v>
      </c>
      <c r="AL213" s="193">
        <v>0</v>
      </c>
      <c r="AM213" s="193">
        <v>0</v>
      </c>
      <c r="AN213" s="193">
        <v>0</v>
      </c>
      <c r="AO213" s="193">
        <v>0</v>
      </c>
      <c r="AP213" s="193">
        <v>0</v>
      </c>
      <c r="AQ213" s="193">
        <v>0</v>
      </c>
      <c r="AR213" s="193">
        <v>0</v>
      </c>
      <c r="AS213" s="193">
        <v>0</v>
      </c>
      <c r="AT213" s="193">
        <v>0</v>
      </c>
      <c r="AU213" s="193">
        <v>0</v>
      </c>
      <c r="AV213" s="193">
        <v>0</v>
      </c>
      <c r="AW213" s="193">
        <v>0</v>
      </c>
      <c r="AX213" s="193">
        <v>0</v>
      </c>
      <c r="AY213" s="193">
        <v>0</v>
      </c>
      <c r="AZ213" s="193">
        <v>0</v>
      </c>
      <c r="BA213" s="193">
        <v>0</v>
      </c>
      <c r="BB213" s="193">
        <v>0</v>
      </c>
      <c r="BC213" s="193">
        <v>0</v>
      </c>
      <c r="BD213" s="193">
        <v>0</v>
      </c>
    </row>
    <row r="214" spans="1:56" s="230" customFormat="1">
      <c r="A214" s="189">
        <v>-13</v>
      </c>
      <c r="B214" s="190" t="s">
        <v>1095</v>
      </c>
      <c r="C214" s="191">
        <v>460000</v>
      </c>
      <c r="D214" s="192">
        <v>0</v>
      </c>
      <c r="E214" s="192">
        <v>0</v>
      </c>
      <c r="F214" s="192">
        <v>0</v>
      </c>
      <c r="G214" s="192">
        <v>0</v>
      </c>
      <c r="H214" s="192">
        <v>0</v>
      </c>
      <c r="I214" s="192">
        <v>0</v>
      </c>
      <c r="J214" s="192">
        <v>0</v>
      </c>
      <c r="K214" s="192">
        <v>0</v>
      </c>
      <c r="L214" s="192">
        <v>0</v>
      </c>
      <c r="M214" s="192">
        <v>0</v>
      </c>
      <c r="N214" s="192">
        <v>0</v>
      </c>
      <c r="O214" s="192">
        <v>0</v>
      </c>
      <c r="P214" s="192">
        <v>0</v>
      </c>
      <c r="Q214" s="192">
        <v>0</v>
      </c>
      <c r="R214" s="192">
        <v>0</v>
      </c>
      <c r="S214" s="192">
        <v>0</v>
      </c>
      <c r="T214" s="192">
        <v>0</v>
      </c>
      <c r="U214" s="192">
        <v>0</v>
      </c>
      <c r="V214" s="192">
        <v>0</v>
      </c>
      <c r="W214" s="192">
        <v>0</v>
      </c>
      <c r="X214" s="192">
        <v>0</v>
      </c>
      <c r="Y214" s="192">
        <v>0</v>
      </c>
      <c r="Z214" s="192">
        <v>0</v>
      </c>
      <c r="AA214" s="192">
        <v>0</v>
      </c>
      <c r="AB214" s="192">
        <v>0</v>
      </c>
      <c r="AC214" s="192">
        <v>0</v>
      </c>
      <c r="AD214" s="193">
        <v>0</v>
      </c>
      <c r="AE214" s="193">
        <v>0</v>
      </c>
      <c r="AF214" s="193">
        <v>0</v>
      </c>
      <c r="AG214" s="193">
        <v>0</v>
      </c>
      <c r="AH214" s="193">
        <v>0</v>
      </c>
      <c r="AI214" s="193">
        <v>0</v>
      </c>
      <c r="AJ214" s="193">
        <v>0</v>
      </c>
      <c r="AK214" s="193">
        <v>0</v>
      </c>
      <c r="AL214" s="193">
        <v>0</v>
      </c>
      <c r="AM214" s="193">
        <v>0</v>
      </c>
      <c r="AN214" s="193">
        <v>0</v>
      </c>
      <c r="AO214" s="193">
        <v>0</v>
      </c>
      <c r="AP214" s="193">
        <v>0</v>
      </c>
      <c r="AQ214" s="193">
        <v>0</v>
      </c>
      <c r="AR214" s="193">
        <v>0</v>
      </c>
      <c r="AS214" s="193">
        <v>0</v>
      </c>
      <c r="AT214" s="193">
        <v>0</v>
      </c>
      <c r="AU214" s="193">
        <v>0</v>
      </c>
      <c r="AV214" s="193">
        <v>0</v>
      </c>
      <c r="AW214" s="193">
        <v>0</v>
      </c>
      <c r="AX214" s="193">
        <v>0</v>
      </c>
      <c r="AY214" s="193">
        <v>0</v>
      </c>
      <c r="AZ214" s="193">
        <v>0</v>
      </c>
      <c r="BA214" s="193">
        <v>0</v>
      </c>
      <c r="BB214" s="193">
        <v>0</v>
      </c>
      <c r="BC214" s="193">
        <v>0</v>
      </c>
      <c r="BD214" s="193">
        <v>0</v>
      </c>
    </row>
    <row r="215" spans="1:56" s="229" customFormat="1">
      <c r="A215" s="189">
        <v>-14</v>
      </c>
      <c r="B215" s="190" t="s">
        <v>987</v>
      </c>
      <c r="C215" s="191">
        <v>460000</v>
      </c>
      <c r="D215" s="192">
        <v>0</v>
      </c>
      <c r="E215" s="192">
        <v>0</v>
      </c>
      <c r="F215" s="192">
        <v>0</v>
      </c>
      <c r="G215" s="192">
        <v>0</v>
      </c>
      <c r="H215" s="192">
        <v>0</v>
      </c>
      <c r="I215" s="192">
        <v>0</v>
      </c>
      <c r="J215" s="192">
        <v>0</v>
      </c>
      <c r="K215" s="192">
        <v>0</v>
      </c>
      <c r="L215" s="192">
        <v>0</v>
      </c>
      <c r="M215" s="192">
        <v>0</v>
      </c>
      <c r="N215" s="192">
        <v>0</v>
      </c>
      <c r="O215" s="192">
        <v>0</v>
      </c>
      <c r="P215" s="192">
        <v>0</v>
      </c>
      <c r="Q215" s="192">
        <v>0</v>
      </c>
      <c r="R215" s="192">
        <v>0</v>
      </c>
      <c r="S215" s="192">
        <v>0</v>
      </c>
      <c r="T215" s="192">
        <v>0</v>
      </c>
      <c r="U215" s="192">
        <v>0</v>
      </c>
      <c r="V215" s="192">
        <v>0</v>
      </c>
      <c r="W215" s="192">
        <v>0</v>
      </c>
      <c r="X215" s="192">
        <v>0</v>
      </c>
      <c r="Y215" s="192">
        <v>0</v>
      </c>
      <c r="Z215" s="192">
        <v>0</v>
      </c>
      <c r="AA215" s="192">
        <v>1</v>
      </c>
      <c r="AB215" s="192">
        <v>0</v>
      </c>
      <c r="AC215" s="192">
        <v>1</v>
      </c>
      <c r="AD215" s="193">
        <v>0</v>
      </c>
      <c r="AE215" s="193">
        <v>0</v>
      </c>
      <c r="AF215" s="193">
        <v>0</v>
      </c>
      <c r="AG215" s="193">
        <v>0</v>
      </c>
      <c r="AH215" s="193">
        <v>0</v>
      </c>
      <c r="AI215" s="193">
        <v>0</v>
      </c>
      <c r="AJ215" s="193">
        <v>0</v>
      </c>
      <c r="AK215" s="193">
        <v>0</v>
      </c>
      <c r="AL215" s="193">
        <v>0</v>
      </c>
      <c r="AM215" s="193">
        <v>0</v>
      </c>
      <c r="AN215" s="193">
        <v>0</v>
      </c>
      <c r="AO215" s="193">
        <v>0</v>
      </c>
      <c r="AP215" s="193">
        <v>0</v>
      </c>
      <c r="AQ215" s="193">
        <v>0</v>
      </c>
      <c r="AR215" s="193">
        <v>0</v>
      </c>
      <c r="AS215" s="193">
        <v>0</v>
      </c>
      <c r="AT215" s="193">
        <v>0</v>
      </c>
      <c r="AU215" s="193">
        <v>0</v>
      </c>
      <c r="AV215" s="193">
        <v>0</v>
      </c>
      <c r="AW215" s="193">
        <v>0</v>
      </c>
      <c r="AX215" s="193">
        <v>0</v>
      </c>
      <c r="AY215" s="193">
        <v>0</v>
      </c>
      <c r="AZ215" s="193">
        <v>0</v>
      </c>
      <c r="BA215" s="193">
        <v>460000</v>
      </c>
      <c r="BB215" s="193">
        <v>0</v>
      </c>
      <c r="BC215" s="193">
        <v>460000</v>
      </c>
      <c r="BD215" s="193">
        <v>460000</v>
      </c>
    </row>
    <row r="216" spans="1:56" s="229" customFormat="1">
      <c r="A216" s="189">
        <v>-15</v>
      </c>
      <c r="B216" s="194" t="s">
        <v>861</v>
      </c>
      <c r="C216" s="191">
        <v>460000</v>
      </c>
      <c r="D216" s="192">
        <v>0</v>
      </c>
      <c r="E216" s="192">
        <v>0</v>
      </c>
      <c r="F216" s="192">
        <v>0</v>
      </c>
      <c r="G216" s="192">
        <v>0</v>
      </c>
      <c r="H216" s="192">
        <v>0</v>
      </c>
      <c r="I216" s="192">
        <v>0</v>
      </c>
      <c r="J216" s="192">
        <v>0</v>
      </c>
      <c r="K216" s="192">
        <v>0</v>
      </c>
      <c r="L216" s="192">
        <v>0</v>
      </c>
      <c r="M216" s="192">
        <v>0</v>
      </c>
      <c r="N216" s="192">
        <v>0</v>
      </c>
      <c r="O216" s="192">
        <v>0</v>
      </c>
      <c r="P216" s="192">
        <v>0</v>
      </c>
      <c r="Q216" s="192">
        <v>0</v>
      </c>
      <c r="R216" s="192">
        <v>0</v>
      </c>
      <c r="S216" s="192">
        <v>0</v>
      </c>
      <c r="T216" s="192">
        <v>0</v>
      </c>
      <c r="U216" s="192">
        <v>0</v>
      </c>
      <c r="V216" s="192">
        <v>0</v>
      </c>
      <c r="W216" s="192">
        <v>0</v>
      </c>
      <c r="X216" s="192">
        <v>0</v>
      </c>
      <c r="Y216" s="192">
        <v>0</v>
      </c>
      <c r="Z216" s="192">
        <v>0</v>
      </c>
      <c r="AA216" s="192">
        <v>1</v>
      </c>
      <c r="AB216" s="192">
        <v>0</v>
      </c>
      <c r="AC216" s="192">
        <v>1</v>
      </c>
      <c r="AD216" s="193">
        <v>0</v>
      </c>
      <c r="AE216" s="193">
        <v>0</v>
      </c>
      <c r="AF216" s="193">
        <v>0</v>
      </c>
      <c r="AG216" s="193">
        <v>0</v>
      </c>
      <c r="AH216" s="193">
        <v>0</v>
      </c>
      <c r="AI216" s="193">
        <v>0</v>
      </c>
      <c r="AJ216" s="193">
        <v>0</v>
      </c>
      <c r="AK216" s="193">
        <v>0</v>
      </c>
      <c r="AL216" s="193">
        <v>0</v>
      </c>
      <c r="AM216" s="193">
        <v>0</v>
      </c>
      <c r="AN216" s="193">
        <v>0</v>
      </c>
      <c r="AO216" s="193">
        <v>0</v>
      </c>
      <c r="AP216" s="193">
        <v>0</v>
      </c>
      <c r="AQ216" s="193">
        <v>0</v>
      </c>
      <c r="AR216" s="193">
        <v>0</v>
      </c>
      <c r="AS216" s="193">
        <v>0</v>
      </c>
      <c r="AT216" s="193">
        <v>0</v>
      </c>
      <c r="AU216" s="193">
        <v>0</v>
      </c>
      <c r="AV216" s="193">
        <v>0</v>
      </c>
      <c r="AW216" s="193">
        <v>0</v>
      </c>
      <c r="AX216" s="193">
        <v>0</v>
      </c>
      <c r="AY216" s="193">
        <v>0</v>
      </c>
      <c r="AZ216" s="193">
        <v>0</v>
      </c>
      <c r="BA216" s="193">
        <v>460000</v>
      </c>
      <c r="BB216" s="193">
        <v>0</v>
      </c>
      <c r="BC216" s="193">
        <v>460000</v>
      </c>
      <c r="BD216" s="193">
        <v>460000</v>
      </c>
    </row>
    <row r="217" spans="1:56" s="229" customFormat="1">
      <c r="A217" s="189">
        <v>-16</v>
      </c>
      <c r="B217" s="194" t="s">
        <v>899</v>
      </c>
      <c r="C217" s="191">
        <v>460000</v>
      </c>
      <c r="D217" s="192">
        <v>0</v>
      </c>
      <c r="E217" s="192">
        <v>1</v>
      </c>
      <c r="F217" s="192">
        <v>0</v>
      </c>
      <c r="G217" s="192">
        <v>0</v>
      </c>
      <c r="H217" s="192">
        <v>0</v>
      </c>
      <c r="I217" s="192">
        <v>0</v>
      </c>
      <c r="J217" s="192">
        <v>0</v>
      </c>
      <c r="K217" s="192">
        <v>0</v>
      </c>
      <c r="L217" s="192">
        <v>0</v>
      </c>
      <c r="M217" s="192">
        <v>0</v>
      </c>
      <c r="N217" s="192">
        <v>0</v>
      </c>
      <c r="O217" s="192">
        <v>0</v>
      </c>
      <c r="P217" s="192">
        <v>0</v>
      </c>
      <c r="Q217" s="192">
        <v>0</v>
      </c>
      <c r="R217" s="192">
        <v>0</v>
      </c>
      <c r="S217" s="192">
        <v>0</v>
      </c>
      <c r="T217" s="192">
        <v>0</v>
      </c>
      <c r="U217" s="192">
        <v>0</v>
      </c>
      <c r="V217" s="192">
        <v>0</v>
      </c>
      <c r="W217" s="192">
        <v>0</v>
      </c>
      <c r="X217" s="192">
        <v>0</v>
      </c>
      <c r="Y217" s="192">
        <v>0</v>
      </c>
      <c r="Z217" s="192">
        <v>0</v>
      </c>
      <c r="AA217" s="192">
        <v>0</v>
      </c>
      <c r="AB217" s="192">
        <v>0</v>
      </c>
      <c r="AC217" s="192">
        <v>1</v>
      </c>
      <c r="AD217" s="193">
        <v>0</v>
      </c>
      <c r="AE217" s="193">
        <v>460000</v>
      </c>
      <c r="AF217" s="193">
        <v>0</v>
      </c>
      <c r="AG217" s="193">
        <v>0</v>
      </c>
      <c r="AH217" s="193">
        <v>0</v>
      </c>
      <c r="AI217" s="193">
        <v>0</v>
      </c>
      <c r="AJ217" s="193">
        <v>0</v>
      </c>
      <c r="AK217" s="193">
        <v>0</v>
      </c>
      <c r="AL217" s="193">
        <v>0</v>
      </c>
      <c r="AM217" s="193">
        <v>0</v>
      </c>
      <c r="AN217" s="193">
        <v>0</v>
      </c>
      <c r="AO217" s="193">
        <v>0</v>
      </c>
      <c r="AP217" s="193">
        <v>0</v>
      </c>
      <c r="AQ217" s="193">
        <v>0</v>
      </c>
      <c r="AR217" s="193">
        <v>0</v>
      </c>
      <c r="AS217" s="193">
        <v>0</v>
      </c>
      <c r="AT217" s="193">
        <v>0</v>
      </c>
      <c r="AU217" s="193">
        <v>0</v>
      </c>
      <c r="AV217" s="193">
        <v>0</v>
      </c>
      <c r="AW217" s="193">
        <v>0</v>
      </c>
      <c r="AX217" s="193">
        <v>0</v>
      </c>
      <c r="AY217" s="193">
        <v>0</v>
      </c>
      <c r="AZ217" s="193">
        <v>0</v>
      </c>
      <c r="BA217" s="193">
        <v>0</v>
      </c>
      <c r="BB217" s="193">
        <v>0</v>
      </c>
      <c r="BC217" s="193">
        <v>460000</v>
      </c>
      <c r="BD217" s="193">
        <v>460000</v>
      </c>
    </row>
    <row r="218" spans="1:56" s="230" customFormat="1">
      <c r="A218" s="189">
        <v>-17</v>
      </c>
      <c r="B218" s="190" t="s">
        <v>1096</v>
      </c>
      <c r="C218" s="191">
        <v>800000</v>
      </c>
      <c r="D218" s="192">
        <v>0</v>
      </c>
      <c r="E218" s="192">
        <v>0</v>
      </c>
      <c r="F218" s="192">
        <v>0</v>
      </c>
      <c r="G218" s="192">
        <v>0</v>
      </c>
      <c r="H218" s="192">
        <v>0</v>
      </c>
      <c r="I218" s="192">
        <v>0</v>
      </c>
      <c r="J218" s="192">
        <v>0</v>
      </c>
      <c r="K218" s="192">
        <v>0</v>
      </c>
      <c r="L218" s="192">
        <v>0</v>
      </c>
      <c r="M218" s="192">
        <v>0</v>
      </c>
      <c r="N218" s="192">
        <v>0</v>
      </c>
      <c r="O218" s="192">
        <v>0</v>
      </c>
      <c r="P218" s="192">
        <v>0</v>
      </c>
      <c r="Q218" s="192">
        <v>0</v>
      </c>
      <c r="R218" s="192">
        <v>0</v>
      </c>
      <c r="S218" s="192">
        <v>0</v>
      </c>
      <c r="T218" s="192">
        <v>0</v>
      </c>
      <c r="U218" s="192">
        <v>0</v>
      </c>
      <c r="V218" s="192">
        <v>0</v>
      </c>
      <c r="W218" s="192">
        <v>0</v>
      </c>
      <c r="X218" s="192">
        <v>0</v>
      </c>
      <c r="Y218" s="192">
        <v>0</v>
      </c>
      <c r="Z218" s="192">
        <v>0</v>
      </c>
      <c r="AA218" s="192">
        <v>0</v>
      </c>
      <c r="AB218" s="192">
        <v>0</v>
      </c>
      <c r="AC218" s="192">
        <v>0</v>
      </c>
      <c r="AD218" s="193">
        <v>0</v>
      </c>
      <c r="AE218" s="193">
        <v>0</v>
      </c>
      <c r="AF218" s="193">
        <v>0</v>
      </c>
      <c r="AG218" s="193">
        <v>0</v>
      </c>
      <c r="AH218" s="193">
        <v>0</v>
      </c>
      <c r="AI218" s="193">
        <v>0</v>
      </c>
      <c r="AJ218" s="193">
        <v>0</v>
      </c>
      <c r="AK218" s="193">
        <v>0</v>
      </c>
      <c r="AL218" s="193">
        <v>0</v>
      </c>
      <c r="AM218" s="193">
        <v>0</v>
      </c>
      <c r="AN218" s="193">
        <v>0</v>
      </c>
      <c r="AO218" s="193">
        <v>0</v>
      </c>
      <c r="AP218" s="193">
        <v>0</v>
      </c>
      <c r="AQ218" s="193">
        <v>0</v>
      </c>
      <c r="AR218" s="193">
        <v>0</v>
      </c>
      <c r="AS218" s="193">
        <v>0</v>
      </c>
      <c r="AT218" s="193">
        <v>0</v>
      </c>
      <c r="AU218" s="193">
        <v>0</v>
      </c>
      <c r="AV218" s="193">
        <v>0</v>
      </c>
      <c r="AW218" s="193">
        <v>0</v>
      </c>
      <c r="AX218" s="193">
        <v>0</v>
      </c>
      <c r="AY218" s="193">
        <v>0</v>
      </c>
      <c r="AZ218" s="193">
        <v>0</v>
      </c>
      <c r="BA218" s="193">
        <v>0</v>
      </c>
      <c r="BB218" s="193">
        <v>0</v>
      </c>
      <c r="BC218" s="193">
        <v>0</v>
      </c>
      <c r="BD218" s="193">
        <v>0</v>
      </c>
    </row>
    <row r="219" spans="1:56" s="229" customFormat="1">
      <c r="A219" s="189">
        <v>-18</v>
      </c>
      <c r="B219" s="190" t="s">
        <v>991</v>
      </c>
      <c r="C219" s="191">
        <v>800000</v>
      </c>
      <c r="D219" s="192">
        <v>0</v>
      </c>
      <c r="E219" s="192">
        <v>0</v>
      </c>
      <c r="F219" s="192">
        <v>0</v>
      </c>
      <c r="G219" s="192">
        <v>0</v>
      </c>
      <c r="H219" s="192">
        <v>0</v>
      </c>
      <c r="I219" s="192">
        <v>0</v>
      </c>
      <c r="J219" s="192">
        <v>0</v>
      </c>
      <c r="K219" s="192">
        <v>0</v>
      </c>
      <c r="L219" s="192">
        <v>0</v>
      </c>
      <c r="M219" s="192">
        <v>0</v>
      </c>
      <c r="N219" s="192">
        <v>0</v>
      </c>
      <c r="O219" s="192">
        <v>0</v>
      </c>
      <c r="P219" s="192">
        <v>0</v>
      </c>
      <c r="Q219" s="192">
        <v>0</v>
      </c>
      <c r="R219" s="192">
        <v>0</v>
      </c>
      <c r="S219" s="192">
        <v>0</v>
      </c>
      <c r="T219" s="192">
        <v>0</v>
      </c>
      <c r="U219" s="192">
        <v>0</v>
      </c>
      <c r="V219" s="192">
        <v>0</v>
      </c>
      <c r="W219" s="192">
        <v>0</v>
      </c>
      <c r="X219" s="192">
        <v>0</v>
      </c>
      <c r="Y219" s="192">
        <v>0</v>
      </c>
      <c r="Z219" s="192">
        <v>0</v>
      </c>
      <c r="AA219" s="192">
        <v>1</v>
      </c>
      <c r="AB219" s="192">
        <v>0</v>
      </c>
      <c r="AC219" s="192">
        <v>1</v>
      </c>
      <c r="AD219" s="193">
        <v>0</v>
      </c>
      <c r="AE219" s="193">
        <v>0</v>
      </c>
      <c r="AF219" s="193">
        <v>0</v>
      </c>
      <c r="AG219" s="193">
        <v>0</v>
      </c>
      <c r="AH219" s="193">
        <v>0</v>
      </c>
      <c r="AI219" s="193">
        <v>0</v>
      </c>
      <c r="AJ219" s="193">
        <v>0</v>
      </c>
      <c r="AK219" s="193">
        <v>0</v>
      </c>
      <c r="AL219" s="193">
        <v>0</v>
      </c>
      <c r="AM219" s="193">
        <v>0</v>
      </c>
      <c r="AN219" s="193">
        <v>0</v>
      </c>
      <c r="AO219" s="193">
        <v>0</v>
      </c>
      <c r="AP219" s="193">
        <v>0</v>
      </c>
      <c r="AQ219" s="193">
        <v>0</v>
      </c>
      <c r="AR219" s="193">
        <v>0</v>
      </c>
      <c r="AS219" s="193">
        <v>0</v>
      </c>
      <c r="AT219" s="193">
        <v>0</v>
      </c>
      <c r="AU219" s="193">
        <v>0</v>
      </c>
      <c r="AV219" s="193">
        <v>0</v>
      </c>
      <c r="AW219" s="193">
        <v>0</v>
      </c>
      <c r="AX219" s="193">
        <v>0</v>
      </c>
      <c r="AY219" s="193">
        <v>0</v>
      </c>
      <c r="AZ219" s="193">
        <v>0</v>
      </c>
      <c r="BA219" s="193">
        <v>800000</v>
      </c>
      <c r="BB219" s="193">
        <v>0</v>
      </c>
      <c r="BC219" s="193">
        <v>800000</v>
      </c>
      <c r="BD219" s="193">
        <v>800000</v>
      </c>
    </row>
    <row r="220" spans="1:56" s="230" customFormat="1">
      <c r="A220" s="189">
        <v>-19</v>
      </c>
      <c r="B220" s="190" t="s">
        <v>1097</v>
      </c>
      <c r="C220" s="191">
        <v>1200000</v>
      </c>
      <c r="D220" s="192">
        <v>0</v>
      </c>
      <c r="E220" s="192">
        <v>0</v>
      </c>
      <c r="F220" s="192">
        <v>0</v>
      </c>
      <c r="G220" s="192">
        <v>0</v>
      </c>
      <c r="H220" s="192">
        <v>0</v>
      </c>
      <c r="I220" s="192">
        <v>0</v>
      </c>
      <c r="J220" s="192">
        <v>0</v>
      </c>
      <c r="K220" s="192">
        <v>0</v>
      </c>
      <c r="L220" s="192">
        <v>0</v>
      </c>
      <c r="M220" s="192">
        <v>0</v>
      </c>
      <c r="N220" s="192">
        <v>0</v>
      </c>
      <c r="O220" s="192">
        <v>0</v>
      </c>
      <c r="P220" s="192">
        <v>0</v>
      </c>
      <c r="Q220" s="192">
        <v>0</v>
      </c>
      <c r="R220" s="192">
        <v>0</v>
      </c>
      <c r="S220" s="192">
        <v>0</v>
      </c>
      <c r="T220" s="192">
        <v>0</v>
      </c>
      <c r="U220" s="192">
        <v>0</v>
      </c>
      <c r="V220" s="192">
        <v>0</v>
      </c>
      <c r="W220" s="192">
        <v>0</v>
      </c>
      <c r="X220" s="192">
        <v>0</v>
      </c>
      <c r="Y220" s="192">
        <v>0</v>
      </c>
      <c r="Z220" s="192">
        <v>0</v>
      </c>
      <c r="AA220" s="192">
        <v>0</v>
      </c>
      <c r="AB220" s="192">
        <v>0</v>
      </c>
      <c r="AC220" s="192">
        <v>0</v>
      </c>
      <c r="AD220" s="193">
        <v>0</v>
      </c>
      <c r="AE220" s="193">
        <v>0</v>
      </c>
      <c r="AF220" s="193">
        <v>0</v>
      </c>
      <c r="AG220" s="193">
        <v>0</v>
      </c>
      <c r="AH220" s="193">
        <v>0</v>
      </c>
      <c r="AI220" s="193">
        <v>0</v>
      </c>
      <c r="AJ220" s="193">
        <v>0</v>
      </c>
      <c r="AK220" s="193">
        <v>0</v>
      </c>
      <c r="AL220" s="193">
        <v>0</v>
      </c>
      <c r="AM220" s="193">
        <v>0</v>
      </c>
      <c r="AN220" s="193">
        <v>0</v>
      </c>
      <c r="AO220" s="193">
        <v>0</v>
      </c>
      <c r="AP220" s="193">
        <v>0</v>
      </c>
      <c r="AQ220" s="193">
        <v>0</v>
      </c>
      <c r="AR220" s="193">
        <v>0</v>
      </c>
      <c r="AS220" s="193">
        <v>0</v>
      </c>
      <c r="AT220" s="193">
        <v>0</v>
      </c>
      <c r="AU220" s="193">
        <v>0</v>
      </c>
      <c r="AV220" s="193">
        <v>0</v>
      </c>
      <c r="AW220" s="193">
        <v>0</v>
      </c>
      <c r="AX220" s="193">
        <v>0</v>
      </c>
      <c r="AY220" s="193">
        <v>0</v>
      </c>
      <c r="AZ220" s="193">
        <v>0</v>
      </c>
      <c r="BA220" s="193">
        <v>0</v>
      </c>
      <c r="BB220" s="193">
        <v>0</v>
      </c>
      <c r="BC220" s="193">
        <v>0</v>
      </c>
      <c r="BD220" s="193">
        <v>0</v>
      </c>
    </row>
    <row r="221" spans="1:56" s="230" customFormat="1">
      <c r="A221" s="189">
        <v>-20</v>
      </c>
      <c r="B221" s="190" t="s">
        <v>1098</v>
      </c>
      <c r="C221" s="191">
        <v>1500000</v>
      </c>
      <c r="D221" s="192">
        <v>0</v>
      </c>
      <c r="E221" s="192">
        <v>0</v>
      </c>
      <c r="F221" s="192">
        <v>0</v>
      </c>
      <c r="G221" s="192">
        <v>0</v>
      </c>
      <c r="H221" s="192">
        <v>0</v>
      </c>
      <c r="I221" s="192">
        <v>0</v>
      </c>
      <c r="J221" s="192">
        <v>0</v>
      </c>
      <c r="K221" s="192">
        <v>0</v>
      </c>
      <c r="L221" s="192">
        <v>0</v>
      </c>
      <c r="M221" s="192">
        <v>0</v>
      </c>
      <c r="N221" s="192">
        <v>0</v>
      </c>
      <c r="O221" s="192">
        <v>0</v>
      </c>
      <c r="P221" s="192">
        <v>0</v>
      </c>
      <c r="Q221" s="192">
        <v>0</v>
      </c>
      <c r="R221" s="192">
        <v>0</v>
      </c>
      <c r="S221" s="192">
        <v>0</v>
      </c>
      <c r="T221" s="192">
        <v>0</v>
      </c>
      <c r="U221" s="192">
        <v>0</v>
      </c>
      <c r="V221" s="192">
        <v>0</v>
      </c>
      <c r="W221" s="192">
        <v>0</v>
      </c>
      <c r="X221" s="192">
        <v>0</v>
      </c>
      <c r="Y221" s="192">
        <v>0</v>
      </c>
      <c r="Z221" s="192">
        <v>0</v>
      </c>
      <c r="AA221" s="192">
        <v>0</v>
      </c>
      <c r="AB221" s="192">
        <v>0</v>
      </c>
      <c r="AC221" s="192">
        <v>0</v>
      </c>
      <c r="AD221" s="193">
        <v>0</v>
      </c>
      <c r="AE221" s="193">
        <v>0</v>
      </c>
      <c r="AF221" s="193">
        <v>0</v>
      </c>
      <c r="AG221" s="193">
        <v>0</v>
      </c>
      <c r="AH221" s="193">
        <v>0</v>
      </c>
      <c r="AI221" s="193">
        <v>0</v>
      </c>
      <c r="AJ221" s="193">
        <v>0</v>
      </c>
      <c r="AK221" s="193">
        <v>0</v>
      </c>
      <c r="AL221" s="193">
        <v>0</v>
      </c>
      <c r="AM221" s="193">
        <v>0</v>
      </c>
      <c r="AN221" s="193">
        <v>0</v>
      </c>
      <c r="AO221" s="193">
        <v>0</v>
      </c>
      <c r="AP221" s="193">
        <v>0</v>
      </c>
      <c r="AQ221" s="193">
        <v>0</v>
      </c>
      <c r="AR221" s="193">
        <v>0</v>
      </c>
      <c r="AS221" s="193">
        <v>0</v>
      </c>
      <c r="AT221" s="193">
        <v>0</v>
      </c>
      <c r="AU221" s="193">
        <v>0</v>
      </c>
      <c r="AV221" s="193">
        <v>0</v>
      </c>
      <c r="AW221" s="193">
        <v>0</v>
      </c>
      <c r="AX221" s="193">
        <v>0</v>
      </c>
      <c r="AY221" s="193">
        <v>0</v>
      </c>
      <c r="AZ221" s="193">
        <v>0</v>
      </c>
      <c r="BA221" s="193">
        <v>0</v>
      </c>
      <c r="BB221" s="193">
        <v>0</v>
      </c>
      <c r="BC221" s="193">
        <v>0</v>
      </c>
      <c r="BD221" s="193">
        <v>0</v>
      </c>
    </row>
    <row r="222" spans="1:56" s="229" customFormat="1">
      <c r="A222" s="189">
        <v>-21</v>
      </c>
      <c r="B222" s="190" t="s">
        <v>994</v>
      </c>
      <c r="C222" s="234">
        <v>1900000</v>
      </c>
      <c r="D222" s="192">
        <v>0</v>
      </c>
      <c r="E222" s="192">
        <v>0</v>
      </c>
      <c r="F222" s="192">
        <v>0</v>
      </c>
      <c r="G222" s="192">
        <v>0</v>
      </c>
      <c r="H222" s="192">
        <v>0</v>
      </c>
      <c r="I222" s="192">
        <v>0</v>
      </c>
      <c r="J222" s="192">
        <v>0</v>
      </c>
      <c r="K222" s="192">
        <v>0</v>
      </c>
      <c r="L222" s="192">
        <v>0</v>
      </c>
      <c r="M222" s="192">
        <v>0</v>
      </c>
      <c r="N222" s="192">
        <v>0</v>
      </c>
      <c r="O222" s="192">
        <v>0</v>
      </c>
      <c r="P222" s="192">
        <v>0</v>
      </c>
      <c r="Q222" s="192">
        <v>0</v>
      </c>
      <c r="R222" s="192">
        <v>1</v>
      </c>
      <c r="S222" s="192">
        <v>0</v>
      </c>
      <c r="T222" s="192">
        <v>0</v>
      </c>
      <c r="U222" s="192">
        <v>0</v>
      </c>
      <c r="V222" s="192">
        <v>0</v>
      </c>
      <c r="W222" s="192">
        <v>0</v>
      </c>
      <c r="X222" s="192">
        <v>0</v>
      </c>
      <c r="Y222" s="192">
        <v>0</v>
      </c>
      <c r="Z222" s="192">
        <v>1</v>
      </c>
      <c r="AA222" s="192">
        <v>0</v>
      </c>
      <c r="AB222" s="192">
        <v>2</v>
      </c>
      <c r="AC222" s="192">
        <v>0</v>
      </c>
      <c r="AD222" s="193">
        <v>0</v>
      </c>
      <c r="AE222" s="193">
        <v>0</v>
      </c>
      <c r="AF222" s="193">
        <v>0</v>
      </c>
      <c r="AG222" s="193">
        <v>0</v>
      </c>
      <c r="AH222" s="193">
        <v>0</v>
      </c>
      <c r="AI222" s="193">
        <v>0</v>
      </c>
      <c r="AJ222" s="193">
        <v>0</v>
      </c>
      <c r="AK222" s="193">
        <v>0</v>
      </c>
      <c r="AL222" s="193">
        <v>0</v>
      </c>
      <c r="AM222" s="193">
        <v>0</v>
      </c>
      <c r="AN222" s="193">
        <v>0</v>
      </c>
      <c r="AO222" s="193">
        <v>0</v>
      </c>
      <c r="AP222" s="193">
        <v>0</v>
      </c>
      <c r="AQ222" s="193">
        <v>0</v>
      </c>
      <c r="AR222" s="193">
        <v>1900000</v>
      </c>
      <c r="AS222" s="193">
        <v>0</v>
      </c>
      <c r="AT222" s="193">
        <v>0</v>
      </c>
      <c r="AU222" s="193">
        <v>0</v>
      </c>
      <c r="AV222" s="193">
        <v>0</v>
      </c>
      <c r="AW222" s="193">
        <v>0</v>
      </c>
      <c r="AX222" s="193">
        <v>0</v>
      </c>
      <c r="AY222" s="193">
        <v>0</v>
      </c>
      <c r="AZ222" s="193">
        <v>1900000</v>
      </c>
      <c r="BA222" s="193">
        <v>0</v>
      </c>
      <c r="BB222" s="193">
        <v>3800000</v>
      </c>
      <c r="BC222" s="193">
        <v>0</v>
      </c>
      <c r="BD222" s="193">
        <v>3800000</v>
      </c>
    </row>
    <row r="223" spans="1:56" s="230" customFormat="1">
      <c r="A223" s="189">
        <v>-22</v>
      </c>
      <c r="B223" s="190" t="s">
        <v>1099</v>
      </c>
      <c r="C223" s="191">
        <v>2000000</v>
      </c>
      <c r="D223" s="192">
        <v>0</v>
      </c>
      <c r="E223" s="192">
        <v>0</v>
      </c>
      <c r="F223" s="192">
        <v>0</v>
      </c>
      <c r="G223" s="192">
        <v>0</v>
      </c>
      <c r="H223" s="192">
        <v>0</v>
      </c>
      <c r="I223" s="192">
        <v>0</v>
      </c>
      <c r="J223" s="192">
        <v>0</v>
      </c>
      <c r="K223" s="192">
        <v>0</v>
      </c>
      <c r="L223" s="192">
        <v>0</v>
      </c>
      <c r="M223" s="192">
        <v>0</v>
      </c>
      <c r="N223" s="192">
        <v>0</v>
      </c>
      <c r="O223" s="192">
        <v>0</v>
      </c>
      <c r="P223" s="192">
        <v>0</v>
      </c>
      <c r="Q223" s="192">
        <v>0</v>
      </c>
      <c r="R223" s="192">
        <v>0</v>
      </c>
      <c r="S223" s="192">
        <v>0</v>
      </c>
      <c r="T223" s="192">
        <v>0</v>
      </c>
      <c r="U223" s="192">
        <v>0</v>
      </c>
      <c r="V223" s="192">
        <v>0</v>
      </c>
      <c r="W223" s="192">
        <v>0</v>
      </c>
      <c r="X223" s="192">
        <v>0</v>
      </c>
      <c r="Y223" s="192">
        <v>0</v>
      </c>
      <c r="Z223" s="192">
        <v>0</v>
      </c>
      <c r="AA223" s="192">
        <v>0</v>
      </c>
      <c r="AB223" s="192">
        <v>0</v>
      </c>
      <c r="AC223" s="192">
        <v>0</v>
      </c>
      <c r="AD223" s="193">
        <v>0</v>
      </c>
      <c r="AE223" s="193">
        <v>0</v>
      </c>
      <c r="AF223" s="193">
        <v>0</v>
      </c>
      <c r="AG223" s="193">
        <v>0</v>
      </c>
      <c r="AH223" s="193">
        <v>0</v>
      </c>
      <c r="AI223" s="193">
        <v>0</v>
      </c>
      <c r="AJ223" s="193">
        <v>0</v>
      </c>
      <c r="AK223" s="193">
        <v>0</v>
      </c>
      <c r="AL223" s="193">
        <v>0</v>
      </c>
      <c r="AM223" s="193">
        <v>0</v>
      </c>
      <c r="AN223" s="193">
        <v>0</v>
      </c>
      <c r="AO223" s="193">
        <v>0</v>
      </c>
      <c r="AP223" s="193">
        <v>0</v>
      </c>
      <c r="AQ223" s="193">
        <v>0</v>
      </c>
      <c r="AR223" s="193">
        <v>0</v>
      </c>
      <c r="AS223" s="193">
        <v>0</v>
      </c>
      <c r="AT223" s="193">
        <v>0</v>
      </c>
      <c r="AU223" s="193">
        <v>0</v>
      </c>
      <c r="AV223" s="193">
        <v>0</v>
      </c>
      <c r="AW223" s="193">
        <v>0</v>
      </c>
      <c r="AX223" s="193">
        <v>0</v>
      </c>
      <c r="AY223" s="193">
        <v>0</v>
      </c>
      <c r="AZ223" s="193">
        <v>0</v>
      </c>
      <c r="BA223" s="193">
        <v>0</v>
      </c>
      <c r="BB223" s="193">
        <v>0</v>
      </c>
      <c r="BC223" s="193">
        <v>0</v>
      </c>
      <c r="BD223" s="193">
        <v>0</v>
      </c>
    </row>
    <row r="224" spans="1:56" s="229" customFormat="1">
      <c r="A224" s="189">
        <v>-23</v>
      </c>
      <c r="B224" s="194" t="s">
        <v>971</v>
      </c>
      <c r="C224" s="191">
        <v>11500000</v>
      </c>
      <c r="D224" s="192">
        <v>0</v>
      </c>
      <c r="E224" s="192">
        <v>0</v>
      </c>
      <c r="F224" s="192">
        <v>0</v>
      </c>
      <c r="G224" s="192">
        <v>0</v>
      </c>
      <c r="H224" s="192">
        <v>0</v>
      </c>
      <c r="I224" s="192">
        <v>0</v>
      </c>
      <c r="J224" s="192">
        <v>0</v>
      </c>
      <c r="K224" s="192">
        <v>0</v>
      </c>
      <c r="L224" s="192">
        <v>0</v>
      </c>
      <c r="M224" s="192">
        <v>0</v>
      </c>
      <c r="N224" s="192">
        <v>0</v>
      </c>
      <c r="O224" s="192">
        <v>0</v>
      </c>
      <c r="P224" s="192">
        <v>0</v>
      </c>
      <c r="Q224" s="192">
        <v>0</v>
      </c>
      <c r="R224" s="192">
        <v>0</v>
      </c>
      <c r="S224" s="192">
        <v>0</v>
      </c>
      <c r="T224" s="192">
        <v>0</v>
      </c>
      <c r="U224" s="192">
        <v>0</v>
      </c>
      <c r="V224" s="192">
        <v>0</v>
      </c>
      <c r="W224" s="192">
        <v>0</v>
      </c>
      <c r="X224" s="192">
        <v>0</v>
      </c>
      <c r="Y224" s="192">
        <v>0</v>
      </c>
      <c r="Z224" s="192">
        <v>0</v>
      </c>
      <c r="AA224" s="192">
        <v>0</v>
      </c>
      <c r="AB224" s="192">
        <v>0</v>
      </c>
      <c r="AC224" s="192">
        <v>0</v>
      </c>
      <c r="AD224" s="193">
        <v>0</v>
      </c>
      <c r="AE224" s="193">
        <v>0</v>
      </c>
      <c r="AF224" s="193">
        <v>0</v>
      </c>
      <c r="AG224" s="193">
        <v>0</v>
      </c>
      <c r="AH224" s="193">
        <v>0</v>
      </c>
      <c r="AI224" s="193">
        <v>0</v>
      </c>
      <c r="AJ224" s="193">
        <v>0</v>
      </c>
      <c r="AK224" s="193">
        <v>0</v>
      </c>
      <c r="AL224" s="193">
        <v>0</v>
      </c>
      <c r="AM224" s="193">
        <v>0</v>
      </c>
      <c r="AN224" s="193">
        <v>0</v>
      </c>
      <c r="AO224" s="193">
        <v>0</v>
      </c>
      <c r="AP224" s="193">
        <v>0</v>
      </c>
      <c r="AQ224" s="193">
        <v>0</v>
      </c>
      <c r="AR224" s="193">
        <v>0</v>
      </c>
      <c r="AS224" s="193">
        <v>0</v>
      </c>
      <c r="AT224" s="193">
        <v>0</v>
      </c>
      <c r="AU224" s="193">
        <v>0</v>
      </c>
      <c r="AV224" s="193">
        <v>0</v>
      </c>
      <c r="AW224" s="193">
        <v>0</v>
      </c>
      <c r="AX224" s="193">
        <v>0</v>
      </c>
      <c r="AY224" s="193">
        <v>0</v>
      </c>
      <c r="AZ224" s="193">
        <v>0</v>
      </c>
      <c r="BA224" s="193">
        <v>0</v>
      </c>
      <c r="BB224" s="193">
        <v>0</v>
      </c>
      <c r="BC224" s="193">
        <v>0</v>
      </c>
      <c r="BD224" s="193">
        <v>0</v>
      </c>
    </row>
    <row r="225" spans="1:56" s="229" customFormat="1">
      <c r="A225" s="189">
        <v>-24</v>
      </c>
      <c r="B225" s="194" t="s">
        <v>972</v>
      </c>
      <c r="C225" s="191">
        <v>12650000</v>
      </c>
      <c r="D225" s="192">
        <v>0</v>
      </c>
      <c r="E225" s="192">
        <v>0</v>
      </c>
      <c r="F225" s="192">
        <v>0</v>
      </c>
      <c r="G225" s="192">
        <v>0</v>
      </c>
      <c r="H225" s="192">
        <v>0</v>
      </c>
      <c r="I225" s="192">
        <v>0</v>
      </c>
      <c r="J225" s="192">
        <v>0</v>
      </c>
      <c r="K225" s="192">
        <v>0</v>
      </c>
      <c r="L225" s="192">
        <v>0</v>
      </c>
      <c r="M225" s="192">
        <v>0</v>
      </c>
      <c r="N225" s="192">
        <v>0</v>
      </c>
      <c r="O225" s="192">
        <v>0</v>
      </c>
      <c r="P225" s="192">
        <v>0</v>
      </c>
      <c r="Q225" s="192">
        <v>0</v>
      </c>
      <c r="R225" s="192">
        <v>0</v>
      </c>
      <c r="S225" s="192">
        <v>0</v>
      </c>
      <c r="T225" s="192">
        <v>0</v>
      </c>
      <c r="U225" s="192">
        <v>0</v>
      </c>
      <c r="V225" s="192">
        <v>0</v>
      </c>
      <c r="W225" s="192">
        <v>0</v>
      </c>
      <c r="X225" s="192">
        <v>0</v>
      </c>
      <c r="Y225" s="192">
        <v>0</v>
      </c>
      <c r="Z225" s="192">
        <v>0</v>
      </c>
      <c r="AA225" s="192">
        <v>0</v>
      </c>
      <c r="AB225" s="192">
        <v>0</v>
      </c>
      <c r="AC225" s="192">
        <v>0</v>
      </c>
      <c r="AD225" s="193">
        <v>0</v>
      </c>
      <c r="AE225" s="193">
        <v>0</v>
      </c>
      <c r="AF225" s="193">
        <v>0</v>
      </c>
      <c r="AG225" s="193">
        <v>0</v>
      </c>
      <c r="AH225" s="193">
        <v>0</v>
      </c>
      <c r="AI225" s="193">
        <v>0</v>
      </c>
      <c r="AJ225" s="193">
        <v>0</v>
      </c>
      <c r="AK225" s="193">
        <v>0</v>
      </c>
      <c r="AL225" s="193">
        <v>0</v>
      </c>
      <c r="AM225" s="193">
        <v>0</v>
      </c>
      <c r="AN225" s="193">
        <v>0</v>
      </c>
      <c r="AO225" s="193">
        <v>0</v>
      </c>
      <c r="AP225" s="193">
        <v>0</v>
      </c>
      <c r="AQ225" s="193">
        <v>0</v>
      </c>
      <c r="AR225" s="193">
        <v>0</v>
      </c>
      <c r="AS225" s="193">
        <v>0</v>
      </c>
      <c r="AT225" s="193">
        <v>0</v>
      </c>
      <c r="AU225" s="193">
        <v>0</v>
      </c>
      <c r="AV225" s="193">
        <v>0</v>
      </c>
      <c r="AW225" s="193">
        <v>0</v>
      </c>
      <c r="AX225" s="193">
        <v>0</v>
      </c>
      <c r="AY225" s="193">
        <v>0</v>
      </c>
      <c r="AZ225" s="193">
        <v>0</v>
      </c>
      <c r="BA225" s="193">
        <v>0</v>
      </c>
      <c r="BB225" s="193">
        <v>0</v>
      </c>
      <c r="BC225" s="193">
        <v>0</v>
      </c>
      <c r="BD225" s="193">
        <v>0</v>
      </c>
    </row>
    <row r="226" spans="1:56" s="229" customFormat="1">
      <c r="A226" s="189">
        <v>-25</v>
      </c>
      <c r="B226" s="194" t="s">
        <v>973</v>
      </c>
      <c r="C226" s="191">
        <v>26000000</v>
      </c>
      <c r="D226" s="192">
        <v>0</v>
      </c>
      <c r="E226" s="192">
        <v>0</v>
      </c>
      <c r="F226" s="192">
        <v>0</v>
      </c>
      <c r="G226" s="192">
        <v>0</v>
      </c>
      <c r="H226" s="192">
        <v>0</v>
      </c>
      <c r="I226" s="192">
        <v>0</v>
      </c>
      <c r="J226" s="192">
        <v>0</v>
      </c>
      <c r="K226" s="192">
        <v>0</v>
      </c>
      <c r="L226" s="192">
        <v>0</v>
      </c>
      <c r="M226" s="192">
        <v>0</v>
      </c>
      <c r="N226" s="192">
        <v>0</v>
      </c>
      <c r="O226" s="192">
        <v>0</v>
      </c>
      <c r="P226" s="192">
        <v>0</v>
      </c>
      <c r="Q226" s="192">
        <v>0</v>
      </c>
      <c r="R226" s="192">
        <v>0</v>
      </c>
      <c r="S226" s="192">
        <v>0</v>
      </c>
      <c r="T226" s="192">
        <v>0</v>
      </c>
      <c r="U226" s="192">
        <v>0</v>
      </c>
      <c r="V226" s="192">
        <v>0</v>
      </c>
      <c r="W226" s="192">
        <v>0</v>
      </c>
      <c r="X226" s="192">
        <v>0</v>
      </c>
      <c r="Y226" s="192">
        <v>0</v>
      </c>
      <c r="Z226" s="192">
        <v>0</v>
      </c>
      <c r="AA226" s="192">
        <v>0</v>
      </c>
      <c r="AB226" s="192">
        <v>0</v>
      </c>
      <c r="AC226" s="192">
        <v>0</v>
      </c>
      <c r="AD226" s="193">
        <v>0</v>
      </c>
      <c r="AE226" s="193">
        <v>0</v>
      </c>
      <c r="AF226" s="193">
        <v>0</v>
      </c>
      <c r="AG226" s="193">
        <v>0</v>
      </c>
      <c r="AH226" s="193">
        <v>0</v>
      </c>
      <c r="AI226" s="193">
        <v>0</v>
      </c>
      <c r="AJ226" s="193">
        <v>0</v>
      </c>
      <c r="AK226" s="193">
        <v>0</v>
      </c>
      <c r="AL226" s="193">
        <v>0</v>
      </c>
      <c r="AM226" s="193">
        <v>0</v>
      </c>
      <c r="AN226" s="193">
        <v>0</v>
      </c>
      <c r="AO226" s="193">
        <v>0</v>
      </c>
      <c r="AP226" s="193">
        <v>0</v>
      </c>
      <c r="AQ226" s="193">
        <v>0</v>
      </c>
      <c r="AR226" s="193">
        <v>0</v>
      </c>
      <c r="AS226" s="193">
        <v>0</v>
      </c>
      <c r="AT226" s="193">
        <v>0</v>
      </c>
      <c r="AU226" s="193">
        <v>0</v>
      </c>
      <c r="AV226" s="193">
        <v>0</v>
      </c>
      <c r="AW226" s="193">
        <v>0</v>
      </c>
      <c r="AX226" s="193">
        <v>0</v>
      </c>
      <c r="AY226" s="193">
        <v>0</v>
      </c>
      <c r="AZ226" s="193">
        <v>0</v>
      </c>
      <c r="BA226" s="193">
        <v>0</v>
      </c>
      <c r="BB226" s="193">
        <v>0</v>
      </c>
      <c r="BC226" s="193">
        <v>0</v>
      </c>
      <c r="BD226" s="193">
        <v>0</v>
      </c>
    </row>
    <row r="227" spans="1:56" s="229" customFormat="1">
      <c r="A227" s="189">
        <v>-26</v>
      </c>
      <c r="B227" s="194" t="s">
        <v>997</v>
      </c>
      <c r="C227" s="191">
        <v>60000000</v>
      </c>
      <c r="D227" s="192">
        <v>0</v>
      </c>
      <c r="E227" s="192">
        <v>0</v>
      </c>
      <c r="F227" s="192">
        <v>0</v>
      </c>
      <c r="G227" s="192">
        <v>0</v>
      </c>
      <c r="H227" s="192">
        <v>0</v>
      </c>
      <c r="I227" s="192">
        <v>0</v>
      </c>
      <c r="J227" s="192">
        <v>0</v>
      </c>
      <c r="K227" s="192">
        <v>0</v>
      </c>
      <c r="L227" s="192">
        <v>0</v>
      </c>
      <c r="M227" s="192">
        <v>0</v>
      </c>
      <c r="N227" s="192">
        <v>0</v>
      </c>
      <c r="O227" s="192">
        <v>0</v>
      </c>
      <c r="P227" s="192">
        <v>0</v>
      </c>
      <c r="Q227" s="192">
        <v>0</v>
      </c>
      <c r="R227" s="192">
        <v>0</v>
      </c>
      <c r="S227" s="192">
        <v>0</v>
      </c>
      <c r="T227" s="192">
        <v>0</v>
      </c>
      <c r="U227" s="192">
        <v>0</v>
      </c>
      <c r="V227" s="192">
        <v>0</v>
      </c>
      <c r="W227" s="192">
        <v>0</v>
      </c>
      <c r="X227" s="192">
        <v>0</v>
      </c>
      <c r="Y227" s="192">
        <v>0</v>
      </c>
      <c r="Z227" s="192">
        <v>0</v>
      </c>
      <c r="AA227" s="192">
        <v>0</v>
      </c>
      <c r="AB227" s="192">
        <v>0</v>
      </c>
      <c r="AC227" s="192">
        <v>0</v>
      </c>
      <c r="AD227" s="193">
        <v>0</v>
      </c>
      <c r="AE227" s="193">
        <v>0</v>
      </c>
      <c r="AF227" s="193">
        <v>0</v>
      </c>
      <c r="AG227" s="193">
        <v>0</v>
      </c>
      <c r="AH227" s="193">
        <v>0</v>
      </c>
      <c r="AI227" s="193">
        <v>0</v>
      </c>
      <c r="AJ227" s="193">
        <v>0</v>
      </c>
      <c r="AK227" s="193">
        <v>0</v>
      </c>
      <c r="AL227" s="193">
        <v>0</v>
      </c>
      <c r="AM227" s="193">
        <v>0</v>
      </c>
      <c r="AN227" s="193">
        <v>0</v>
      </c>
      <c r="AO227" s="193">
        <v>0</v>
      </c>
      <c r="AP227" s="193">
        <v>0</v>
      </c>
      <c r="AQ227" s="193">
        <v>0</v>
      </c>
      <c r="AR227" s="193">
        <v>0</v>
      </c>
      <c r="AS227" s="193">
        <v>0</v>
      </c>
      <c r="AT227" s="193">
        <v>0</v>
      </c>
      <c r="AU227" s="193">
        <v>0</v>
      </c>
      <c r="AV227" s="193">
        <v>0</v>
      </c>
      <c r="AW227" s="193">
        <v>0</v>
      </c>
      <c r="AX227" s="193">
        <v>0</v>
      </c>
      <c r="AY227" s="193">
        <v>0</v>
      </c>
      <c r="AZ227" s="193">
        <v>0</v>
      </c>
      <c r="BA227" s="193">
        <v>0</v>
      </c>
      <c r="BB227" s="193">
        <v>0</v>
      </c>
      <c r="BC227" s="193">
        <v>0</v>
      </c>
      <c r="BD227" s="193">
        <v>0</v>
      </c>
    </row>
    <row r="228" spans="1:56">
      <c r="A228" s="196"/>
      <c r="B228" s="190" t="s">
        <v>1100</v>
      </c>
      <c r="C228" s="196"/>
      <c r="D228" s="192">
        <v>0</v>
      </c>
      <c r="E228" s="192">
        <v>1</v>
      </c>
      <c r="F228" s="192">
        <v>0</v>
      </c>
      <c r="G228" s="192">
        <v>0</v>
      </c>
      <c r="H228" s="192">
        <v>0</v>
      </c>
      <c r="I228" s="192">
        <v>0</v>
      </c>
      <c r="J228" s="192">
        <v>0</v>
      </c>
      <c r="K228" s="192">
        <v>0</v>
      </c>
      <c r="L228" s="192">
        <v>0</v>
      </c>
      <c r="M228" s="192">
        <v>0</v>
      </c>
      <c r="N228" s="192">
        <v>0</v>
      </c>
      <c r="O228" s="192">
        <v>0</v>
      </c>
      <c r="P228" s="192">
        <v>0</v>
      </c>
      <c r="Q228" s="192">
        <v>0</v>
      </c>
      <c r="R228" s="192">
        <v>1</v>
      </c>
      <c r="S228" s="192">
        <v>0</v>
      </c>
      <c r="T228" s="192">
        <v>0</v>
      </c>
      <c r="U228" s="192">
        <v>0</v>
      </c>
      <c r="V228" s="192">
        <v>0</v>
      </c>
      <c r="W228" s="192">
        <v>0</v>
      </c>
      <c r="X228" s="192">
        <v>0</v>
      </c>
      <c r="Y228" s="192">
        <v>0</v>
      </c>
      <c r="Z228" s="192">
        <v>2</v>
      </c>
      <c r="AA228" s="192">
        <v>6</v>
      </c>
      <c r="AB228" s="192">
        <v>3</v>
      </c>
      <c r="AC228" s="192">
        <v>7</v>
      </c>
      <c r="AD228" s="193">
        <v>0</v>
      </c>
      <c r="AE228" s="193">
        <v>460000</v>
      </c>
      <c r="AF228" s="193">
        <v>0</v>
      </c>
      <c r="AG228" s="193">
        <v>0</v>
      </c>
      <c r="AH228" s="193">
        <v>0</v>
      </c>
      <c r="AI228" s="193">
        <v>0</v>
      </c>
      <c r="AJ228" s="193">
        <v>0</v>
      </c>
      <c r="AK228" s="193">
        <v>0</v>
      </c>
      <c r="AL228" s="193">
        <v>0</v>
      </c>
      <c r="AM228" s="193">
        <v>0</v>
      </c>
      <c r="AN228" s="193">
        <v>0</v>
      </c>
      <c r="AO228" s="193">
        <v>0</v>
      </c>
      <c r="AP228" s="193">
        <v>0</v>
      </c>
      <c r="AQ228" s="193">
        <v>0</v>
      </c>
      <c r="AR228" s="193">
        <v>1900000</v>
      </c>
      <c r="AS228" s="193">
        <v>0</v>
      </c>
      <c r="AT228" s="193">
        <v>0</v>
      </c>
      <c r="AU228" s="193">
        <v>0</v>
      </c>
      <c r="AV228" s="193">
        <v>0</v>
      </c>
      <c r="AW228" s="193">
        <v>0</v>
      </c>
      <c r="AX228" s="193">
        <v>0</v>
      </c>
      <c r="AY228" s="193">
        <v>0</v>
      </c>
      <c r="AZ228" s="193">
        <v>2100000</v>
      </c>
      <c r="BA228" s="193">
        <v>2760000</v>
      </c>
      <c r="BB228" s="193">
        <v>4000000</v>
      </c>
      <c r="BC228" s="193">
        <v>3220000</v>
      </c>
      <c r="BD228" s="193">
        <v>7220000</v>
      </c>
    </row>
    <row r="229" spans="1:56" s="229" customFormat="1">
      <c r="A229" s="184">
        <v>9</v>
      </c>
      <c r="B229" s="185" t="s">
        <v>999</v>
      </c>
      <c r="C229" s="197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  <c r="AV229" s="205"/>
      <c r="AW229" s="205"/>
      <c r="AX229" s="205"/>
      <c r="AY229" s="205"/>
      <c r="AZ229" s="205"/>
      <c r="BA229" s="205"/>
      <c r="BB229" s="205"/>
      <c r="BC229" s="205"/>
      <c r="BD229" s="205"/>
    </row>
    <row r="230" spans="1:56" s="230" customFormat="1">
      <c r="A230" s="208">
        <v>-1</v>
      </c>
      <c r="B230" s="235" t="s">
        <v>1000</v>
      </c>
      <c r="C230" s="210">
        <v>2940000</v>
      </c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  <c r="AA230" s="211"/>
      <c r="AB230" s="211"/>
      <c r="AC230" s="211"/>
      <c r="AD230" s="212"/>
      <c r="AE230" s="212"/>
      <c r="AF230" s="212"/>
      <c r="AG230" s="212"/>
      <c r="AH230" s="212"/>
      <c r="AI230" s="212"/>
      <c r="AJ230" s="212"/>
      <c r="AK230" s="212"/>
      <c r="AL230" s="212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</row>
    <row r="231" spans="1:56" s="230" customFormat="1">
      <c r="A231" s="213">
        <v>-1.1000000000000001</v>
      </c>
      <c r="B231" s="231" t="s">
        <v>1001</v>
      </c>
      <c r="C231" s="191">
        <v>1000000</v>
      </c>
      <c r="D231" s="192">
        <v>0</v>
      </c>
      <c r="E231" s="192">
        <v>0</v>
      </c>
      <c r="F231" s="192">
        <v>0</v>
      </c>
      <c r="G231" s="192">
        <v>0</v>
      </c>
      <c r="H231" s="192">
        <v>0</v>
      </c>
      <c r="I231" s="192">
        <v>0</v>
      </c>
      <c r="J231" s="192">
        <v>0</v>
      </c>
      <c r="K231" s="192">
        <v>0</v>
      </c>
      <c r="L231" s="192">
        <v>0</v>
      </c>
      <c r="M231" s="192">
        <v>0</v>
      </c>
      <c r="N231" s="192">
        <v>0</v>
      </c>
      <c r="O231" s="192">
        <v>0</v>
      </c>
      <c r="P231" s="192">
        <v>0</v>
      </c>
      <c r="Q231" s="192">
        <v>0</v>
      </c>
      <c r="R231" s="192">
        <v>0</v>
      </c>
      <c r="S231" s="192">
        <v>0</v>
      </c>
      <c r="T231" s="192">
        <v>0</v>
      </c>
      <c r="U231" s="192">
        <v>2</v>
      </c>
      <c r="V231" s="192">
        <v>0</v>
      </c>
      <c r="W231" s="192">
        <v>0</v>
      </c>
      <c r="X231" s="192">
        <v>0</v>
      </c>
      <c r="Y231" s="192">
        <v>0</v>
      </c>
      <c r="Z231" s="192">
        <v>0</v>
      </c>
      <c r="AA231" s="192">
        <v>1</v>
      </c>
      <c r="AB231" s="192">
        <v>0</v>
      </c>
      <c r="AC231" s="192">
        <v>3</v>
      </c>
      <c r="AD231" s="193">
        <v>0</v>
      </c>
      <c r="AE231" s="193">
        <v>0</v>
      </c>
      <c r="AF231" s="193">
        <v>0</v>
      </c>
      <c r="AG231" s="193">
        <v>0</v>
      </c>
      <c r="AH231" s="193">
        <v>0</v>
      </c>
      <c r="AI231" s="193">
        <v>0</v>
      </c>
      <c r="AJ231" s="193">
        <v>0</v>
      </c>
      <c r="AK231" s="193">
        <v>0</v>
      </c>
      <c r="AL231" s="193">
        <v>0</v>
      </c>
      <c r="AM231" s="193">
        <v>0</v>
      </c>
      <c r="AN231" s="193">
        <v>0</v>
      </c>
      <c r="AO231" s="193">
        <v>0</v>
      </c>
      <c r="AP231" s="193">
        <v>0</v>
      </c>
      <c r="AQ231" s="193">
        <v>0</v>
      </c>
      <c r="AR231" s="193">
        <v>0</v>
      </c>
      <c r="AS231" s="193">
        <v>0</v>
      </c>
      <c r="AT231" s="193">
        <v>0</v>
      </c>
      <c r="AU231" s="193">
        <v>2000000</v>
      </c>
      <c r="AV231" s="193">
        <v>0</v>
      </c>
      <c r="AW231" s="193">
        <v>0</v>
      </c>
      <c r="AX231" s="193">
        <v>0</v>
      </c>
      <c r="AY231" s="193">
        <v>0</v>
      </c>
      <c r="AZ231" s="193">
        <v>0</v>
      </c>
      <c r="BA231" s="193">
        <v>1000000</v>
      </c>
      <c r="BB231" s="193">
        <v>0</v>
      </c>
      <c r="BC231" s="193">
        <v>3000000</v>
      </c>
      <c r="BD231" s="193">
        <v>3000000</v>
      </c>
    </row>
    <row r="232" spans="1:56" s="230" customFormat="1">
      <c r="A232" s="213">
        <v>-1.2</v>
      </c>
      <c r="B232" s="231" t="s">
        <v>1002</v>
      </c>
      <c r="C232" s="191">
        <v>530000</v>
      </c>
      <c r="D232" s="192">
        <v>0</v>
      </c>
      <c r="E232" s="192">
        <v>0</v>
      </c>
      <c r="F232" s="192">
        <v>0</v>
      </c>
      <c r="G232" s="192">
        <v>0</v>
      </c>
      <c r="H232" s="192">
        <v>0</v>
      </c>
      <c r="I232" s="192">
        <v>0</v>
      </c>
      <c r="J232" s="192">
        <v>0</v>
      </c>
      <c r="K232" s="192">
        <v>0</v>
      </c>
      <c r="L232" s="192">
        <v>0</v>
      </c>
      <c r="M232" s="192">
        <v>0</v>
      </c>
      <c r="N232" s="192">
        <v>0</v>
      </c>
      <c r="O232" s="192">
        <v>0</v>
      </c>
      <c r="P232" s="192">
        <v>0</v>
      </c>
      <c r="Q232" s="192">
        <v>0</v>
      </c>
      <c r="R232" s="192">
        <v>0</v>
      </c>
      <c r="S232" s="192">
        <v>0</v>
      </c>
      <c r="T232" s="192">
        <v>0</v>
      </c>
      <c r="U232" s="192">
        <v>2</v>
      </c>
      <c r="V232" s="192">
        <v>0</v>
      </c>
      <c r="W232" s="192">
        <v>0</v>
      </c>
      <c r="X232" s="192">
        <v>0</v>
      </c>
      <c r="Y232" s="192">
        <v>0</v>
      </c>
      <c r="Z232" s="192">
        <v>0</v>
      </c>
      <c r="AA232" s="192">
        <v>1</v>
      </c>
      <c r="AB232" s="192">
        <v>0</v>
      </c>
      <c r="AC232" s="192">
        <v>3</v>
      </c>
      <c r="AD232" s="193">
        <v>0</v>
      </c>
      <c r="AE232" s="193">
        <v>0</v>
      </c>
      <c r="AF232" s="193">
        <v>0</v>
      </c>
      <c r="AG232" s="193">
        <v>0</v>
      </c>
      <c r="AH232" s="193">
        <v>0</v>
      </c>
      <c r="AI232" s="193">
        <v>0</v>
      </c>
      <c r="AJ232" s="193">
        <v>0</v>
      </c>
      <c r="AK232" s="193">
        <v>0</v>
      </c>
      <c r="AL232" s="193">
        <v>0</v>
      </c>
      <c r="AM232" s="193">
        <v>0</v>
      </c>
      <c r="AN232" s="193">
        <v>0</v>
      </c>
      <c r="AO232" s="193">
        <v>0</v>
      </c>
      <c r="AP232" s="193">
        <v>0</v>
      </c>
      <c r="AQ232" s="193">
        <v>0</v>
      </c>
      <c r="AR232" s="193">
        <v>0</v>
      </c>
      <c r="AS232" s="193">
        <v>0</v>
      </c>
      <c r="AT232" s="193">
        <v>0</v>
      </c>
      <c r="AU232" s="193">
        <v>1060000</v>
      </c>
      <c r="AV232" s="193">
        <v>0</v>
      </c>
      <c r="AW232" s="193">
        <v>0</v>
      </c>
      <c r="AX232" s="193">
        <v>0</v>
      </c>
      <c r="AY232" s="193">
        <v>0</v>
      </c>
      <c r="AZ232" s="193">
        <v>0</v>
      </c>
      <c r="BA232" s="193">
        <v>530000</v>
      </c>
      <c r="BB232" s="193">
        <v>0</v>
      </c>
      <c r="BC232" s="193">
        <v>1590000</v>
      </c>
      <c r="BD232" s="193">
        <v>1590000</v>
      </c>
    </row>
    <row r="233" spans="1:56" s="230" customFormat="1">
      <c r="A233" s="213">
        <v>-1.3</v>
      </c>
      <c r="B233" s="231" t="s">
        <v>1003</v>
      </c>
      <c r="C233" s="191">
        <v>700000</v>
      </c>
      <c r="D233" s="192">
        <v>0</v>
      </c>
      <c r="E233" s="192">
        <v>0</v>
      </c>
      <c r="F233" s="192">
        <v>0</v>
      </c>
      <c r="G233" s="192">
        <v>3</v>
      </c>
      <c r="H233" s="192">
        <v>0</v>
      </c>
      <c r="I233" s="192">
        <v>0</v>
      </c>
      <c r="J233" s="192">
        <v>0</v>
      </c>
      <c r="K233" s="192">
        <v>0</v>
      </c>
      <c r="L233" s="192">
        <v>0</v>
      </c>
      <c r="M233" s="192">
        <v>0</v>
      </c>
      <c r="N233" s="192">
        <v>0</v>
      </c>
      <c r="O233" s="192">
        <v>0</v>
      </c>
      <c r="P233" s="192">
        <v>0</v>
      </c>
      <c r="Q233" s="192">
        <v>0</v>
      </c>
      <c r="R233" s="192">
        <v>0</v>
      </c>
      <c r="S233" s="192">
        <v>0</v>
      </c>
      <c r="T233" s="192">
        <v>0</v>
      </c>
      <c r="U233" s="192">
        <v>2</v>
      </c>
      <c r="V233" s="192">
        <v>0</v>
      </c>
      <c r="W233" s="192">
        <v>0</v>
      </c>
      <c r="X233" s="192">
        <v>0</v>
      </c>
      <c r="Y233" s="192">
        <v>0</v>
      </c>
      <c r="Z233" s="192">
        <v>0</v>
      </c>
      <c r="AA233" s="192">
        <v>1</v>
      </c>
      <c r="AB233" s="192">
        <v>0</v>
      </c>
      <c r="AC233" s="192">
        <v>6</v>
      </c>
      <c r="AD233" s="193">
        <v>0</v>
      </c>
      <c r="AE233" s="193">
        <v>0</v>
      </c>
      <c r="AF233" s="193">
        <v>0</v>
      </c>
      <c r="AG233" s="193">
        <v>2100000</v>
      </c>
      <c r="AH233" s="193">
        <v>0</v>
      </c>
      <c r="AI233" s="193">
        <v>0</v>
      </c>
      <c r="AJ233" s="193">
        <v>0</v>
      </c>
      <c r="AK233" s="193">
        <v>0</v>
      </c>
      <c r="AL233" s="193">
        <v>0</v>
      </c>
      <c r="AM233" s="193">
        <v>0</v>
      </c>
      <c r="AN233" s="193">
        <v>0</v>
      </c>
      <c r="AO233" s="193">
        <v>0</v>
      </c>
      <c r="AP233" s="193">
        <v>0</v>
      </c>
      <c r="AQ233" s="193">
        <v>0</v>
      </c>
      <c r="AR233" s="193">
        <v>0</v>
      </c>
      <c r="AS233" s="193">
        <v>0</v>
      </c>
      <c r="AT233" s="193">
        <v>0</v>
      </c>
      <c r="AU233" s="193">
        <v>1400000</v>
      </c>
      <c r="AV233" s="193">
        <v>0</v>
      </c>
      <c r="AW233" s="193">
        <v>0</v>
      </c>
      <c r="AX233" s="193">
        <v>0</v>
      </c>
      <c r="AY233" s="193">
        <v>0</v>
      </c>
      <c r="AZ233" s="193">
        <v>0</v>
      </c>
      <c r="BA233" s="193">
        <v>700000</v>
      </c>
      <c r="BB233" s="193">
        <v>0</v>
      </c>
      <c r="BC233" s="193">
        <v>4200000</v>
      </c>
      <c r="BD233" s="193">
        <v>4200000</v>
      </c>
    </row>
    <row r="234" spans="1:56" s="230" customFormat="1">
      <c r="A234" s="213">
        <v>-1.4</v>
      </c>
      <c r="B234" s="231" t="s">
        <v>1004</v>
      </c>
      <c r="C234" s="191">
        <v>710000</v>
      </c>
      <c r="D234" s="192">
        <v>0</v>
      </c>
      <c r="E234" s="192">
        <v>0</v>
      </c>
      <c r="F234" s="192">
        <v>0</v>
      </c>
      <c r="G234" s="192">
        <v>0</v>
      </c>
      <c r="H234" s="192">
        <v>0</v>
      </c>
      <c r="I234" s="192">
        <v>0</v>
      </c>
      <c r="J234" s="192">
        <v>0</v>
      </c>
      <c r="K234" s="192">
        <v>0</v>
      </c>
      <c r="L234" s="192">
        <v>0</v>
      </c>
      <c r="M234" s="192">
        <v>0</v>
      </c>
      <c r="N234" s="192">
        <v>0</v>
      </c>
      <c r="O234" s="192">
        <v>0</v>
      </c>
      <c r="P234" s="192">
        <v>0</v>
      </c>
      <c r="Q234" s="192">
        <v>0</v>
      </c>
      <c r="R234" s="192">
        <v>0</v>
      </c>
      <c r="S234" s="192">
        <v>0</v>
      </c>
      <c r="T234" s="192">
        <v>0</v>
      </c>
      <c r="U234" s="192">
        <v>2</v>
      </c>
      <c r="V234" s="192">
        <v>0</v>
      </c>
      <c r="W234" s="192">
        <v>0</v>
      </c>
      <c r="X234" s="192">
        <v>0</v>
      </c>
      <c r="Y234" s="192">
        <v>0</v>
      </c>
      <c r="Z234" s="192">
        <v>0</v>
      </c>
      <c r="AA234" s="192">
        <v>1</v>
      </c>
      <c r="AB234" s="192">
        <v>0</v>
      </c>
      <c r="AC234" s="192">
        <v>3</v>
      </c>
      <c r="AD234" s="193">
        <v>0</v>
      </c>
      <c r="AE234" s="193">
        <v>0</v>
      </c>
      <c r="AF234" s="193">
        <v>0</v>
      </c>
      <c r="AG234" s="193">
        <v>0</v>
      </c>
      <c r="AH234" s="193">
        <v>0</v>
      </c>
      <c r="AI234" s="193">
        <v>0</v>
      </c>
      <c r="AJ234" s="193">
        <v>0</v>
      </c>
      <c r="AK234" s="193">
        <v>0</v>
      </c>
      <c r="AL234" s="193">
        <v>0</v>
      </c>
      <c r="AM234" s="193">
        <v>0</v>
      </c>
      <c r="AN234" s="193">
        <v>0</v>
      </c>
      <c r="AO234" s="193">
        <v>0</v>
      </c>
      <c r="AP234" s="193">
        <v>0</v>
      </c>
      <c r="AQ234" s="193">
        <v>0</v>
      </c>
      <c r="AR234" s="193">
        <v>0</v>
      </c>
      <c r="AS234" s="193">
        <v>0</v>
      </c>
      <c r="AT234" s="193">
        <v>0</v>
      </c>
      <c r="AU234" s="193">
        <v>1420000</v>
      </c>
      <c r="AV234" s="193">
        <v>0</v>
      </c>
      <c r="AW234" s="193">
        <v>0</v>
      </c>
      <c r="AX234" s="193">
        <v>0</v>
      </c>
      <c r="AY234" s="193">
        <v>0</v>
      </c>
      <c r="AZ234" s="193">
        <v>0</v>
      </c>
      <c r="BA234" s="193">
        <v>710000</v>
      </c>
      <c r="BB234" s="193">
        <v>0</v>
      </c>
      <c r="BC234" s="193">
        <v>2130000</v>
      </c>
      <c r="BD234" s="193">
        <v>2130000</v>
      </c>
    </row>
    <row r="235" spans="1:56" s="230" customFormat="1">
      <c r="A235" s="208">
        <v>-2</v>
      </c>
      <c r="B235" s="235" t="s">
        <v>1005</v>
      </c>
      <c r="C235" s="210">
        <v>1290000</v>
      </c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  <c r="AA235" s="211"/>
      <c r="AB235" s="211"/>
      <c r="AC235" s="211"/>
      <c r="AD235" s="212"/>
      <c r="AE235" s="212"/>
      <c r="AF235" s="212"/>
      <c r="AG235" s="212"/>
      <c r="AH235" s="212"/>
      <c r="AI235" s="212"/>
      <c r="AJ235" s="212"/>
      <c r="AK235" s="212"/>
      <c r="AL235" s="212"/>
      <c r="AM235" s="212"/>
      <c r="AN235" s="212"/>
      <c r="AO235" s="212"/>
      <c r="AP235" s="212"/>
      <c r="AQ235" s="212"/>
      <c r="AR235" s="212"/>
      <c r="AS235" s="212"/>
      <c r="AT235" s="21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</row>
    <row r="236" spans="1:56" s="230" customFormat="1">
      <c r="A236" s="213">
        <v>-2.1</v>
      </c>
      <c r="B236" s="231" t="s">
        <v>1006</v>
      </c>
      <c r="C236" s="191">
        <v>530000</v>
      </c>
      <c r="D236" s="192">
        <v>0</v>
      </c>
      <c r="E236" s="192">
        <v>0</v>
      </c>
      <c r="F236" s="192">
        <v>0</v>
      </c>
      <c r="G236" s="192">
        <v>0</v>
      </c>
      <c r="H236" s="192">
        <v>0</v>
      </c>
      <c r="I236" s="192">
        <v>0</v>
      </c>
      <c r="J236" s="192">
        <v>0</v>
      </c>
      <c r="K236" s="192">
        <v>0</v>
      </c>
      <c r="L236" s="192">
        <v>0</v>
      </c>
      <c r="M236" s="192">
        <v>0</v>
      </c>
      <c r="N236" s="192">
        <v>0</v>
      </c>
      <c r="O236" s="192">
        <v>0</v>
      </c>
      <c r="P236" s="192">
        <v>0</v>
      </c>
      <c r="Q236" s="192">
        <v>0</v>
      </c>
      <c r="R236" s="192">
        <v>0</v>
      </c>
      <c r="S236" s="192">
        <v>0</v>
      </c>
      <c r="T236" s="192">
        <v>0</v>
      </c>
      <c r="U236" s="192">
        <v>1</v>
      </c>
      <c r="V236" s="192">
        <v>0</v>
      </c>
      <c r="W236" s="192">
        <v>0</v>
      </c>
      <c r="X236" s="192">
        <v>0</v>
      </c>
      <c r="Y236" s="192">
        <v>0</v>
      </c>
      <c r="Z236" s="192">
        <v>0</v>
      </c>
      <c r="AA236" s="192">
        <v>0</v>
      </c>
      <c r="AB236" s="192">
        <v>0</v>
      </c>
      <c r="AC236" s="192">
        <v>1</v>
      </c>
      <c r="AD236" s="193">
        <v>0</v>
      </c>
      <c r="AE236" s="193">
        <v>0</v>
      </c>
      <c r="AF236" s="193">
        <v>0</v>
      </c>
      <c r="AG236" s="193">
        <v>0</v>
      </c>
      <c r="AH236" s="193">
        <v>0</v>
      </c>
      <c r="AI236" s="193">
        <v>0</v>
      </c>
      <c r="AJ236" s="193">
        <v>0</v>
      </c>
      <c r="AK236" s="193">
        <v>0</v>
      </c>
      <c r="AL236" s="193">
        <v>0</v>
      </c>
      <c r="AM236" s="193">
        <v>0</v>
      </c>
      <c r="AN236" s="193">
        <v>0</v>
      </c>
      <c r="AO236" s="193">
        <v>0</v>
      </c>
      <c r="AP236" s="193">
        <v>0</v>
      </c>
      <c r="AQ236" s="193">
        <v>0</v>
      </c>
      <c r="AR236" s="193">
        <v>0</v>
      </c>
      <c r="AS236" s="193">
        <v>0</v>
      </c>
      <c r="AT236" s="193">
        <v>0</v>
      </c>
      <c r="AU236" s="193">
        <v>530000</v>
      </c>
      <c r="AV236" s="193">
        <v>0</v>
      </c>
      <c r="AW236" s="193">
        <v>0</v>
      </c>
      <c r="AX236" s="193">
        <v>0</v>
      </c>
      <c r="AY236" s="193">
        <v>0</v>
      </c>
      <c r="AZ236" s="193">
        <v>0</v>
      </c>
      <c r="BA236" s="193">
        <v>0</v>
      </c>
      <c r="BB236" s="193">
        <v>0</v>
      </c>
      <c r="BC236" s="193">
        <v>530000</v>
      </c>
      <c r="BD236" s="193">
        <v>530000</v>
      </c>
    </row>
    <row r="237" spans="1:56" s="230" customFormat="1">
      <c r="A237" s="213">
        <v>-2.2000000000000002</v>
      </c>
      <c r="B237" s="231" t="s">
        <v>1007</v>
      </c>
      <c r="C237" s="191">
        <v>410000</v>
      </c>
      <c r="D237" s="192">
        <v>0</v>
      </c>
      <c r="E237" s="192">
        <v>0</v>
      </c>
      <c r="F237" s="192">
        <v>0</v>
      </c>
      <c r="G237" s="192">
        <v>0</v>
      </c>
      <c r="H237" s="192">
        <v>0</v>
      </c>
      <c r="I237" s="192">
        <v>0</v>
      </c>
      <c r="J237" s="192">
        <v>0</v>
      </c>
      <c r="K237" s="192">
        <v>0</v>
      </c>
      <c r="L237" s="192">
        <v>0</v>
      </c>
      <c r="M237" s="192">
        <v>0</v>
      </c>
      <c r="N237" s="192">
        <v>0</v>
      </c>
      <c r="O237" s="192">
        <v>0</v>
      </c>
      <c r="P237" s="192">
        <v>0</v>
      </c>
      <c r="Q237" s="192">
        <v>0</v>
      </c>
      <c r="R237" s="192">
        <v>0</v>
      </c>
      <c r="S237" s="192">
        <v>0</v>
      </c>
      <c r="T237" s="192">
        <v>0</v>
      </c>
      <c r="U237" s="192">
        <v>1</v>
      </c>
      <c r="V237" s="192">
        <v>0</v>
      </c>
      <c r="W237" s="192">
        <v>0</v>
      </c>
      <c r="X237" s="192">
        <v>0</v>
      </c>
      <c r="Y237" s="192">
        <v>0</v>
      </c>
      <c r="Z237" s="192">
        <v>0</v>
      </c>
      <c r="AA237" s="192">
        <v>0</v>
      </c>
      <c r="AB237" s="192">
        <v>0</v>
      </c>
      <c r="AC237" s="192">
        <v>1</v>
      </c>
      <c r="AD237" s="193">
        <v>0</v>
      </c>
      <c r="AE237" s="193">
        <v>0</v>
      </c>
      <c r="AF237" s="193">
        <v>0</v>
      </c>
      <c r="AG237" s="193">
        <v>0</v>
      </c>
      <c r="AH237" s="193">
        <v>0</v>
      </c>
      <c r="AI237" s="193">
        <v>0</v>
      </c>
      <c r="AJ237" s="193">
        <v>0</v>
      </c>
      <c r="AK237" s="193">
        <v>0</v>
      </c>
      <c r="AL237" s="193">
        <v>0</v>
      </c>
      <c r="AM237" s="193">
        <v>0</v>
      </c>
      <c r="AN237" s="193">
        <v>0</v>
      </c>
      <c r="AO237" s="193">
        <v>0</v>
      </c>
      <c r="AP237" s="193">
        <v>0</v>
      </c>
      <c r="AQ237" s="193">
        <v>0</v>
      </c>
      <c r="AR237" s="193">
        <v>0</v>
      </c>
      <c r="AS237" s="193">
        <v>0</v>
      </c>
      <c r="AT237" s="193">
        <v>0</v>
      </c>
      <c r="AU237" s="193">
        <v>410000</v>
      </c>
      <c r="AV237" s="193">
        <v>0</v>
      </c>
      <c r="AW237" s="193">
        <v>0</v>
      </c>
      <c r="AX237" s="193">
        <v>0</v>
      </c>
      <c r="AY237" s="193">
        <v>0</v>
      </c>
      <c r="AZ237" s="193">
        <v>0</v>
      </c>
      <c r="BA237" s="193">
        <v>0</v>
      </c>
      <c r="BB237" s="193">
        <v>0</v>
      </c>
      <c r="BC237" s="193">
        <v>410000</v>
      </c>
      <c r="BD237" s="193">
        <v>410000</v>
      </c>
    </row>
    <row r="238" spans="1:56" s="230" customFormat="1">
      <c r="A238" s="213">
        <v>-2.2999999999999998</v>
      </c>
      <c r="B238" s="231" t="s">
        <v>1008</v>
      </c>
      <c r="C238" s="191">
        <v>350000</v>
      </c>
      <c r="D238" s="192">
        <v>0</v>
      </c>
      <c r="E238" s="192">
        <v>0</v>
      </c>
      <c r="F238" s="192">
        <v>0</v>
      </c>
      <c r="G238" s="192">
        <v>0</v>
      </c>
      <c r="H238" s="192">
        <v>0</v>
      </c>
      <c r="I238" s="192">
        <v>0</v>
      </c>
      <c r="J238" s="192">
        <v>0</v>
      </c>
      <c r="K238" s="192">
        <v>0</v>
      </c>
      <c r="L238" s="192">
        <v>0</v>
      </c>
      <c r="M238" s="192">
        <v>0</v>
      </c>
      <c r="N238" s="192">
        <v>0</v>
      </c>
      <c r="O238" s="192">
        <v>0</v>
      </c>
      <c r="P238" s="192">
        <v>0</v>
      </c>
      <c r="Q238" s="192">
        <v>0</v>
      </c>
      <c r="R238" s="192">
        <v>0</v>
      </c>
      <c r="S238" s="192">
        <v>0</v>
      </c>
      <c r="T238" s="192">
        <v>0</v>
      </c>
      <c r="U238" s="192">
        <v>1</v>
      </c>
      <c r="V238" s="192">
        <v>0</v>
      </c>
      <c r="W238" s="192">
        <v>0</v>
      </c>
      <c r="X238" s="192">
        <v>0</v>
      </c>
      <c r="Y238" s="192">
        <v>0</v>
      </c>
      <c r="Z238" s="192">
        <v>0</v>
      </c>
      <c r="AA238" s="192">
        <v>0</v>
      </c>
      <c r="AB238" s="192">
        <v>0</v>
      </c>
      <c r="AC238" s="192">
        <v>1</v>
      </c>
      <c r="AD238" s="193">
        <v>0</v>
      </c>
      <c r="AE238" s="193">
        <v>0</v>
      </c>
      <c r="AF238" s="193">
        <v>0</v>
      </c>
      <c r="AG238" s="193">
        <v>0</v>
      </c>
      <c r="AH238" s="193">
        <v>0</v>
      </c>
      <c r="AI238" s="193">
        <v>0</v>
      </c>
      <c r="AJ238" s="193">
        <v>0</v>
      </c>
      <c r="AK238" s="193">
        <v>0</v>
      </c>
      <c r="AL238" s="193">
        <v>0</v>
      </c>
      <c r="AM238" s="193">
        <v>0</v>
      </c>
      <c r="AN238" s="193">
        <v>0</v>
      </c>
      <c r="AO238" s="193">
        <v>0</v>
      </c>
      <c r="AP238" s="193">
        <v>0</v>
      </c>
      <c r="AQ238" s="193">
        <v>0</v>
      </c>
      <c r="AR238" s="193">
        <v>0</v>
      </c>
      <c r="AS238" s="193">
        <v>0</v>
      </c>
      <c r="AT238" s="193">
        <v>0</v>
      </c>
      <c r="AU238" s="193">
        <v>350000</v>
      </c>
      <c r="AV238" s="193">
        <v>0</v>
      </c>
      <c r="AW238" s="193">
        <v>0</v>
      </c>
      <c r="AX238" s="193">
        <v>0</v>
      </c>
      <c r="AY238" s="193">
        <v>0</v>
      </c>
      <c r="AZ238" s="193">
        <v>0</v>
      </c>
      <c r="BA238" s="193">
        <v>0</v>
      </c>
      <c r="BB238" s="193">
        <v>0</v>
      </c>
      <c r="BC238" s="193">
        <v>350000</v>
      </c>
      <c r="BD238" s="193">
        <v>350000</v>
      </c>
    </row>
    <row r="239" spans="1:56" s="230" customFormat="1">
      <c r="A239" s="208">
        <v>-3</v>
      </c>
      <c r="B239" s="235" t="s">
        <v>1009</v>
      </c>
      <c r="C239" s="210">
        <v>2220000</v>
      </c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  <c r="Z239" s="211"/>
      <c r="AA239" s="211"/>
      <c r="AB239" s="211"/>
      <c r="AC239" s="211"/>
      <c r="AD239" s="212"/>
      <c r="AE239" s="212"/>
      <c r="AF239" s="212"/>
      <c r="AG239" s="212"/>
      <c r="AH239" s="212"/>
      <c r="AI239" s="212"/>
      <c r="AJ239" s="212"/>
      <c r="AK239" s="212"/>
      <c r="AL239" s="212"/>
      <c r="AM239" s="212"/>
      <c r="AN239" s="212"/>
      <c r="AO239" s="212"/>
      <c r="AP239" s="212"/>
      <c r="AQ239" s="212"/>
      <c r="AR239" s="212"/>
      <c r="AS239" s="212"/>
      <c r="AT239" s="21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</row>
    <row r="240" spans="1:56" s="230" customFormat="1">
      <c r="A240" s="213">
        <v>-3.1</v>
      </c>
      <c r="B240" s="231" t="s">
        <v>1010</v>
      </c>
      <c r="C240" s="191">
        <v>650000</v>
      </c>
      <c r="D240" s="192">
        <v>0</v>
      </c>
      <c r="E240" s="192">
        <v>0</v>
      </c>
      <c r="F240" s="192">
        <v>0</v>
      </c>
      <c r="G240" s="192">
        <v>0</v>
      </c>
      <c r="H240" s="192">
        <v>0</v>
      </c>
      <c r="I240" s="192">
        <v>0</v>
      </c>
      <c r="J240" s="192">
        <v>0</v>
      </c>
      <c r="K240" s="192">
        <v>0</v>
      </c>
      <c r="L240" s="192">
        <v>0</v>
      </c>
      <c r="M240" s="192">
        <v>4</v>
      </c>
      <c r="N240" s="192">
        <v>0</v>
      </c>
      <c r="O240" s="192">
        <v>0</v>
      </c>
      <c r="P240" s="192">
        <v>0</v>
      </c>
      <c r="Q240" s="192">
        <v>0</v>
      </c>
      <c r="R240" s="192">
        <v>0</v>
      </c>
      <c r="S240" s="192">
        <v>0</v>
      </c>
      <c r="T240" s="192">
        <v>0</v>
      </c>
      <c r="U240" s="192">
        <v>0</v>
      </c>
      <c r="V240" s="192">
        <v>0</v>
      </c>
      <c r="W240" s="192">
        <v>0</v>
      </c>
      <c r="X240" s="192">
        <v>0</v>
      </c>
      <c r="Y240" s="192">
        <v>0</v>
      </c>
      <c r="Z240" s="192">
        <v>0</v>
      </c>
      <c r="AA240" s="192">
        <v>0</v>
      </c>
      <c r="AB240" s="192">
        <v>0</v>
      </c>
      <c r="AC240" s="192">
        <v>4</v>
      </c>
      <c r="AD240" s="193">
        <v>0</v>
      </c>
      <c r="AE240" s="193">
        <v>0</v>
      </c>
      <c r="AF240" s="193">
        <v>0</v>
      </c>
      <c r="AG240" s="193">
        <v>0</v>
      </c>
      <c r="AH240" s="193">
        <v>0</v>
      </c>
      <c r="AI240" s="193">
        <v>0</v>
      </c>
      <c r="AJ240" s="193">
        <v>0</v>
      </c>
      <c r="AK240" s="193">
        <v>0</v>
      </c>
      <c r="AL240" s="193">
        <v>0</v>
      </c>
      <c r="AM240" s="193">
        <v>2600000</v>
      </c>
      <c r="AN240" s="193">
        <v>0</v>
      </c>
      <c r="AO240" s="193">
        <v>0</v>
      </c>
      <c r="AP240" s="193">
        <v>0</v>
      </c>
      <c r="AQ240" s="193">
        <v>0</v>
      </c>
      <c r="AR240" s="193">
        <v>0</v>
      </c>
      <c r="AS240" s="193">
        <v>0</v>
      </c>
      <c r="AT240" s="193">
        <v>0</v>
      </c>
      <c r="AU240" s="193">
        <v>0</v>
      </c>
      <c r="AV240" s="193">
        <v>0</v>
      </c>
      <c r="AW240" s="193">
        <v>0</v>
      </c>
      <c r="AX240" s="193">
        <v>0</v>
      </c>
      <c r="AY240" s="193">
        <v>0</v>
      </c>
      <c r="AZ240" s="193">
        <v>0</v>
      </c>
      <c r="BA240" s="193">
        <v>0</v>
      </c>
      <c r="BB240" s="193">
        <v>0</v>
      </c>
      <c r="BC240" s="193">
        <v>2600000</v>
      </c>
      <c r="BD240" s="193">
        <v>2600000</v>
      </c>
    </row>
    <row r="241" spans="1:56" s="230" customFormat="1">
      <c r="A241" s="213">
        <v>-3.2</v>
      </c>
      <c r="B241" s="231" t="s">
        <v>1011</v>
      </c>
      <c r="C241" s="191">
        <v>620000</v>
      </c>
      <c r="D241" s="192">
        <v>0</v>
      </c>
      <c r="E241" s="192">
        <v>0</v>
      </c>
      <c r="F241" s="192">
        <v>0</v>
      </c>
      <c r="G241" s="192">
        <v>0</v>
      </c>
      <c r="H241" s="192">
        <v>0</v>
      </c>
      <c r="I241" s="192">
        <v>0</v>
      </c>
      <c r="J241" s="192">
        <v>0</v>
      </c>
      <c r="K241" s="192">
        <v>0</v>
      </c>
      <c r="L241" s="192">
        <v>0</v>
      </c>
      <c r="M241" s="192">
        <v>4</v>
      </c>
      <c r="N241" s="192">
        <v>0</v>
      </c>
      <c r="O241" s="192">
        <v>0</v>
      </c>
      <c r="P241" s="192">
        <v>0</v>
      </c>
      <c r="Q241" s="192">
        <v>0</v>
      </c>
      <c r="R241" s="192">
        <v>0</v>
      </c>
      <c r="S241" s="192">
        <v>0</v>
      </c>
      <c r="T241" s="192">
        <v>0</v>
      </c>
      <c r="U241" s="192">
        <v>0</v>
      </c>
      <c r="V241" s="192">
        <v>0</v>
      </c>
      <c r="W241" s="192">
        <v>0</v>
      </c>
      <c r="X241" s="192">
        <v>0</v>
      </c>
      <c r="Y241" s="192">
        <v>0</v>
      </c>
      <c r="Z241" s="192">
        <v>0</v>
      </c>
      <c r="AA241" s="192">
        <v>0</v>
      </c>
      <c r="AB241" s="192">
        <v>0</v>
      </c>
      <c r="AC241" s="192">
        <v>4</v>
      </c>
      <c r="AD241" s="193">
        <v>0</v>
      </c>
      <c r="AE241" s="193">
        <v>0</v>
      </c>
      <c r="AF241" s="193">
        <v>0</v>
      </c>
      <c r="AG241" s="193">
        <v>0</v>
      </c>
      <c r="AH241" s="193">
        <v>0</v>
      </c>
      <c r="AI241" s="193">
        <v>0</v>
      </c>
      <c r="AJ241" s="193">
        <v>0</v>
      </c>
      <c r="AK241" s="193">
        <v>0</v>
      </c>
      <c r="AL241" s="193">
        <v>0</v>
      </c>
      <c r="AM241" s="193">
        <v>2480000</v>
      </c>
      <c r="AN241" s="193">
        <v>0</v>
      </c>
      <c r="AO241" s="193">
        <v>0</v>
      </c>
      <c r="AP241" s="193">
        <v>0</v>
      </c>
      <c r="AQ241" s="193">
        <v>0</v>
      </c>
      <c r="AR241" s="193">
        <v>0</v>
      </c>
      <c r="AS241" s="193">
        <v>0</v>
      </c>
      <c r="AT241" s="193">
        <v>0</v>
      </c>
      <c r="AU241" s="193">
        <v>0</v>
      </c>
      <c r="AV241" s="193">
        <v>0</v>
      </c>
      <c r="AW241" s="193">
        <v>0</v>
      </c>
      <c r="AX241" s="193">
        <v>0</v>
      </c>
      <c r="AY241" s="193">
        <v>0</v>
      </c>
      <c r="AZ241" s="193">
        <v>0</v>
      </c>
      <c r="BA241" s="193">
        <v>0</v>
      </c>
      <c r="BB241" s="193">
        <v>0</v>
      </c>
      <c r="BC241" s="193">
        <v>2480000</v>
      </c>
      <c r="BD241" s="193">
        <v>2480000</v>
      </c>
    </row>
    <row r="242" spans="1:56" s="230" customFormat="1">
      <c r="A242" s="213">
        <v>-3.3</v>
      </c>
      <c r="B242" s="231" t="s">
        <v>1012</v>
      </c>
      <c r="C242" s="191">
        <v>360000</v>
      </c>
      <c r="D242" s="192">
        <v>0</v>
      </c>
      <c r="E242" s="192">
        <v>0</v>
      </c>
      <c r="F242" s="192">
        <v>0</v>
      </c>
      <c r="G242" s="192">
        <v>0</v>
      </c>
      <c r="H242" s="192">
        <v>0</v>
      </c>
      <c r="I242" s="192">
        <v>0</v>
      </c>
      <c r="J242" s="192">
        <v>0</v>
      </c>
      <c r="K242" s="192">
        <v>0</v>
      </c>
      <c r="L242" s="192">
        <v>0</v>
      </c>
      <c r="M242" s="192">
        <v>4</v>
      </c>
      <c r="N242" s="192">
        <v>0</v>
      </c>
      <c r="O242" s="192">
        <v>0</v>
      </c>
      <c r="P242" s="192">
        <v>0</v>
      </c>
      <c r="Q242" s="192">
        <v>0</v>
      </c>
      <c r="R242" s="192">
        <v>0</v>
      </c>
      <c r="S242" s="192">
        <v>0</v>
      </c>
      <c r="T242" s="192">
        <v>0</v>
      </c>
      <c r="U242" s="192">
        <v>4</v>
      </c>
      <c r="V242" s="192">
        <v>0</v>
      </c>
      <c r="W242" s="192">
        <v>0</v>
      </c>
      <c r="X242" s="192">
        <v>0</v>
      </c>
      <c r="Y242" s="192">
        <v>0</v>
      </c>
      <c r="Z242" s="192">
        <v>0</v>
      </c>
      <c r="AA242" s="192">
        <v>0</v>
      </c>
      <c r="AB242" s="192">
        <v>0</v>
      </c>
      <c r="AC242" s="192">
        <v>8</v>
      </c>
      <c r="AD242" s="193">
        <v>0</v>
      </c>
      <c r="AE242" s="193">
        <v>0</v>
      </c>
      <c r="AF242" s="193">
        <v>0</v>
      </c>
      <c r="AG242" s="193">
        <v>0</v>
      </c>
      <c r="AH242" s="193">
        <v>0</v>
      </c>
      <c r="AI242" s="193">
        <v>0</v>
      </c>
      <c r="AJ242" s="193">
        <v>0</v>
      </c>
      <c r="AK242" s="193">
        <v>0</v>
      </c>
      <c r="AL242" s="193">
        <v>0</v>
      </c>
      <c r="AM242" s="193">
        <v>1440000</v>
      </c>
      <c r="AN242" s="193">
        <v>0</v>
      </c>
      <c r="AO242" s="193">
        <v>0</v>
      </c>
      <c r="AP242" s="193">
        <v>0</v>
      </c>
      <c r="AQ242" s="193">
        <v>0</v>
      </c>
      <c r="AR242" s="193">
        <v>0</v>
      </c>
      <c r="AS242" s="193">
        <v>0</v>
      </c>
      <c r="AT242" s="193">
        <v>0</v>
      </c>
      <c r="AU242" s="193">
        <v>1440000</v>
      </c>
      <c r="AV242" s="193">
        <v>0</v>
      </c>
      <c r="AW242" s="193">
        <v>0</v>
      </c>
      <c r="AX242" s="193">
        <v>0</v>
      </c>
      <c r="AY242" s="193">
        <v>0</v>
      </c>
      <c r="AZ242" s="193">
        <v>0</v>
      </c>
      <c r="BA242" s="193">
        <v>0</v>
      </c>
      <c r="BB242" s="193">
        <v>0</v>
      </c>
      <c r="BC242" s="193">
        <v>2880000</v>
      </c>
      <c r="BD242" s="193">
        <v>2880000</v>
      </c>
    </row>
    <row r="243" spans="1:56" s="230" customFormat="1">
      <c r="A243" s="213">
        <v>-3.4</v>
      </c>
      <c r="B243" s="231" t="s">
        <v>1013</v>
      </c>
      <c r="C243" s="191">
        <v>590000</v>
      </c>
      <c r="D243" s="192">
        <v>0</v>
      </c>
      <c r="E243" s="192">
        <v>0</v>
      </c>
      <c r="F243" s="192">
        <v>0</v>
      </c>
      <c r="G243" s="192">
        <v>0</v>
      </c>
      <c r="H243" s="192">
        <v>0</v>
      </c>
      <c r="I243" s="192">
        <v>0</v>
      </c>
      <c r="J243" s="192">
        <v>0</v>
      </c>
      <c r="K243" s="192">
        <v>0</v>
      </c>
      <c r="L243" s="192">
        <v>0</v>
      </c>
      <c r="M243" s="192">
        <v>4</v>
      </c>
      <c r="N243" s="192">
        <v>0</v>
      </c>
      <c r="O243" s="192">
        <v>0</v>
      </c>
      <c r="P243" s="192">
        <v>0</v>
      </c>
      <c r="Q243" s="192">
        <v>0</v>
      </c>
      <c r="R243" s="192">
        <v>0</v>
      </c>
      <c r="S243" s="192">
        <v>0</v>
      </c>
      <c r="T243" s="192">
        <v>0</v>
      </c>
      <c r="U243" s="192">
        <v>4</v>
      </c>
      <c r="V243" s="192">
        <v>0</v>
      </c>
      <c r="W243" s="192">
        <v>0</v>
      </c>
      <c r="X243" s="192">
        <v>0</v>
      </c>
      <c r="Y243" s="192">
        <v>0</v>
      </c>
      <c r="Z243" s="192">
        <v>0</v>
      </c>
      <c r="AA243" s="192">
        <v>0</v>
      </c>
      <c r="AB243" s="192">
        <v>0</v>
      </c>
      <c r="AC243" s="192">
        <v>8</v>
      </c>
      <c r="AD243" s="193">
        <v>0</v>
      </c>
      <c r="AE243" s="193">
        <v>0</v>
      </c>
      <c r="AF243" s="193">
        <v>0</v>
      </c>
      <c r="AG243" s="193">
        <v>0</v>
      </c>
      <c r="AH243" s="193">
        <v>0</v>
      </c>
      <c r="AI243" s="193">
        <v>0</v>
      </c>
      <c r="AJ243" s="193">
        <v>0</v>
      </c>
      <c r="AK243" s="193">
        <v>0</v>
      </c>
      <c r="AL243" s="193">
        <v>0</v>
      </c>
      <c r="AM243" s="193">
        <v>2360000</v>
      </c>
      <c r="AN243" s="193">
        <v>0</v>
      </c>
      <c r="AO243" s="193">
        <v>0</v>
      </c>
      <c r="AP243" s="193">
        <v>0</v>
      </c>
      <c r="AQ243" s="193">
        <v>0</v>
      </c>
      <c r="AR243" s="193">
        <v>0</v>
      </c>
      <c r="AS243" s="193">
        <v>0</v>
      </c>
      <c r="AT243" s="193">
        <v>0</v>
      </c>
      <c r="AU243" s="193">
        <v>2360000</v>
      </c>
      <c r="AV243" s="193">
        <v>0</v>
      </c>
      <c r="AW243" s="193">
        <v>0</v>
      </c>
      <c r="AX243" s="193">
        <v>0</v>
      </c>
      <c r="AY243" s="193">
        <v>0</v>
      </c>
      <c r="AZ243" s="193">
        <v>0</v>
      </c>
      <c r="BA243" s="193">
        <v>0</v>
      </c>
      <c r="BB243" s="193">
        <v>0</v>
      </c>
      <c r="BC243" s="193">
        <v>4720000</v>
      </c>
      <c r="BD243" s="193">
        <v>4720000</v>
      </c>
    </row>
    <row r="244" spans="1:56" s="230" customFormat="1">
      <c r="A244" s="208">
        <v>-4</v>
      </c>
      <c r="B244" s="235" t="s">
        <v>1014</v>
      </c>
      <c r="C244" s="210">
        <v>2810000</v>
      </c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A244" s="211"/>
      <c r="AB244" s="211"/>
      <c r="AC244" s="211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</row>
    <row r="245" spans="1:56" s="230" customFormat="1">
      <c r="A245" s="213">
        <v>-4.0999999999999996</v>
      </c>
      <c r="B245" s="231" t="s">
        <v>1015</v>
      </c>
      <c r="C245" s="191">
        <v>660000</v>
      </c>
      <c r="D245" s="192">
        <v>0</v>
      </c>
      <c r="E245" s="192">
        <v>0</v>
      </c>
      <c r="F245" s="192">
        <v>0</v>
      </c>
      <c r="G245" s="192">
        <v>0</v>
      </c>
      <c r="H245" s="192">
        <v>0</v>
      </c>
      <c r="I245" s="192">
        <v>0</v>
      </c>
      <c r="J245" s="192">
        <v>0</v>
      </c>
      <c r="K245" s="192">
        <v>0</v>
      </c>
      <c r="L245" s="192">
        <v>0</v>
      </c>
      <c r="M245" s="192">
        <v>0</v>
      </c>
      <c r="N245" s="192">
        <v>0</v>
      </c>
      <c r="O245" s="192">
        <v>0</v>
      </c>
      <c r="P245" s="192">
        <v>0</v>
      </c>
      <c r="Q245" s="192">
        <v>0</v>
      </c>
      <c r="R245" s="192">
        <v>0</v>
      </c>
      <c r="S245" s="192">
        <v>0</v>
      </c>
      <c r="T245" s="192">
        <v>0</v>
      </c>
      <c r="U245" s="192">
        <v>0</v>
      </c>
      <c r="V245" s="192">
        <v>0</v>
      </c>
      <c r="W245" s="192">
        <v>0</v>
      </c>
      <c r="X245" s="192">
        <v>0</v>
      </c>
      <c r="Y245" s="192">
        <v>0</v>
      </c>
      <c r="Z245" s="192">
        <v>0</v>
      </c>
      <c r="AA245" s="192">
        <v>0</v>
      </c>
      <c r="AB245" s="192">
        <v>0</v>
      </c>
      <c r="AC245" s="192">
        <v>0</v>
      </c>
      <c r="AD245" s="193">
        <v>0</v>
      </c>
      <c r="AE245" s="193">
        <v>0</v>
      </c>
      <c r="AF245" s="193">
        <v>0</v>
      </c>
      <c r="AG245" s="193">
        <v>0</v>
      </c>
      <c r="AH245" s="193">
        <v>0</v>
      </c>
      <c r="AI245" s="193">
        <v>0</v>
      </c>
      <c r="AJ245" s="193">
        <v>0</v>
      </c>
      <c r="AK245" s="193">
        <v>0</v>
      </c>
      <c r="AL245" s="193">
        <v>0</v>
      </c>
      <c r="AM245" s="193">
        <v>0</v>
      </c>
      <c r="AN245" s="193">
        <v>0</v>
      </c>
      <c r="AO245" s="193">
        <v>0</v>
      </c>
      <c r="AP245" s="193">
        <v>0</v>
      </c>
      <c r="AQ245" s="193">
        <v>0</v>
      </c>
      <c r="AR245" s="193">
        <v>0</v>
      </c>
      <c r="AS245" s="193">
        <v>0</v>
      </c>
      <c r="AT245" s="193">
        <v>0</v>
      </c>
      <c r="AU245" s="193">
        <v>0</v>
      </c>
      <c r="AV245" s="193">
        <v>0</v>
      </c>
      <c r="AW245" s="193">
        <v>0</v>
      </c>
      <c r="AX245" s="193">
        <v>0</v>
      </c>
      <c r="AY245" s="193">
        <v>0</v>
      </c>
      <c r="AZ245" s="193">
        <v>0</v>
      </c>
      <c r="BA245" s="193">
        <v>0</v>
      </c>
      <c r="BB245" s="193">
        <v>0</v>
      </c>
      <c r="BC245" s="193">
        <v>0</v>
      </c>
      <c r="BD245" s="193">
        <v>0</v>
      </c>
    </row>
    <row r="246" spans="1:56" s="230" customFormat="1">
      <c r="A246" s="213">
        <v>-4.2</v>
      </c>
      <c r="B246" s="231" t="s">
        <v>1016</v>
      </c>
      <c r="C246" s="191">
        <v>920000</v>
      </c>
      <c r="D246" s="192">
        <v>0</v>
      </c>
      <c r="E246" s="192">
        <v>0</v>
      </c>
      <c r="F246" s="192">
        <v>0</v>
      </c>
      <c r="G246" s="192">
        <v>0</v>
      </c>
      <c r="H246" s="192">
        <v>0</v>
      </c>
      <c r="I246" s="192">
        <v>0</v>
      </c>
      <c r="J246" s="192">
        <v>0</v>
      </c>
      <c r="K246" s="192">
        <v>0</v>
      </c>
      <c r="L246" s="192">
        <v>0</v>
      </c>
      <c r="M246" s="192">
        <v>0</v>
      </c>
      <c r="N246" s="192">
        <v>0</v>
      </c>
      <c r="O246" s="192">
        <v>0</v>
      </c>
      <c r="P246" s="192">
        <v>0</v>
      </c>
      <c r="Q246" s="192">
        <v>0</v>
      </c>
      <c r="R246" s="192">
        <v>0</v>
      </c>
      <c r="S246" s="192">
        <v>0</v>
      </c>
      <c r="T246" s="192">
        <v>0</v>
      </c>
      <c r="U246" s="192">
        <v>0</v>
      </c>
      <c r="V246" s="192">
        <v>0</v>
      </c>
      <c r="W246" s="192">
        <v>0</v>
      </c>
      <c r="X246" s="192">
        <v>0</v>
      </c>
      <c r="Y246" s="192">
        <v>0</v>
      </c>
      <c r="Z246" s="192">
        <v>0</v>
      </c>
      <c r="AA246" s="192">
        <v>0</v>
      </c>
      <c r="AB246" s="192">
        <v>0</v>
      </c>
      <c r="AC246" s="192">
        <v>0</v>
      </c>
      <c r="AD246" s="193">
        <v>0</v>
      </c>
      <c r="AE246" s="193">
        <v>0</v>
      </c>
      <c r="AF246" s="193">
        <v>0</v>
      </c>
      <c r="AG246" s="193">
        <v>0</v>
      </c>
      <c r="AH246" s="193">
        <v>0</v>
      </c>
      <c r="AI246" s="193">
        <v>0</v>
      </c>
      <c r="AJ246" s="193">
        <v>0</v>
      </c>
      <c r="AK246" s="193">
        <v>0</v>
      </c>
      <c r="AL246" s="193">
        <v>0</v>
      </c>
      <c r="AM246" s="193">
        <v>0</v>
      </c>
      <c r="AN246" s="193">
        <v>0</v>
      </c>
      <c r="AO246" s="193">
        <v>0</v>
      </c>
      <c r="AP246" s="193">
        <v>0</v>
      </c>
      <c r="AQ246" s="193">
        <v>0</v>
      </c>
      <c r="AR246" s="193">
        <v>0</v>
      </c>
      <c r="AS246" s="193">
        <v>0</v>
      </c>
      <c r="AT246" s="193">
        <v>0</v>
      </c>
      <c r="AU246" s="193">
        <v>0</v>
      </c>
      <c r="AV246" s="193">
        <v>0</v>
      </c>
      <c r="AW246" s="193">
        <v>0</v>
      </c>
      <c r="AX246" s="193">
        <v>0</v>
      </c>
      <c r="AY246" s="193">
        <v>0</v>
      </c>
      <c r="AZ246" s="193">
        <v>0</v>
      </c>
      <c r="BA246" s="193">
        <v>0</v>
      </c>
      <c r="BB246" s="193">
        <v>0</v>
      </c>
      <c r="BC246" s="193">
        <v>0</v>
      </c>
      <c r="BD246" s="193">
        <v>0</v>
      </c>
    </row>
    <row r="247" spans="1:56" s="230" customFormat="1">
      <c r="A247" s="213">
        <v>-4.3</v>
      </c>
      <c r="B247" s="231" t="s">
        <v>1017</v>
      </c>
      <c r="C247" s="191">
        <v>360000</v>
      </c>
      <c r="D247" s="192">
        <v>0</v>
      </c>
      <c r="E247" s="192">
        <v>0</v>
      </c>
      <c r="F247" s="192">
        <v>0</v>
      </c>
      <c r="G247" s="192">
        <v>0</v>
      </c>
      <c r="H247" s="192">
        <v>0</v>
      </c>
      <c r="I247" s="192">
        <v>0</v>
      </c>
      <c r="J247" s="192">
        <v>0</v>
      </c>
      <c r="K247" s="192">
        <v>0</v>
      </c>
      <c r="L247" s="192">
        <v>0</v>
      </c>
      <c r="M247" s="192">
        <v>0</v>
      </c>
      <c r="N247" s="192">
        <v>0</v>
      </c>
      <c r="O247" s="192">
        <v>0</v>
      </c>
      <c r="P247" s="192">
        <v>0</v>
      </c>
      <c r="Q247" s="192">
        <v>0</v>
      </c>
      <c r="R247" s="192">
        <v>0</v>
      </c>
      <c r="S247" s="192">
        <v>0</v>
      </c>
      <c r="T247" s="192">
        <v>0</v>
      </c>
      <c r="U247" s="192">
        <v>0</v>
      </c>
      <c r="V247" s="192">
        <v>0</v>
      </c>
      <c r="W247" s="192">
        <v>0</v>
      </c>
      <c r="X247" s="192">
        <v>0</v>
      </c>
      <c r="Y247" s="192">
        <v>0</v>
      </c>
      <c r="Z247" s="192">
        <v>0</v>
      </c>
      <c r="AA247" s="192">
        <v>0</v>
      </c>
      <c r="AB247" s="192">
        <v>0</v>
      </c>
      <c r="AC247" s="192">
        <v>0</v>
      </c>
      <c r="AD247" s="193">
        <v>0</v>
      </c>
      <c r="AE247" s="193">
        <v>0</v>
      </c>
      <c r="AF247" s="193">
        <v>0</v>
      </c>
      <c r="AG247" s="193">
        <v>0</v>
      </c>
      <c r="AH247" s="193">
        <v>0</v>
      </c>
      <c r="AI247" s="193">
        <v>0</v>
      </c>
      <c r="AJ247" s="193">
        <v>0</v>
      </c>
      <c r="AK247" s="193">
        <v>0</v>
      </c>
      <c r="AL247" s="193">
        <v>0</v>
      </c>
      <c r="AM247" s="193">
        <v>0</v>
      </c>
      <c r="AN247" s="193">
        <v>0</v>
      </c>
      <c r="AO247" s="193">
        <v>0</v>
      </c>
      <c r="AP247" s="193">
        <v>0</v>
      </c>
      <c r="AQ247" s="193">
        <v>0</v>
      </c>
      <c r="AR247" s="193">
        <v>0</v>
      </c>
      <c r="AS247" s="193">
        <v>0</v>
      </c>
      <c r="AT247" s="193">
        <v>0</v>
      </c>
      <c r="AU247" s="193">
        <v>0</v>
      </c>
      <c r="AV247" s="193">
        <v>0</v>
      </c>
      <c r="AW247" s="193">
        <v>0</v>
      </c>
      <c r="AX247" s="193">
        <v>0</v>
      </c>
      <c r="AY247" s="193">
        <v>0</v>
      </c>
      <c r="AZ247" s="193">
        <v>0</v>
      </c>
      <c r="BA247" s="193">
        <v>0</v>
      </c>
      <c r="BB247" s="193">
        <v>0</v>
      </c>
      <c r="BC247" s="193">
        <v>0</v>
      </c>
      <c r="BD247" s="193">
        <v>0</v>
      </c>
    </row>
    <row r="248" spans="1:56" s="230" customFormat="1">
      <c r="A248" s="213">
        <v>-4.4000000000000004</v>
      </c>
      <c r="B248" s="231" t="s">
        <v>1018</v>
      </c>
      <c r="C248" s="191">
        <v>870000</v>
      </c>
      <c r="D248" s="192">
        <v>0</v>
      </c>
      <c r="E248" s="192">
        <v>0</v>
      </c>
      <c r="F248" s="192">
        <v>0</v>
      </c>
      <c r="G248" s="192">
        <v>0</v>
      </c>
      <c r="H248" s="192">
        <v>0</v>
      </c>
      <c r="I248" s="192">
        <v>0</v>
      </c>
      <c r="J248" s="192">
        <v>0</v>
      </c>
      <c r="K248" s="192">
        <v>0</v>
      </c>
      <c r="L248" s="192">
        <v>0</v>
      </c>
      <c r="M248" s="192">
        <v>0</v>
      </c>
      <c r="N248" s="192">
        <v>0</v>
      </c>
      <c r="O248" s="192">
        <v>0</v>
      </c>
      <c r="P248" s="192">
        <v>0</v>
      </c>
      <c r="Q248" s="192">
        <v>0</v>
      </c>
      <c r="R248" s="192">
        <v>0</v>
      </c>
      <c r="S248" s="192">
        <v>0</v>
      </c>
      <c r="T248" s="192">
        <v>0</v>
      </c>
      <c r="U248" s="192">
        <v>0</v>
      </c>
      <c r="V248" s="192">
        <v>0</v>
      </c>
      <c r="W248" s="192">
        <v>0</v>
      </c>
      <c r="X248" s="192">
        <v>0</v>
      </c>
      <c r="Y248" s="192">
        <v>0</v>
      </c>
      <c r="Z248" s="192">
        <v>0</v>
      </c>
      <c r="AA248" s="192">
        <v>0</v>
      </c>
      <c r="AB248" s="192">
        <v>0</v>
      </c>
      <c r="AC248" s="192">
        <v>0</v>
      </c>
      <c r="AD248" s="193">
        <v>0</v>
      </c>
      <c r="AE248" s="193">
        <v>0</v>
      </c>
      <c r="AF248" s="193">
        <v>0</v>
      </c>
      <c r="AG248" s="193">
        <v>0</v>
      </c>
      <c r="AH248" s="193">
        <v>0</v>
      </c>
      <c r="AI248" s="193">
        <v>0</v>
      </c>
      <c r="AJ248" s="193">
        <v>0</v>
      </c>
      <c r="AK248" s="193">
        <v>0</v>
      </c>
      <c r="AL248" s="193">
        <v>0</v>
      </c>
      <c r="AM248" s="193">
        <v>0</v>
      </c>
      <c r="AN248" s="193">
        <v>0</v>
      </c>
      <c r="AO248" s="193">
        <v>0</v>
      </c>
      <c r="AP248" s="193">
        <v>0</v>
      </c>
      <c r="AQ248" s="193">
        <v>0</v>
      </c>
      <c r="AR248" s="193">
        <v>0</v>
      </c>
      <c r="AS248" s="193">
        <v>0</v>
      </c>
      <c r="AT248" s="193">
        <v>0</v>
      </c>
      <c r="AU248" s="193">
        <v>0</v>
      </c>
      <c r="AV248" s="193">
        <v>0</v>
      </c>
      <c r="AW248" s="193">
        <v>0</v>
      </c>
      <c r="AX248" s="193">
        <v>0</v>
      </c>
      <c r="AY248" s="193">
        <v>0</v>
      </c>
      <c r="AZ248" s="193">
        <v>0</v>
      </c>
      <c r="BA248" s="193">
        <v>0</v>
      </c>
      <c r="BB248" s="193">
        <v>0</v>
      </c>
      <c r="BC248" s="193">
        <v>0</v>
      </c>
      <c r="BD248" s="193">
        <v>0</v>
      </c>
    </row>
    <row r="249" spans="1:56" s="230" customFormat="1">
      <c r="A249" s="189">
        <v>-5</v>
      </c>
      <c r="B249" s="231" t="s">
        <v>1019</v>
      </c>
      <c r="C249" s="191">
        <v>550000</v>
      </c>
      <c r="D249" s="192">
        <v>0</v>
      </c>
      <c r="E249" s="192">
        <v>9</v>
      </c>
      <c r="F249" s="192">
        <v>0</v>
      </c>
      <c r="G249" s="192">
        <v>0</v>
      </c>
      <c r="H249" s="192">
        <v>0</v>
      </c>
      <c r="I249" s="192">
        <v>0</v>
      </c>
      <c r="J249" s="192">
        <v>0</v>
      </c>
      <c r="K249" s="192">
        <v>0</v>
      </c>
      <c r="L249" s="192">
        <v>0</v>
      </c>
      <c r="M249" s="192">
        <v>6</v>
      </c>
      <c r="N249" s="192">
        <v>0</v>
      </c>
      <c r="O249" s="192">
        <v>0</v>
      </c>
      <c r="P249" s="192">
        <v>0</v>
      </c>
      <c r="Q249" s="192">
        <v>0</v>
      </c>
      <c r="R249" s="192">
        <v>0</v>
      </c>
      <c r="S249" s="192">
        <v>0</v>
      </c>
      <c r="T249" s="192">
        <v>0</v>
      </c>
      <c r="U249" s="192">
        <v>0</v>
      </c>
      <c r="V249" s="192">
        <v>0</v>
      </c>
      <c r="W249" s="192">
        <v>0</v>
      </c>
      <c r="X249" s="192">
        <v>0</v>
      </c>
      <c r="Y249" s="192">
        <v>0</v>
      </c>
      <c r="Z249" s="192">
        <v>0</v>
      </c>
      <c r="AA249" s="192">
        <v>2</v>
      </c>
      <c r="AB249" s="192">
        <v>0</v>
      </c>
      <c r="AC249" s="192">
        <v>17</v>
      </c>
      <c r="AD249" s="193">
        <v>0</v>
      </c>
      <c r="AE249" s="193">
        <v>4950000</v>
      </c>
      <c r="AF249" s="193">
        <v>0</v>
      </c>
      <c r="AG249" s="193">
        <v>0</v>
      </c>
      <c r="AH249" s="193">
        <v>0</v>
      </c>
      <c r="AI249" s="193">
        <v>0</v>
      </c>
      <c r="AJ249" s="193">
        <v>0</v>
      </c>
      <c r="AK249" s="193">
        <v>0</v>
      </c>
      <c r="AL249" s="193">
        <v>0</v>
      </c>
      <c r="AM249" s="193">
        <v>3300000</v>
      </c>
      <c r="AN249" s="193">
        <v>0</v>
      </c>
      <c r="AO249" s="193">
        <v>0</v>
      </c>
      <c r="AP249" s="193">
        <v>0</v>
      </c>
      <c r="AQ249" s="193">
        <v>0</v>
      </c>
      <c r="AR249" s="193">
        <v>0</v>
      </c>
      <c r="AS249" s="193">
        <v>0</v>
      </c>
      <c r="AT249" s="193">
        <v>0</v>
      </c>
      <c r="AU249" s="193">
        <v>0</v>
      </c>
      <c r="AV249" s="193">
        <v>0</v>
      </c>
      <c r="AW249" s="193">
        <v>0</v>
      </c>
      <c r="AX249" s="193">
        <v>0</v>
      </c>
      <c r="AY249" s="193">
        <v>0</v>
      </c>
      <c r="AZ249" s="193">
        <v>0</v>
      </c>
      <c r="BA249" s="193">
        <v>1100000</v>
      </c>
      <c r="BB249" s="193">
        <v>0</v>
      </c>
      <c r="BC249" s="193">
        <v>9350000</v>
      </c>
      <c r="BD249" s="193">
        <v>9350000</v>
      </c>
    </row>
    <row r="250" spans="1:56" s="230" customFormat="1">
      <c r="A250" s="189">
        <v>-6</v>
      </c>
      <c r="B250" s="231" t="s">
        <v>1020</v>
      </c>
      <c r="C250" s="191">
        <v>1100000</v>
      </c>
      <c r="D250" s="192">
        <v>0</v>
      </c>
      <c r="E250" s="192">
        <v>0</v>
      </c>
      <c r="F250" s="192">
        <v>0</v>
      </c>
      <c r="G250" s="192">
        <v>0</v>
      </c>
      <c r="H250" s="192">
        <v>0</v>
      </c>
      <c r="I250" s="192">
        <v>0</v>
      </c>
      <c r="J250" s="192">
        <v>0</v>
      </c>
      <c r="K250" s="192">
        <v>0</v>
      </c>
      <c r="L250" s="192">
        <v>0</v>
      </c>
      <c r="M250" s="192">
        <v>0</v>
      </c>
      <c r="N250" s="192">
        <v>0</v>
      </c>
      <c r="O250" s="192">
        <v>0</v>
      </c>
      <c r="P250" s="192">
        <v>0</v>
      </c>
      <c r="Q250" s="192">
        <v>0</v>
      </c>
      <c r="R250" s="192">
        <v>0</v>
      </c>
      <c r="S250" s="192">
        <v>0</v>
      </c>
      <c r="T250" s="192">
        <v>0</v>
      </c>
      <c r="U250" s="192">
        <v>0</v>
      </c>
      <c r="V250" s="192">
        <v>0</v>
      </c>
      <c r="W250" s="192">
        <v>0</v>
      </c>
      <c r="X250" s="192">
        <v>0</v>
      </c>
      <c r="Y250" s="192">
        <v>0</v>
      </c>
      <c r="Z250" s="192">
        <v>0</v>
      </c>
      <c r="AA250" s="192">
        <v>0</v>
      </c>
      <c r="AB250" s="192">
        <v>0</v>
      </c>
      <c r="AC250" s="192">
        <v>0</v>
      </c>
      <c r="AD250" s="193">
        <v>0</v>
      </c>
      <c r="AE250" s="193">
        <v>0</v>
      </c>
      <c r="AF250" s="193">
        <v>0</v>
      </c>
      <c r="AG250" s="193">
        <v>0</v>
      </c>
      <c r="AH250" s="193">
        <v>0</v>
      </c>
      <c r="AI250" s="193">
        <v>0</v>
      </c>
      <c r="AJ250" s="193">
        <v>0</v>
      </c>
      <c r="AK250" s="193">
        <v>0</v>
      </c>
      <c r="AL250" s="193">
        <v>0</v>
      </c>
      <c r="AM250" s="193">
        <v>0</v>
      </c>
      <c r="AN250" s="193">
        <v>0</v>
      </c>
      <c r="AO250" s="193">
        <v>0</v>
      </c>
      <c r="AP250" s="193">
        <v>0</v>
      </c>
      <c r="AQ250" s="193">
        <v>0</v>
      </c>
      <c r="AR250" s="193">
        <v>0</v>
      </c>
      <c r="AS250" s="193">
        <v>0</v>
      </c>
      <c r="AT250" s="193">
        <v>0</v>
      </c>
      <c r="AU250" s="193">
        <v>0</v>
      </c>
      <c r="AV250" s="193">
        <v>0</v>
      </c>
      <c r="AW250" s="193">
        <v>0</v>
      </c>
      <c r="AX250" s="193">
        <v>0</v>
      </c>
      <c r="AY250" s="193">
        <v>0</v>
      </c>
      <c r="AZ250" s="193">
        <v>0</v>
      </c>
      <c r="BA250" s="193">
        <v>0</v>
      </c>
      <c r="BB250" s="193">
        <v>0</v>
      </c>
      <c r="BC250" s="193">
        <v>0</v>
      </c>
      <c r="BD250" s="193">
        <v>0</v>
      </c>
    </row>
    <row r="251" spans="1:56" s="230" customFormat="1">
      <c r="A251" s="189">
        <v>-7</v>
      </c>
      <c r="B251" s="231" t="s">
        <v>1021</v>
      </c>
      <c r="C251" s="191">
        <v>2200000</v>
      </c>
      <c r="D251" s="192">
        <v>0</v>
      </c>
      <c r="E251" s="192">
        <v>0</v>
      </c>
      <c r="F251" s="192">
        <v>0</v>
      </c>
      <c r="G251" s="192">
        <v>0</v>
      </c>
      <c r="H251" s="192">
        <v>0</v>
      </c>
      <c r="I251" s="192">
        <v>0</v>
      </c>
      <c r="J251" s="192">
        <v>0</v>
      </c>
      <c r="K251" s="192">
        <v>0</v>
      </c>
      <c r="L251" s="192">
        <v>0</v>
      </c>
      <c r="M251" s="192">
        <v>0</v>
      </c>
      <c r="N251" s="192">
        <v>0</v>
      </c>
      <c r="O251" s="192">
        <v>0</v>
      </c>
      <c r="P251" s="192">
        <v>0</v>
      </c>
      <c r="Q251" s="192">
        <v>0</v>
      </c>
      <c r="R251" s="192">
        <v>0</v>
      </c>
      <c r="S251" s="192">
        <v>0</v>
      </c>
      <c r="T251" s="192">
        <v>0</v>
      </c>
      <c r="U251" s="192">
        <v>0</v>
      </c>
      <c r="V251" s="192">
        <v>0</v>
      </c>
      <c r="W251" s="192">
        <v>0</v>
      </c>
      <c r="X251" s="192">
        <v>0</v>
      </c>
      <c r="Y251" s="192">
        <v>0</v>
      </c>
      <c r="Z251" s="192">
        <v>0</v>
      </c>
      <c r="AA251" s="192">
        <v>0</v>
      </c>
      <c r="AB251" s="192">
        <v>0</v>
      </c>
      <c r="AC251" s="192">
        <v>0</v>
      </c>
      <c r="AD251" s="193">
        <v>0</v>
      </c>
      <c r="AE251" s="193">
        <v>0</v>
      </c>
      <c r="AF251" s="193">
        <v>0</v>
      </c>
      <c r="AG251" s="193">
        <v>0</v>
      </c>
      <c r="AH251" s="193">
        <v>0</v>
      </c>
      <c r="AI251" s="193">
        <v>0</v>
      </c>
      <c r="AJ251" s="193">
        <v>0</v>
      </c>
      <c r="AK251" s="193">
        <v>0</v>
      </c>
      <c r="AL251" s="193">
        <v>0</v>
      </c>
      <c r="AM251" s="193">
        <v>0</v>
      </c>
      <c r="AN251" s="193">
        <v>0</v>
      </c>
      <c r="AO251" s="193">
        <v>0</v>
      </c>
      <c r="AP251" s="193">
        <v>0</v>
      </c>
      <c r="AQ251" s="193">
        <v>0</v>
      </c>
      <c r="AR251" s="193">
        <v>0</v>
      </c>
      <c r="AS251" s="193">
        <v>0</v>
      </c>
      <c r="AT251" s="193">
        <v>0</v>
      </c>
      <c r="AU251" s="193">
        <v>0</v>
      </c>
      <c r="AV251" s="193">
        <v>0</v>
      </c>
      <c r="AW251" s="193">
        <v>0</v>
      </c>
      <c r="AX251" s="193">
        <v>0</v>
      </c>
      <c r="AY251" s="193">
        <v>0</v>
      </c>
      <c r="AZ251" s="193">
        <v>0</v>
      </c>
      <c r="BA251" s="193">
        <v>0</v>
      </c>
      <c r="BB251" s="193">
        <v>0</v>
      </c>
      <c r="BC251" s="193">
        <v>0</v>
      </c>
      <c r="BD251" s="193">
        <v>0</v>
      </c>
    </row>
    <row r="252" spans="1:56" s="230" customFormat="1">
      <c r="A252" s="189">
        <v>-8</v>
      </c>
      <c r="B252" s="190" t="s">
        <v>1022</v>
      </c>
      <c r="C252" s="191">
        <v>130000</v>
      </c>
      <c r="D252" s="192">
        <v>0</v>
      </c>
      <c r="E252" s="192">
        <v>0</v>
      </c>
      <c r="F252" s="192">
        <v>0</v>
      </c>
      <c r="G252" s="192">
        <v>0</v>
      </c>
      <c r="H252" s="192">
        <v>0</v>
      </c>
      <c r="I252" s="192">
        <v>0</v>
      </c>
      <c r="J252" s="192">
        <v>0</v>
      </c>
      <c r="K252" s="192">
        <v>0</v>
      </c>
      <c r="L252" s="192">
        <v>0</v>
      </c>
      <c r="M252" s="192">
        <v>0</v>
      </c>
      <c r="N252" s="192">
        <v>0</v>
      </c>
      <c r="O252" s="192">
        <v>0</v>
      </c>
      <c r="P252" s="192">
        <v>0</v>
      </c>
      <c r="Q252" s="192">
        <v>0</v>
      </c>
      <c r="R252" s="192">
        <v>0</v>
      </c>
      <c r="S252" s="192">
        <v>0</v>
      </c>
      <c r="T252" s="192">
        <v>0</v>
      </c>
      <c r="U252" s="192">
        <v>0</v>
      </c>
      <c r="V252" s="192">
        <v>0</v>
      </c>
      <c r="W252" s="192">
        <v>0</v>
      </c>
      <c r="X252" s="192">
        <v>0</v>
      </c>
      <c r="Y252" s="192">
        <v>0</v>
      </c>
      <c r="Z252" s="192">
        <v>0</v>
      </c>
      <c r="AA252" s="192">
        <v>0</v>
      </c>
      <c r="AB252" s="192">
        <v>0</v>
      </c>
      <c r="AC252" s="192">
        <v>0</v>
      </c>
      <c r="AD252" s="193">
        <v>0</v>
      </c>
      <c r="AE252" s="193">
        <v>0</v>
      </c>
      <c r="AF252" s="193">
        <v>0</v>
      </c>
      <c r="AG252" s="193">
        <v>0</v>
      </c>
      <c r="AH252" s="193">
        <v>0</v>
      </c>
      <c r="AI252" s="193">
        <v>0</v>
      </c>
      <c r="AJ252" s="193">
        <v>0</v>
      </c>
      <c r="AK252" s="193">
        <v>0</v>
      </c>
      <c r="AL252" s="193">
        <v>0</v>
      </c>
      <c r="AM252" s="193">
        <v>0</v>
      </c>
      <c r="AN252" s="193">
        <v>0</v>
      </c>
      <c r="AO252" s="193">
        <v>0</v>
      </c>
      <c r="AP252" s="193">
        <v>0</v>
      </c>
      <c r="AQ252" s="193">
        <v>0</v>
      </c>
      <c r="AR252" s="193">
        <v>0</v>
      </c>
      <c r="AS252" s="193">
        <v>0</v>
      </c>
      <c r="AT252" s="193">
        <v>0</v>
      </c>
      <c r="AU252" s="193">
        <v>0</v>
      </c>
      <c r="AV252" s="193">
        <v>0</v>
      </c>
      <c r="AW252" s="193">
        <v>0</v>
      </c>
      <c r="AX252" s="193">
        <v>0</v>
      </c>
      <c r="AY252" s="193">
        <v>0</v>
      </c>
      <c r="AZ252" s="193">
        <v>0</v>
      </c>
      <c r="BA252" s="193">
        <v>0</v>
      </c>
      <c r="BB252" s="193">
        <v>0</v>
      </c>
      <c r="BC252" s="193">
        <v>0</v>
      </c>
      <c r="BD252" s="193">
        <v>0</v>
      </c>
    </row>
    <row r="253" spans="1:56" s="230" customFormat="1">
      <c r="A253" s="189">
        <v>-9</v>
      </c>
      <c r="B253" s="190" t="s">
        <v>1023</v>
      </c>
      <c r="C253" s="191">
        <v>140000</v>
      </c>
      <c r="D253" s="192">
        <v>0</v>
      </c>
      <c r="E253" s="192">
        <v>0</v>
      </c>
      <c r="F253" s="192">
        <v>0</v>
      </c>
      <c r="G253" s="192">
        <v>0</v>
      </c>
      <c r="H253" s="192">
        <v>0</v>
      </c>
      <c r="I253" s="192">
        <v>0</v>
      </c>
      <c r="J253" s="192">
        <v>0</v>
      </c>
      <c r="K253" s="192">
        <v>0</v>
      </c>
      <c r="L253" s="192">
        <v>0</v>
      </c>
      <c r="M253" s="192">
        <v>0</v>
      </c>
      <c r="N253" s="192">
        <v>0</v>
      </c>
      <c r="O253" s="192">
        <v>0</v>
      </c>
      <c r="P253" s="192">
        <v>0</v>
      </c>
      <c r="Q253" s="192">
        <v>0</v>
      </c>
      <c r="R253" s="192">
        <v>0</v>
      </c>
      <c r="S253" s="192">
        <v>0</v>
      </c>
      <c r="T253" s="192">
        <v>0</v>
      </c>
      <c r="U253" s="192">
        <v>0</v>
      </c>
      <c r="V253" s="192">
        <v>0</v>
      </c>
      <c r="W253" s="192">
        <v>0</v>
      </c>
      <c r="X253" s="192">
        <v>0</v>
      </c>
      <c r="Y253" s="192">
        <v>0</v>
      </c>
      <c r="Z253" s="192">
        <v>0</v>
      </c>
      <c r="AA253" s="192">
        <v>0</v>
      </c>
      <c r="AB253" s="192">
        <v>0</v>
      </c>
      <c r="AC253" s="192">
        <v>0</v>
      </c>
      <c r="AD253" s="193">
        <v>0</v>
      </c>
      <c r="AE253" s="193">
        <v>0</v>
      </c>
      <c r="AF253" s="193">
        <v>0</v>
      </c>
      <c r="AG253" s="193">
        <v>0</v>
      </c>
      <c r="AH253" s="193">
        <v>0</v>
      </c>
      <c r="AI253" s="193">
        <v>0</v>
      </c>
      <c r="AJ253" s="193">
        <v>0</v>
      </c>
      <c r="AK253" s="193">
        <v>0</v>
      </c>
      <c r="AL253" s="193">
        <v>0</v>
      </c>
      <c r="AM253" s="193">
        <v>0</v>
      </c>
      <c r="AN253" s="193">
        <v>0</v>
      </c>
      <c r="AO253" s="193">
        <v>0</v>
      </c>
      <c r="AP253" s="193">
        <v>0</v>
      </c>
      <c r="AQ253" s="193">
        <v>0</v>
      </c>
      <c r="AR253" s="193">
        <v>0</v>
      </c>
      <c r="AS253" s="193">
        <v>0</v>
      </c>
      <c r="AT253" s="193">
        <v>0</v>
      </c>
      <c r="AU253" s="193">
        <v>0</v>
      </c>
      <c r="AV253" s="193">
        <v>0</v>
      </c>
      <c r="AW253" s="193">
        <v>0</v>
      </c>
      <c r="AX253" s="193">
        <v>0</v>
      </c>
      <c r="AY253" s="193">
        <v>0</v>
      </c>
      <c r="AZ253" s="193">
        <v>0</v>
      </c>
      <c r="BA253" s="193">
        <v>0</v>
      </c>
      <c r="BB253" s="193">
        <v>0</v>
      </c>
      <c r="BC253" s="193">
        <v>0</v>
      </c>
      <c r="BD253" s="193">
        <v>0</v>
      </c>
    </row>
    <row r="254" spans="1:56" s="230" customFormat="1">
      <c r="A254" s="189">
        <v>-10</v>
      </c>
      <c r="B254" s="231" t="s">
        <v>1024</v>
      </c>
      <c r="C254" s="191">
        <v>150000</v>
      </c>
      <c r="D254" s="192">
        <v>0</v>
      </c>
      <c r="E254" s="192">
        <v>0</v>
      </c>
      <c r="F254" s="192">
        <v>0</v>
      </c>
      <c r="G254" s="192">
        <v>0</v>
      </c>
      <c r="H254" s="192">
        <v>0</v>
      </c>
      <c r="I254" s="192">
        <v>0</v>
      </c>
      <c r="J254" s="192">
        <v>0</v>
      </c>
      <c r="K254" s="192">
        <v>0</v>
      </c>
      <c r="L254" s="192">
        <v>0</v>
      </c>
      <c r="M254" s="192">
        <v>0</v>
      </c>
      <c r="N254" s="192">
        <v>0</v>
      </c>
      <c r="O254" s="192">
        <v>0</v>
      </c>
      <c r="P254" s="192">
        <v>0</v>
      </c>
      <c r="Q254" s="192">
        <v>0</v>
      </c>
      <c r="R254" s="192">
        <v>0</v>
      </c>
      <c r="S254" s="192">
        <v>0</v>
      </c>
      <c r="T254" s="192">
        <v>0</v>
      </c>
      <c r="U254" s="192">
        <v>0</v>
      </c>
      <c r="V254" s="192">
        <v>0</v>
      </c>
      <c r="W254" s="192">
        <v>0</v>
      </c>
      <c r="X254" s="192">
        <v>0</v>
      </c>
      <c r="Y254" s="192">
        <v>0</v>
      </c>
      <c r="Z254" s="192">
        <v>0</v>
      </c>
      <c r="AA254" s="192">
        <v>0</v>
      </c>
      <c r="AB254" s="192">
        <v>0</v>
      </c>
      <c r="AC254" s="192">
        <v>0</v>
      </c>
      <c r="AD254" s="193">
        <v>0</v>
      </c>
      <c r="AE254" s="193">
        <v>0</v>
      </c>
      <c r="AF254" s="193">
        <v>0</v>
      </c>
      <c r="AG254" s="193">
        <v>0</v>
      </c>
      <c r="AH254" s="193">
        <v>0</v>
      </c>
      <c r="AI254" s="193">
        <v>0</v>
      </c>
      <c r="AJ254" s="193">
        <v>0</v>
      </c>
      <c r="AK254" s="193">
        <v>0</v>
      </c>
      <c r="AL254" s="193">
        <v>0</v>
      </c>
      <c r="AM254" s="193">
        <v>0</v>
      </c>
      <c r="AN254" s="193">
        <v>0</v>
      </c>
      <c r="AO254" s="193">
        <v>0</v>
      </c>
      <c r="AP254" s="193">
        <v>0</v>
      </c>
      <c r="AQ254" s="193">
        <v>0</v>
      </c>
      <c r="AR254" s="193">
        <v>0</v>
      </c>
      <c r="AS254" s="193">
        <v>0</v>
      </c>
      <c r="AT254" s="193">
        <v>0</v>
      </c>
      <c r="AU254" s="193">
        <v>0</v>
      </c>
      <c r="AV254" s="193">
        <v>0</v>
      </c>
      <c r="AW254" s="193">
        <v>0</v>
      </c>
      <c r="AX254" s="193">
        <v>0</v>
      </c>
      <c r="AY254" s="193">
        <v>0</v>
      </c>
      <c r="AZ254" s="193">
        <v>0</v>
      </c>
      <c r="BA254" s="193">
        <v>0</v>
      </c>
      <c r="BB254" s="193">
        <v>0</v>
      </c>
      <c r="BC254" s="193">
        <v>0</v>
      </c>
      <c r="BD254" s="193">
        <v>0</v>
      </c>
    </row>
    <row r="255" spans="1:56" s="230" customFormat="1">
      <c r="A255" s="189">
        <v>-11</v>
      </c>
      <c r="B255" s="199" t="s">
        <v>1025</v>
      </c>
      <c r="C255" s="191">
        <v>170000</v>
      </c>
      <c r="D255" s="192">
        <v>0</v>
      </c>
      <c r="E255" s="192">
        <v>0</v>
      </c>
      <c r="F255" s="192">
        <v>0</v>
      </c>
      <c r="G255" s="192">
        <v>0</v>
      </c>
      <c r="H255" s="192">
        <v>0</v>
      </c>
      <c r="I255" s="192">
        <v>0</v>
      </c>
      <c r="J255" s="192">
        <v>0</v>
      </c>
      <c r="K255" s="192">
        <v>0</v>
      </c>
      <c r="L255" s="192">
        <v>0</v>
      </c>
      <c r="M255" s="192">
        <v>0</v>
      </c>
      <c r="N255" s="192">
        <v>0</v>
      </c>
      <c r="O255" s="192">
        <v>0</v>
      </c>
      <c r="P255" s="192">
        <v>0</v>
      </c>
      <c r="Q255" s="192">
        <v>0</v>
      </c>
      <c r="R255" s="192">
        <v>0</v>
      </c>
      <c r="S255" s="192">
        <v>0</v>
      </c>
      <c r="T255" s="192">
        <v>0</v>
      </c>
      <c r="U255" s="192">
        <v>0</v>
      </c>
      <c r="V255" s="192">
        <v>0</v>
      </c>
      <c r="W255" s="192">
        <v>0</v>
      </c>
      <c r="X255" s="192">
        <v>0</v>
      </c>
      <c r="Y255" s="192">
        <v>0</v>
      </c>
      <c r="Z255" s="192">
        <v>0</v>
      </c>
      <c r="AA255" s="192">
        <v>0</v>
      </c>
      <c r="AB255" s="192">
        <v>0</v>
      </c>
      <c r="AC255" s="192">
        <v>0</v>
      </c>
      <c r="AD255" s="193">
        <v>0</v>
      </c>
      <c r="AE255" s="193">
        <v>0</v>
      </c>
      <c r="AF255" s="193">
        <v>0</v>
      </c>
      <c r="AG255" s="193">
        <v>0</v>
      </c>
      <c r="AH255" s="193">
        <v>0</v>
      </c>
      <c r="AI255" s="193">
        <v>0</v>
      </c>
      <c r="AJ255" s="193">
        <v>0</v>
      </c>
      <c r="AK255" s="193">
        <v>0</v>
      </c>
      <c r="AL255" s="193">
        <v>0</v>
      </c>
      <c r="AM255" s="193">
        <v>0</v>
      </c>
      <c r="AN255" s="193">
        <v>0</v>
      </c>
      <c r="AO255" s="193">
        <v>0</v>
      </c>
      <c r="AP255" s="193">
        <v>0</v>
      </c>
      <c r="AQ255" s="193">
        <v>0</v>
      </c>
      <c r="AR255" s="193">
        <v>0</v>
      </c>
      <c r="AS255" s="193">
        <v>0</v>
      </c>
      <c r="AT255" s="193">
        <v>0</v>
      </c>
      <c r="AU255" s="193">
        <v>0</v>
      </c>
      <c r="AV255" s="193">
        <v>0</v>
      </c>
      <c r="AW255" s="193">
        <v>0</v>
      </c>
      <c r="AX255" s="193">
        <v>0</v>
      </c>
      <c r="AY255" s="193">
        <v>0</v>
      </c>
      <c r="AZ255" s="193">
        <v>0</v>
      </c>
      <c r="BA255" s="193">
        <v>0</v>
      </c>
      <c r="BB255" s="193">
        <v>0</v>
      </c>
      <c r="BC255" s="193">
        <v>0</v>
      </c>
      <c r="BD255" s="193">
        <v>0</v>
      </c>
    </row>
    <row r="256" spans="1:56" s="229" customFormat="1">
      <c r="A256" s="189">
        <v>-12</v>
      </c>
      <c r="B256" s="231" t="s">
        <v>928</v>
      </c>
      <c r="C256" s="191">
        <v>180000</v>
      </c>
      <c r="D256" s="192">
        <v>0</v>
      </c>
      <c r="E256" s="192">
        <v>5</v>
      </c>
      <c r="F256" s="192">
        <v>0</v>
      </c>
      <c r="G256" s="192">
        <v>0</v>
      </c>
      <c r="H256" s="192">
        <v>0</v>
      </c>
      <c r="I256" s="192">
        <v>0</v>
      </c>
      <c r="J256" s="192">
        <v>0</v>
      </c>
      <c r="K256" s="192">
        <v>0</v>
      </c>
      <c r="L256" s="192">
        <v>0</v>
      </c>
      <c r="M256" s="192">
        <v>9</v>
      </c>
      <c r="N256" s="192">
        <v>0</v>
      </c>
      <c r="O256" s="192">
        <v>0</v>
      </c>
      <c r="P256" s="192">
        <v>0</v>
      </c>
      <c r="Q256" s="192">
        <v>11</v>
      </c>
      <c r="R256" s="192">
        <v>0</v>
      </c>
      <c r="S256" s="192">
        <v>0</v>
      </c>
      <c r="T256" s="192">
        <v>0</v>
      </c>
      <c r="U256" s="192">
        <v>8</v>
      </c>
      <c r="V256" s="192">
        <v>0</v>
      </c>
      <c r="W256" s="192">
        <v>0</v>
      </c>
      <c r="X256" s="192">
        <v>0</v>
      </c>
      <c r="Y256" s="192">
        <v>0</v>
      </c>
      <c r="Z256" s="192">
        <v>0</v>
      </c>
      <c r="AA256" s="192">
        <v>0</v>
      </c>
      <c r="AB256" s="192">
        <v>0</v>
      </c>
      <c r="AC256" s="192">
        <v>33</v>
      </c>
      <c r="AD256" s="193">
        <v>0</v>
      </c>
      <c r="AE256" s="193">
        <v>900000</v>
      </c>
      <c r="AF256" s="193">
        <v>0</v>
      </c>
      <c r="AG256" s="193">
        <v>0</v>
      </c>
      <c r="AH256" s="193">
        <v>0</v>
      </c>
      <c r="AI256" s="193">
        <v>0</v>
      </c>
      <c r="AJ256" s="193">
        <v>0</v>
      </c>
      <c r="AK256" s="193">
        <v>0</v>
      </c>
      <c r="AL256" s="193">
        <v>0</v>
      </c>
      <c r="AM256" s="193">
        <v>1620000</v>
      </c>
      <c r="AN256" s="193">
        <v>0</v>
      </c>
      <c r="AO256" s="193">
        <v>0</v>
      </c>
      <c r="AP256" s="193">
        <v>0</v>
      </c>
      <c r="AQ256" s="193">
        <v>1980000</v>
      </c>
      <c r="AR256" s="193">
        <v>0</v>
      </c>
      <c r="AS256" s="193">
        <v>0</v>
      </c>
      <c r="AT256" s="193">
        <v>0</v>
      </c>
      <c r="AU256" s="193">
        <v>1440000</v>
      </c>
      <c r="AV256" s="193">
        <v>0</v>
      </c>
      <c r="AW256" s="193">
        <v>0</v>
      </c>
      <c r="AX256" s="193">
        <v>0</v>
      </c>
      <c r="AY256" s="193">
        <v>0</v>
      </c>
      <c r="AZ256" s="193">
        <v>0</v>
      </c>
      <c r="BA256" s="193">
        <v>0</v>
      </c>
      <c r="BB256" s="193">
        <v>0</v>
      </c>
      <c r="BC256" s="193">
        <v>5940000</v>
      </c>
      <c r="BD256" s="193">
        <v>5940000</v>
      </c>
    </row>
    <row r="257" spans="1:56" s="229" customFormat="1">
      <c r="A257" s="189">
        <v>-13</v>
      </c>
      <c r="B257" s="231" t="s">
        <v>887</v>
      </c>
      <c r="C257" s="191">
        <v>225000</v>
      </c>
      <c r="D257" s="192">
        <v>0</v>
      </c>
      <c r="E257" s="192">
        <v>0</v>
      </c>
      <c r="F257" s="192">
        <v>0</v>
      </c>
      <c r="G257" s="192">
        <v>0</v>
      </c>
      <c r="H257" s="192">
        <v>0</v>
      </c>
      <c r="I257" s="192">
        <v>0</v>
      </c>
      <c r="J257" s="192">
        <v>0</v>
      </c>
      <c r="K257" s="192">
        <v>0</v>
      </c>
      <c r="L257" s="192">
        <v>0</v>
      </c>
      <c r="M257" s="192">
        <v>0</v>
      </c>
      <c r="N257" s="192">
        <v>0</v>
      </c>
      <c r="O257" s="192">
        <v>0</v>
      </c>
      <c r="P257" s="192">
        <v>0</v>
      </c>
      <c r="Q257" s="192">
        <v>0</v>
      </c>
      <c r="R257" s="192">
        <v>0</v>
      </c>
      <c r="S257" s="192">
        <v>2</v>
      </c>
      <c r="T257" s="192">
        <v>0</v>
      </c>
      <c r="U257" s="192">
        <v>0</v>
      </c>
      <c r="V257" s="192">
        <v>0</v>
      </c>
      <c r="W257" s="192">
        <v>0</v>
      </c>
      <c r="X257" s="192">
        <v>0</v>
      </c>
      <c r="Y257" s="192">
        <v>0</v>
      </c>
      <c r="Z257" s="192">
        <v>0</v>
      </c>
      <c r="AA257" s="192">
        <v>0</v>
      </c>
      <c r="AB257" s="192">
        <v>0</v>
      </c>
      <c r="AC257" s="192">
        <v>2</v>
      </c>
      <c r="AD257" s="193">
        <v>0</v>
      </c>
      <c r="AE257" s="193">
        <v>0</v>
      </c>
      <c r="AF257" s="193">
        <v>0</v>
      </c>
      <c r="AG257" s="193">
        <v>0</v>
      </c>
      <c r="AH257" s="193">
        <v>0</v>
      </c>
      <c r="AI257" s="193">
        <v>0</v>
      </c>
      <c r="AJ257" s="193">
        <v>0</v>
      </c>
      <c r="AK257" s="193">
        <v>0</v>
      </c>
      <c r="AL257" s="193">
        <v>0</v>
      </c>
      <c r="AM257" s="193">
        <v>0</v>
      </c>
      <c r="AN257" s="193">
        <v>0</v>
      </c>
      <c r="AO257" s="193">
        <v>0</v>
      </c>
      <c r="AP257" s="193">
        <v>0</v>
      </c>
      <c r="AQ257" s="193">
        <v>0</v>
      </c>
      <c r="AR257" s="193">
        <v>0</v>
      </c>
      <c r="AS257" s="193">
        <v>450000</v>
      </c>
      <c r="AT257" s="193">
        <v>0</v>
      </c>
      <c r="AU257" s="193">
        <v>0</v>
      </c>
      <c r="AV257" s="193">
        <v>0</v>
      </c>
      <c r="AW257" s="193">
        <v>0</v>
      </c>
      <c r="AX257" s="193">
        <v>0</v>
      </c>
      <c r="AY257" s="193">
        <v>0</v>
      </c>
      <c r="AZ257" s="193">
        <v>0</v>
      </c>
      <c r="BA257" s="193">
        <v>0</v>
      </c>
      <c r="BB257" s="193">
        <v>0</v>
      </c>
      <c r="BC257" s="193">
        <v>450000</v>
      </c>
      <c r="BD257" s="193">
        <v>450000</v>
      </c>
    </row>
    <row r="258" spans="1:56" s="229" customFormat="1">
      <c r="A258" s="189">
        <v>-14</v>
      </c>
      <c r="B258" s="231" t="s">
        <v>1026</v>
      </c>
      <c r="C258" s="191">
        <v>280000</v>
      </c>
      <c r="D258" s="192">
        <v>0</v>
      </c>
      <c r="E258" s="192">
        <v>0</v>
      </c>
      <c r="F258" s="192">
        <v>0</v>
      </c>
      <c r="G258" s="192">
        <v>0</v>
      </c>
      <c r="H258" s="192">
        <v>0</v>
      </c>
      <c r="I258" s="192">
        <v>0</v>
      </c>
      <c r="J258" s="192">
        <v>0</v>
      </c>
      <c r="K258" s="192">
        <v>0</v>
      </c>
      <c r="L258" s="192">
        <v>0</v>
      </c>
      <c r="M258" s="192">
        <v>0</v>
      </c>
      <c r="N258" s="192">
        <v>0</v>
      </c>
      <c r="O258" s="192">
        <v>0</v>
      </c>
      <c r="P258" s="192">
        <v>0</v>
      </c>
      <c r="Q258" s="192">
        <v>0</v>
      </c>
      <c r="R258" s="192">
        <v>0</v>
      </c>
      <c r="S258" s="192">
        <v>0</v>
      </c>
      <c r="T258" s="192">
        <v>0</v>
      </c>
      <c r="U258" s="192">
        <v>3</v>
      </c>
      <c r="V258" s="192">
        <v>0</v>
      </c>
      <c r="W258" s="192">
        <v>0</v>
      </c>
      <c r="X258" s="192">
        <v>0</v>
      </c>
      <c r="Y258" s="192">
        <v>0</v>
      </c>
      <c r="Z258" s="192">
        <v>0</v>
      </c>
      <c r="AA258" s="192">
        <v>0</v>
      </c>
      <c r="AB258" s="192">
        <v>0</v>
      </c>
      <c r="AC258" s="192">
        <v>3</v>
      </c>
      <c r="AD258" s="193">
        <v>0</v>
      </c>
      <c r="AE258" s="193">
        <v>0</v>
      </c>
      <c r="AF258" s="193">
        <v>0</v>
      </c>
      <c r="AG258" s="193">
        <v>0</v>
      </c>
      <c r="AH258" s="193">
        <v>0</v>
      </c>
      <c r="AI258" s="193">
        <v>0</v>
      </c>
      <c r="AJ258" s="193">
        <v>0</v>
      </c>
      <c r="AK258" s="193">
        <v>0</v>
      </c>
      <c r="AL258" s="193">
        <v>0</v>
      </c>
      <c r="AM258" s="193">
        <v>0</v>
      </c>
      <c r="AN258" s="193">
        <v>0</v>
      </c>
      <c r="AO258" s="193">
        <v>0</v>
      </c>
      <c r="AP258" s="193">
        <v>0</v>
      </c>
      <c r="AQ258" s="193">
        <v>0</v>
      </c>
      <c r="AR258" s="193">
        <v>0</v>
      </c>
      <c r="AS258" s="193">
        <v>0</v>
      </c>
      <c r="AT258" s="193">
        <v>0</v>
      </c>
      <c r="AU258" s="193">
        <v>840000</v>
      </c>
      <c r="AV258" s="193">
        <v>0</v>
      </c>
      <c r="AW258" s="193">
        <v>0</v>
      </c>
      <c r="AX258" s="193">
        <v>0</v>
      </c>
      <c r="AY258" s="193">
        <v>0</v>
      </c>
      <c r="AZ258" s="193">
        <v>0</v>
      </c>
      <c r="BA258" s="193">
        <v>0</v>
      </c>
      <c r="BB258" s="193">
        <v>0</v>
      </c>
      <c r="BC258" s="193">
        <v>840000</v>
      </c>
      <c r="BD258" s="193">
        <v>840000</v>
      </c>
    </row>
    <row r="259" spans="1:56" s="229" customFormat="1">
      <c r="A259" s="189">
        <v>-15</v>
      </c>
      <c r="B259" s="199" t="s">
        <v>853</v>
      </c>
      <c r="C259" s="191">
        <v>300000</v>
      </c>
      <c r="D259" s="192">
        <v>0</v>
      </c>
      <c r="E259" s="192">
        <v>0</v>
      </c>
      <c r="F259" s="192">
        <v>0</v>
      </c>
      <c r="G259" s="192">
        <v>0</v>
      </c>
      <c r="H259" s="192">
        <v>0</v>
      </c>
      <c r="I259" s="192">
        <v>0</v>
      </c>
      <c r="J259" s="192">
        <v>0</v>
      </c>
      <c r="K259" s="192">
        <v>0</v>
      </c>
      <c r="L259" s="192">
        <v>0</v>
      </c>
      <c r="M259" s="192">
        <v>0</v>
      </c>
      <c r="N259" s="192">
        <v>0</v>
      </c>
      <c r="O259" s="192">
        <v>0</v>
      </c>
      <c r="P259" s="192">
        <v>0</v>
      </c>
      <c r="Q259" s="192">
        <v>0</v>
      </c>
      <c r="R259" s="192">
        <v>0</v>
      </c>
      <c r="S259" s="192">
        <v>0</v>
      </c>
      <c r="T259" s="192">
        <v>0</v>
      </c>
      <c r="U259" s="192">
        <v>0</v>
      </c>
      <c r="V259" s="192">
        <v>0</v>
      </c>
      <c r="W259" s="192">
        <v>0</v>
      </c>
      <c r="X259" s="192">
        <v>0</v>
      </c>
      <c r="Y259" s="192">
        <v>0</v>
      </c>
      <c r="Z259" s="192">
        <v>0</v>
      </c>
      <c r="AA259" s="192">
        <v>0</v>
      </c>
      <c r="AB259" s="192">
        <v>0</v>
      </c>
      <c r="AC259" s="192">
        <v>0</v>
      </c>
      <c r="AD259" s="193">
        <v>0</v>
      </c>
      <c r="AE259" s="193">
        <v>0</v>
      </c>
      <c r="AF259" s="193">
        <v>0</v>
      </c>
      <c r="AG259" s="193">
        <v>0</v>
      </c>
      <c r="AH259" s="193">
        <v>0</v>
      </c>
      <c r="AI259" s="193">
        <v>0</v>
      </c>
      <c r="AJ259" s="193">
        <v>0</v>
      </c>
      <c r="AK259" s="193">
        <v>0</v>
      </c>
      <c r="AL259" s="193">
        <v>0</v>
      </c>
      <c r="AM259" s="193">
        <v>0</v>
      </c>
      <c r="AN259" s="193">
        <v>0</v>
      </c>
      <c r="AO259" s="193">
        <v>0</v>
      </c>
      <c r="AP259" s="193">
        <v>0</v>
      </c>
      <c r="AQ259" s="193">
        <v>0</v>
      </c>
      <c r="AR259" s="193">
        <v>0</v>
      </c>
      <c r="AS259" s="193">
        <v>0</v>
      </c>
      <c r="AT259" s="193">
        <v>0</v>
      </c>
      <c r="AU259" s="193">
        <v>0</v>
      </c>
      <c r="AV259" s="193">
        <v>0</v>
      </c>
      <c r="AW259" s="193">
        <v>0</v>
      </c>
      <c r="AX259" s="193">
        <v>0</v>
      </c>
      <c r="AY259" s="193">
        <v>0</v>
      </c>
      <c r="AZ259" s="193">
        <v>0</v>
      </c>
      <c r="BA259" s="193">
        <v>0</v>
      </c>
      <c r="BB259" s="193">
        <v>0</v>
      </c>
      <c r="BC259" s="193">
        <v>0</v>
      </c>
      <c r="BD259" s="193">
        <v>0</v>
      </c>
    </row>
    <row r="260" spans="1:56" s="229" customFormat="1">
      <c r="A260" s="189">
        <v>-16</v>
      </c>
      <c r="B260" s="199" t="s">
        <v>1027</v>
      </c>
      <c r="C260" s="191">
        <v>310000</v>
      </c>
      <c r="D260" s="192">
        <v>0</v>
      </c>
      <c r="E260" s="192">
        <v>0</v>
      </c>
      <c r="F260" s="192">
        <v>0</v>
      </c>
      <c r="G260" s="192">
        <v>0</v>
      </c>
      <c r="H260" s="192">
        <v>0</v>
      </c>
      <c r="I260" s="192">
        <v>0</v>
      </c>
      <c r="J260" s="192">
        <v>0</v>
      </c>
      <c r="K260" s="192">
        <v>0</v>
      </c>
      <c r="L260" s="192">
        <v>0</v>
      </c>
      <c r="M260" s="192">
        <v>2</v>
      </c>
      <c r="N260" s="192">
        <v>0</v>
      </c>
      <c r="O260" s="192">
        <v>0</v>
      </c>
      <c r="P260" s="192">
        <v>0</v>
      </c>
      <c r="Q260" s="192">
        <v>0</v>
      </c>
      <c r="R260" s="192">
        <v>0</v>
      </c>
      <c r="S260" s="192">
        <v>0</v>
      </c>
      <c r="T260" s="192">
        <v>0</v>
      </c>
      <c r="U260" s="192">
        <v>0</v>
      </c>
      <c r="V260" s="192">
        <v>0</v>
      </c>
      <c r="W260" s="192">
        <v>0</v>
      </c>
      <c r="X260" s="192">
        <v>0</v>
      </c>
      <c r="Y260" s="192">
        <v>0</v>
      </c>
      <c r="Z260" s="192">
        <v>0</v>
      </c>
      <c r="AA260" s="192">
        <v>0</v>
      </c>
      <c r="AB260" s="192">
        <v>0</v>
      </c>
      <c r="AC260" s="192">
        <v>2</v>
      </c>
      <c r="AD260" s="193">
        <v>0</v>
      </c>
      <c r="AE260" s="193">
        <v>0</v>
      </c>
      <c r="AF260" s="193">
        <v>0</v>
      </c>
      <c r="AG260" s="193">
        <v>0</v>
      </c>
      <c r="AH260" s="193">
        <v>0</v>
      </c>
      <c r="AI260" s="193">
        <v>0</v>
      </c>
      <c r="AJ260" s="193">
        <v>0</v>
      </c>
      <c r="AK260" s="193">
        <v>0</v>
      </c>
      <c r="AL260" s="193">
        <v>0</v>
      </c>
      <c r="AM260" s="193">
        <v>620000</v>
      </c>
      <c r="AN260" s="193">
        <v>0</v>
      </c>
      <c r="AO260" s="193">
        <v>0</v>
      </c>
      <c r="AP260" s="193">
        <v>0</v>
      </c>
      <c r="AQ260" s="193">
        <v>0</v>
      </c>
      <c r="AR260" s="193">
        <v>0</v>
      </c>
      <c r="AS260" s="193">
        <v>0</v>
      </c>
      <c r="AT260" s="193">
        <v>0</v>
      </c>
      <c r="AU260" s="193">
        <v>0</v>
      </c>
      <c r="AV260" s="193">
        <v>0</v>
      </c>
      <c r="AW260" s="193">
        <v>0</v>
      </c>
      <c r="AX260" s="193">
        <v>0</v>
      </c>
      <c r="AY260" s="193">
        <v>0</v>
      </c>
      <c r="AZ260" s="193">
        <v>0</v>
      </c>
      <c r="BA260" s="193">
        <v>0</v>
      </c>
      <c r="BB260" s="193">
        <v>0</v>
      </c>
      <c r="BC260" s="193">
        <v>620000</v>
      </c>
      <c r="BD260" s="193">
        <v>620000</v>
      </c>
    </row>
    <row r="261" spans="1:56">
      <c r="A261" s="196"/>
      <c r="B261" s="190" t="s">
        <v>1028</v>
      </c>
      <c r="C261" s="196"/>
      <c r="D261" s="192">
        <v>0</v>
      </c>
      <c r="E261" s="192">
        <v>14</v>
      </c>
      <c r="F261" s="192">
        <v>0</v>
      </c>
      <c r="G261" s="192">
        <v>3</v>
      </c>
      <c r="H261" s="192">
        <v>0</v>
      </c>
      <c r="I261" s="192">
        <v>0</v>
      </c>
      <c r="J261" s="192">
        <v>0</v>
      </c>
      <c r="K261" s="192">
        <v>0</v>
      </c>
      <c r="L261" s="192">
        <v>0</v>
      </c>
      <c r="M261" s="192">
        <v>33</v>
      </c>
      <c r="N261" s="192">
        <v>0</v>
      </c>
      <c r="O261" s="192">
        <v>0</v>
      </c>
      <c r="P261" s="192">
        <v>0</v>
      </c>
      <c r="Q261" s="192">
        <v>11</v>
      </c>
      <c r="R261" s="192">
        <v>0</v>
      </c>
      <c r="S261" s="192">
        <v>2</v>
      </c>
      <c r="T261" s="192">
        <v>0</v>
      </c>
      <c r="U261" s="192">
        <v>30</v>
      </c>
      <c r="V261" s="192">
        <v>0</v>
      </c>
      <c r="W261" s="192">
        <v>0</v>
      </c>
      <c r="X261" s="192">
        <v>0</v>
      </c>
      <c r="Y261" s="192">
        <v>0</v>
      </c>
      <c r="Z261" s="192">
        <v>0</v>
      </c>
      <c r="AA261" s="192">
        <v>6</v>
      </c>
      <c r="AB261" s="192">
        <v>0</v>
      </c>
      <c r="AC261" s="192">
        <v>99</v>
      </c>
      <c r="AD261" s="193">
        <v>0</v>
      </c>
      <c r="AE261" s="193">
        <v>5850000</v>
      </c>
      <c r="AF261" s="193">
        <v>0</v>
      </c>
      <c r="AG261" s="193">
        <v>2100000</v>
      </c>
      <c r="AH261" s="193">
        <v>0</v>
      </c>
      <c r="AI261" s="193">
        <v>0</v>
      </c>
      <c r="AJ261" s="193">
        <v>0</v>
      </c>
      <c r="AK261" s="193">
        <v>0</v>
      </c>
      <c r="AL261" s="193">
        <v>0</v>
      </c>
      <c r="AM261" s="193">
        <v>14420000</v>
      </c>
      <c r="AN261" s="193">
        <v>0</v>
      </c>
      <c r="AO261" s="193">
        <v>0</v>
      </c>
      <c r="AP261" s="193">
        <v>0</v>
      </c>
      <c r="AQ261" s="193">
        <v>1980000</v>
      </c>
      <c r="AR261" s="193">
        <v>0</v>
      </c>
      <c r="AS261" s="193">
        <v>450000</v>
      </c>
      <c r="AT261" s="193">
        <v>0</v>
      </c>
      <c r="AU261" s="193">
        <v>13250000</v>
      </c>
      <c r="AV261" s="193">
        <v>0</v>
      </c>
      <c r="AW261" s="193">
        <v>0</v>
      </c>
      <c r="AX261" s="193">
        <v>0</v>
      </c>
      <c r="AY261" s="193">
        <v>0</v>
      </c>
      <c r="AZ261" s="193">
        <v>0</v>
      </c>
      <c r="BA261" s="193">
        <v>4040000</v>
      </c>
      <c r="BB261" s="193">
        <v>0</v>
      </c>
      <c r="BC261" s="193">
        <v>42090000</v>
      </c>
      <c r="BD261" s="193">
        <v>42090000</v>
      </c>
    </row>
    <row r="262" spans="1:56" ht="16.5" thickBot="1">
      <c r="A262" s="789" t="s">
        <v>289</v>
      </c>
      <c r="B262" s="790"/>
      <c r="C262" s="592"/>
      <c r="D262" s="217">
        <v>177</v>
      </c>
      <c r="E262" s="217">
        <v>24</v>
      </c>
      <c r="F262" s="217">
        <v>40</v>
      </c>
      <c r="G262" s="217">
        <v>9</v>
      </c>
      <c r="H262" s="217">
        <v>24</v>
      </c>
      <c r="I262" s="217">
        <v>2</v>
      </c>
      <c r="J262" s="217">
        <v>45</v>
      </c>
      <c r="K262" s="217">
        <v>3</v>
      </c>
      <c r="L262" s="217">
        <v>23</v>
      </c>
      <c r="M262" s="217">
        <v>34</v>
      </c>
      <c r="N262" s="217">
        <v>61</v>
      </c>
      <c r="O262" s="217">
        <v>20</v>
      </c>
      <c r="P262" s="217">
        <v>30</v>
      </c>
      <c r="Q262" s="217">
        <v>29</v>
      </c>
      <c r="R262" s="217">
        <v>50</v>
      </c>
      <c r="S262" s="217">
        <v>33</v>
      </c>
      <c r="T262" s="217">
        <v>37</v>
      </c>
      <c r="U262" s="217">
        <v>38</v>
      </c>
      <c r="V262" s="217">
        <v>9</v>
      </c>
      <c r="W262" s="217">
        <v>4</v>
      </c>
      <c r="X262" s="217">
        <v>23</v>
      </c>
      <c r="Y262" s="217">
        <v>2</v>
      </c>
      <c r="Z262" s="217">
        <v>66</v>
      </c>
      <c r="AA262" s="217">
        <v>21</v>
      </c>
      <c r="AB262" s="217">
        <v>582</v>
      </c>
      <c r="AC262" s="217">
        <v>219</v>
      </c>
      <c r="AD262" s="218">
        <v>82565000</v>
      </c>
      <c r="AE262" s="218">
        <v>9135000</v>
      </c>
      <c r="AF262" s="218">
        <v>11395000</v>
      </c>
      <c r="AG262" s="218">
        <v>3555000</v>
      </c>
      <c r="AH262" s="218">
        <v>13740000</v>
      </c>
      <c r="AI262" s="218">
        <v>580000</v>
      </c>
      <c r="AJ262" s="218">
        <v>18285000</v>
      </c>
      <c r="AK262" s="218">
        <v>950000</v>
      </c>
      <c r="AL262" s="218">
        <v>13850000</v>
      </c>
      <c r="AM262" s="218">
        <v>16670000</v>
      </c>
      <c r="AN262" s="218">
        <v>23465000</v>
      </c>
      <c r="AO262" s="218">
        <v>8555000</v>
      </c>
      <c r="AP262" s="218">
        <v>9940000</v>
      </c>
      <c r="AQ262" s="218">
        <v>8400000</v>
      </c>
      <c r="AR262" s="218">
        <v>30465000</v>
      </c>
      <c r="AS262" s="218">
        <v>13520000</v>
      </c>
      <c r="AT262" s="218">
        <v>27690000</v>
      </c>
      <c r="AU262" s="218">
        <v>15650000</v>
      </c>
      <c r="AV262" s="218">
        <v>4760000</v>
      </c>
      <c r="AW262" s="218">
        <v>1395000</v>
      </c>
      <c r="AX262" s="218">
        <v>10980000</v>
      </c>
      <c r="AY262" s="218">
        <v>360000</v>
      </c>
      <c r="AZ262" s="218">
        <v>22905000</v>
      </c>
      <c r="BA262" s="218">
        <v>10160000</v>
      </c>
      <c r="BB262" s="218">
        <v>270040000</v>
      </c>
      <c r="BC262" s="218">
        <v>88930000</v>
      </c>
      <c r="BD262" s="218">
        <v>358970000</v>
      </c>
    </row>
    <row r="263" spans="1:56" ht="16.5" thickTop="1"/>
    <row r="264" spans="1:56">
      <c r="AC264" s="259"/>
    </row>
  </sheetData>
  <sheetProtection formatCells="0" formatColumns="0" formatRows="0" insertColumns="0" insertRows="0" insertHyperlinks="0" deleteColumns="0" deleteRows="0" sort="0" autoFilter="0" pivotTables="0"/>
  <mergeCells count="35">
    <mergeCell ref="AV4:AW4"/>
    <mergeCell ref="AX4:AY4"/>
    <mergeCell ref="T4:U4"/>
    <mergeCell ref="V4:W4"/>
    <mergeCell ref="X4:Y4"/>
    <mergeCell ref="Z4:AA4"/>
    <mergeCell ref="AB4:AC4"/>
    <mergeCell ref="AD4:AE4"/>
    <mergeCell ref="AL4:AM4"/>
    <mergeCell ref="AN4:AO4"/>
    <mergeCell ref="AP4:AQ4"/>
    <mergeCell ref="A262:B262"/>
    <mergeCell ref="AR4:AS4"/>
    <mergeCell ref="H4:I4"/>
    <mergeCell ref="J4:K4"/>
    <mergeCell ref="L4:M4"/>
    <mergeCell ref="N4:O4"/>
    <mergeCell ref="P4:Q4"/>
    <mergeCell ref="R4:S4"/>
    <mergeCell ref="A1:BD1"/>
    <mergeCell ref="A2:BD2"/>
    <mergeCell ref="A3:A5"/>
    <mergeCell ref="B3:B5"/>
    <mergeCell ref="C3:C5"/>
    <mergeCell ref="D3:AC3"/>
    <mergeCell ref="AD3:BC3"/>
    <mergeCell ref="BD3:BD5"/>
    <mergeCell ref="D4:E4"/>
    <mergeCell ref="F4:G4"/>
    <mergeCell ref="AZ4:BA4"/>
    <mergeCell ref="BB4:BC4"/>
    <mergeCell ref="AF4:AG4"/>
    <mergeCell ref="AH4:AI4"/>
    <mergeCell ref="AJ4:AK4"/>
    <mergeCell ref="AT4:AU4"/>
  </mergeCells>
  <pageMargins left="0.25" right="0.17" top="0.23" bottom="0.22" header="0.17" footer="0.17"/>
  <pageSetup paperSize="8" scale="42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A779-4800-4E0A-BB09-0F6D00A5398E}">
  <sheetPr>
    <pageSetUpPr fitToPage="1"/>
  </sheetPr>
  <dimension ref="A2:AY37"/>
  <sheetViews>
    <sheetView view="pageBreakPreview" zoomScale="60" zoomScaleNormal="100" workbookViewId="0">
      <pane xSplit="2" topLeftCell="C1" activePane="topRight" state="frozen"/>
      <selection pane="topRight" activeCell="A18" sqref="A18"/>
    </sheetView>
  </sheetViews>
  <sheetFormatPr defaultRowHeight="21"/>
  <cols>
    <col min="1" max="1" width="3.7109375" style="244" customWidth="1"/>
    <col min="2" max="2" width="45.5703125" style="240" customWidth="1"/>
    <col min="3" max="26" width="6" style="240" bestFit="1" customWidth="1"/>
    <col min="27" max="27" width="7" style="240" bestFit="1" customWidth="1"/>
    <col min="28" max="29" width="7" style="240" customWidth="1"/>
    <col min="30" max="30" width="7" style="240" bestFit="1" customWidth="1"/>
    <col min="31" max="31" width="8.7109375" style="240" customWidth="1"/>
    <col min="32" max="33" width="14.5703125" style="240" bestFit="1" customWidth="1"/>
    <col min="34" max="34" width="5.85546875" style="240" customWidth="1"/>
    <col min="35" max="35" width="43.7109375" style="240" customWidth="1"/>
    <col min="36" max="36" width="9.28515625" style="240" bestFit="1" customWidth="1"/>
    <col min="37" max="37" width="12.28515625" style="240" bestFit="1" customWidth="1"/>
    <col min="38" max="38" width="19.42578125" style="240" bestFit="1" customWidth="1"/>
    <col min="39" max="39" width="11.140625" style="241" customWidth="1"/>
    <col min="40" max="47" width="9.140625" style="240"/>
    <col min="48" max="48" width="9.5703125" style="240" bestFit="1" customWidth="1"/>
    <col min="49" max="50" width="9.140625" style="240"/>
    <col min="51" max="51" width="12.42578125" style="240" customWidth="1"/>
    <col min="52" max="16384" width="9.140625" style="240"/>
  </cols>
  <sheetData>
    <row r="2" spans="1:51" ht="21" customHeight="1">
      <c r="A2" s="795" t="s">
        <v>1101</v>
      </c>
      <c r="B2" s="795"/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  <c r="N2" s="795"/>
      <c r="O2" s="795"/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795"/>
      <c r="AB2" s="795"/>
      <c r="AC2" s="795"/>
      <c r="AD2" s="795"/>
      <c r="AE2" s="795"/>
      <c r="AF2" s="795"/>
      <c r="AG2" s="795"/>
    </row>
    <row r="3" spans="1:51" ht="21" customHeight="1">
      <c r="A3" s="796"/>
      <c r="B3" s="796"/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796"/>
      <c r="O3" s="796"/>
      <c r="P3" s="796"/>
      <c r="Q3" s="796"/>
      <c r="R3" s="796"/>
      <c r="S3" s="796"/>
      <c r="T3" s="796"/>
      <c r="U3" s="796"/>
      <c r="V3" s="796"/>
      <c r="W3" s="796"/>
      <c r="X3" s="796"/>
      <c r="Y3" s="796"/>
      <c r="Z3" s="796"/>
      <c r="AA3" s="796"/>
      <c r="AB3" s="796"/>
      <c r="AC3" s="796"/>
      <c r="AD3" s="796"/>
      <c r="AE3" s="796"/>
      <c r="AF3" s="796"/>
      <c r="AG3" s="796"/>
    </row>
    <row r="4" spans="1:51">
      <c r="A4" s="797" t="s">
        <v>56</v>
      </c>
      <c r="B4" s="794" t="s">
        <v>1102</v>
      </c>
      <c r="C4" s="799" t="s">
        <v>794</v>
      </c>
      <c r="D4" s="799"/>
      <c r="E4" s="799" t="s">
        <v>795</v>
      </c>
      <c r="F4" s="799"/>
      <c r="G4" s="799" t="s">
        <v>796</v>
      </c>
      <c r="H4" s="799"/>
      <c r="I4" s="799" t="s">
        <v>797</v>
      </c>
      <c r="J4" s="799"/>
      <c r="K4" s="799" t="s">
        <v>798</v>
      </c>
      <c r="L4" s="799"/>
      <c r="M4" s="799" t="s">
        <v>799</v>
      </c>
      <c r="N4" s="799"/>
      <c r="O4" s="799" t="s">
        <v>800</v>
      </c>
      <c r="P4" s="799"/>
      <c r="Q4" s="799" t="s">
        <v>801</v>
      </c>
      <c r="R4" s="799"/>
      <c r="S4" s="799" t="s">
        <v>802</v>
      </c>
      <c r="T4" s="799"/>
      <c r="U4" s="799" t="s">
        <v>803</v>
      </c>
      <c r="V4" s="799"/>
      <c r="W4" s="799" t="s">
        <v>804</v>
      </c>
      <c r="X4" s="799"/>
      <c r="Y4" s="799" t="s">
        <v>805</v>
      </c>
      <c r="Z4" s="799"/>
      <c r="AA4" s="794" t="s">
        <v>829</v>
      </c>
      <c r="AB4" s="797" t="s">
        <v>821</v>
      </c>
      <c r="AC4" s="797" t="s">
        <v>822</v>
      </c>
      <c r="AD4" s="794" t="s">
        <v>810</v>
      </c>
      <c r="AE4" s="802" t="s">
        <v>1103</v>
      </c>
      <c r="AF4" s="802" t="s">
        <v>1104</v>
      </c>
      <c r="AG4" s="802" t="s">
        <v>1105</v>
      </c>
      <c r="AI4" s="800" t="s">
        <v>1106</v>
      </c>
      <c r="AJ4" s="800"/>
      <c r="AK4" s="800"/>
      <c r="AL4" s="800"/>
      <c r="AM4" s="800"/>
      <c r="AN4" s="800"/>
      <c r="AO4" s="800"/>
      <c r="AP4" s="800"/>
      <c r="AQ4" s="800"/>
      <c r="AR4" s="800"/>
      <c r="AS4" s="800"/>
    </row>
    <row r="5" spans="1:51">
      <c r="A5" s="798"/>
      <c r="B5" s="794"/>
      <c r="C5" s="469" t="s">
        <v>831</v>
      </c>
      <c r="D5" s="469" t="s">
        <v>832</v>
      </c>
      <c r="E5" s="469" t="s">
        <v>831</v>
      </c>
      <c r="F5" s="469" t="s">
        <v>832</v>
      </c>
      <c r="G5" s="469" t="s">
        <v>831</v>
      </c>
      <c r="H5" s="469" t="s">
        <v>832</v>
      </c>
      <c r="I5" s="469" t="s">
        <v>831</v>
      </c>
      <c r="J5" s="469" t="s">
        <v>832</v>
      </c>
      <c r="K5" s="469" t="s">
        <v>831</v>
      </c>
      <c r="L5" s="469" t="s">
        <v>832</v>
      </c>
      <c r="M5" s="469" t="s">
        <v>831</v>
      </c>
      <c r="N5" s="469" t="s">
        <v>832</v>
      </c>
      <c r="O5" s="469" t="s">
        <v>831</v>
      </c>
      <c r="P5" s="469" t="s">
        <v>832</v>
      </c>
      <c r="Q5" s="469" t="s">
        <v>831</v>
      </c>
      <c r="R5" s="469" t="s">
        <v>832</v>
      </c>
      <c r="S5" s="469" t="s">
        <v>831</v>
      </c>
      <c r="T5" s="469" t="s">
        <v>832</v>
      </c>
      <c r="U5" s="469" t="s">
        <v>831</v>
      </c>
      <c r="V5" s="469" t="s">
        <v>832</v>
      </c>
      <c r="W5" s="469" t="s">
        <v>831</v>
      </c>
      <c r="X5" s="469" t="s">
        <v>832</v>
      </c>
      <c r="Y5" s="469" t="s">
        <v>831</v>
      </c>
      <c r="Z5" s="469" t="s">
        <v>832</v>
      </c>
      <c r="AA5" s="794"/>
      <c r="AB5" s="798"/>
      <c r="AC5" s="798"/>
      <c r="AD5" s="794"/>
      <c r="AE5" s="794"/>
      <c r="AF5" s="794"/>
      <c r="AG5" s="794"/>
      <c r="AI5" s="470" t="s">
        <v>1102</v>
      </c>
      <c r="AJ5" s="470" t="s">
        <v>645</v>
      </c>
      <c r="AK5" s="470" t="s">
        <v>1107</v>
      </c>
      <c r="AL5" s="470" t="s">
        <v>1108</v>
      </c>
      <c r="AM5" s="470" t="s">
        <v>1109</v>
      </c>
      <c r="AN5" s="471" t="s">
        <v>1110</v>
      </c>
      <c r="AO5" s="471" t="s">
        <v>1111</v>
      </c>
      <c r="AP5" s="471" t="s">
        <v>1112</v>
      </c>
      <c r="AQ5" s="471" t="s">
        <v>1113</v>
      </c>
      <c r="AR5" s="471" t="s">
        <v>1114</v>
      </c>
      <c r="AS5" s="471" t="s">
        <v>1115</v>
      </c>
    </row>
    <row r="6" spans="1:51">
      <c r="A6" s="472">
        <v>1</v>
      </c>
      <c r="B6" s="473" t="s">
        <v>1116</v>
      </c>
      <c r="C6" s="474">
        <v>0</v>
      </c>
      <c r="D6" s="474">
        <v>6</v>
      </c>
      <c r="E6" s="474">
        <v>0</v>
      </c>
      <c r="F6" s="474">
        <v>6</v>
      </c>
      <c r="G6" s="474">
        <v>0</v>
      </c>
      <c r="H6" s="474">
        <v>6</v>
      </c>
      <c r="I6" s="474">
        <v>0</v>
      </c>
      <c r="J6" s="474">
        <v>6</v>
      </c>
      <c r="K6" s="474">
        <v>0</v>
      </c>
      <c r="L6" s="474">
        <v>6</v>
      </c>
      <c r="M6" s="474">
        <v>0</v>
      </c>
      <c r="N6" s="474">
        <v>6</v>
      </c>
      <c r="O6" s="474">
        <v>0</v>
      </c>
      <c r="P6" s="474">
        <v>6</v>
      </c>
      <c r="Q6" s="474">
        <v>0</v>
      </c>
      <c r="R6" s="474">
        <v>6</v>
      </c>
      <c r="S6" s="474">
        <v>0</v>
      </c>
      <c r="T6" s="474">
        <v>6</v>
      </c>
      <c r="U6" s="474">
        <v>0</v>
      </c>
      <c r="V6" s="474">
        <v>6</v>
      </c>
      <c r="W6" s="474">
        <v>0</v>
      </c>
      <c r="X6" s="474">
        <v>6</v>
      </c>
      <c r="Y6" s="474">
        <v>0</v>
      </c>
      <c r="Z6" s="474">
        <v>6</v>
      </c>
      <c r="AA6" s="474">
        <v>0</v>
      </c>
      <c r="AB6" s="474">
        <v>0</v>
      </c>
      <c r="AC6" s="474">
        <v>0</v>
      </c>
      <c r="AD6" s="474">
        <v>0</v>
      </c>
      <c r="AE6" s="475">
        <v>72</v>
      </c>
      <c r="AF6" s="475">
        <v>1920000</v>
      </c>
      <c r="AG6" s="475">
        <v>138240000</v>
      </c>
      <c r="AI6" s="473" t="s">
        <v>1116</v>
      </c>
      <c r="AJ6" s="476" t="s">
        <v>1117</v>
      </c>
      <c r="AK6" s="477" t="s">
        <v>1118</v>
      </c>
      <c r="AL6" s="478" t="s">
        <v>1119</v>
      </c>
      <c r="AM6" s="476">
        <v>180</v>
      </c>
      <c r="AN6" s="479" t="s">
        <v>1120</v>
      </c>
      <c r="AO6" s="479" t="s">
        <v>1121</v>
      </c>
      <c r="AP6" s="479" t="s">
        <v>1122</v>
      </c>
      <c r="AQ6" s="479" t="s">
        <v>1123</v>
      </c>
      <c r="AR6" s="479" t="s">
        <v>1124</v>
      </c>
      <c r="AS6" s="479" t="s">
        <v>1125</v>
      </c>
      <c r="AV6" s="242">
        <v>45658</v>
      </c>
      <c r="AW6" s="240">
        <v>180</v>
      </c>
      <c r="AX6" s="243">
        <v>180</v>
      </c>
      <c r="AY6" s="242">
        <v>46018</v>
      </c>
    </row>
    <row r="7" spans="1:51">
      <c r="A7" s="472">
        <v>2</v>
      </c>
      <c r="B7" s="473" t="s">
        <v>1126</v>
      </c>
      <c r="C7" s="474">
        <v>0</v>
      </c>
      <c r="D7" s="474">
        <v>5</v>
      </c>
      <c r="E7" s="474">
        <v>0</v>
      </c>
      <c r="F7" s="474">
        <v>6</v>
      </c>
      <c r="G7" s="474">
        <v>0</v>
      </c>
      <c r="H7" s="474">
        <v>5</v>
      </c>
      <c r="I7" s="474">
        <v>0</v>
      </c>
      <c r="J7" s="474">
        <v>4</v>
      </c>
      <c r="K7" s="474">
        <v>0</v>
      </c>
      <c r="L7" s="474">
        <v>3</v>
      </c>
      <c r="M7" s="474">
        <v>0</v>
      </c>
      <c r="N7" s="474">
        <v>4</v>
      </c>
      <c r="O7" s="474">
        <v>0</v>
      </c>
      <c r="P7" s="474">
        <v>7</v>
      </c>
      <c r="Q7" s="474">
        <v>0</v>
      </c>
      <c r="R7" s="474">
        <v>7</v>
      </c>
      <c r="S7" s="474">
        <v>0</v>
      </c>
      <c r="T7" s="474">
        <v>4</v>
      </c>
      <c r="U7" s="474">
        <v>0</v>
      </c>
      <c r="V7" s="474">
        <v>3</v>
      </c>
      <c r="W7" s="474">
        <v>0</v>
      </c>
      <c r="X7" s="474">
        <v>7</v>
      </c>
      <c r="Y7" s="474">
        <v>0</v>
      </c>
      <c r="Z7" s="474">
        <v>5</v>
      </c>
      <c r="AA7" s="474">
        <v>4</v>
      </c>
      <c r="AB7" s="474">
        <v>0</v>
      </c>
      <c r="AC7" s="474">
        <v>0</v>
      </c>
      <c r="AD7" s="474">
        <v>0</v>
      </c>
      <c r="AE7" s="475">
        <v>64</v>
      </c>
      <c r="AF7" s="475">
        <v>4130000</v>
      </c>
      <c r="AG7" s="475">
        <v>264320000</v>
      </c>
      <c r="AI7" s="473" t="s">
        <v>1126</v>
      </c>
      <c r="AJ7" s="480" t="s">
        <v>1127</v>
      </c>
      <c r="AK7" s="477" t="s">
        <v>1128</v>
      </c>
      <c r="AL7" s="481" t="s">
        <v>1129</v>
      </c>
      <c r="AM7" s="476">
        <v>360</v>
      </c>
      <c r="AN7" s="479" t="s">
        <v>1130</v>
      </c>
      <c r="AO7" s="479" t="s">
        <v>1131</v>
      </c>
      <c r="AP7" s="479" t="s">
        <v>1132</v>
      </c>
      <c r="AQ7" s="479" t="s">
        <v>1133</v>
      </c>
      <c r="AR7" s="479" t="s">
        <v>1134</v>
      </c>
      <c r="AS7" s="479" t="s">
        <v>1135</v>
      </c>
      <c r="AV7" s="242">
        <v>45748</v>
      </c>
      <c r="AW7" s="240">
        <v>240</v>
      </c>
      <c r="AX7" s="240">
        <v>360</v>
      </c>
      <c r="AY7" s="242">
        <v>46348</v>
      </c>
    </row>
    <row r="8" spans="1:51">
      <c r="A8" s="472">
        <v>3</v>
      </c>
      <c r="B8" s="473" t="s">
        <v>1136</v>
      </c>
      <c r="C8" s="474">
        <v>0</v>
      </c>
      <c r="D8" s="474">
        <v>8</v>
      </c>
      <c r="E8" s="474">
        <v>0</v>
      </c>
      <c r="F8" s="474">
        <v>7</v>
      </c>
      <c r="G8" s="474">
        <v>0</v>
      </c>
      <c r="H8" s="474">
        <v>7</v>
      </c>
      <c r="I8" s="474">
        <v>0</v>
      </c>
      <c r="J8" s="474">
        <v>8</v>
      </c>
      <c r="K8" s="474">
        <v>0</v>
      </c>
      <c r="L8" s="474">
        <v>6</v>
      </c>
      <c r="M8" s="474">
        <v>0</v>
      </c>
      <c r="N8" s="474">
        <v>6</v>
      </c>
      <c r="O8" s="474">
        <v>0</v>
      </c>
      <c r="P8" s="474">
        <v>13</v>
      </c>
      <c r="Q8" s="474">
        <v>0</v>
      </c>
      <c r="R8" s="474">
        <v>6</v>
      </c>
      <c r="S8" s="474">
        <v>0</v>
      </c>
      <c r="T8" s="474">
        <v>7</v>
      </c>
      <c r="U8" s="474">
        <v>0</v>
      </c>
      <c r="V8" s="474">
        <v>6</v>
      </c>
      <c r="W8" s="474">
        <v>0</v>
      </c>
      <c r="X8" s="474">
        <v>11</v>
      </c>
      <c r="Y8" s="474">
        <v>0</v>
      </c>
      <c r="Z8" s="474">
        <v>5</v>
      </c>
      <c r="AA8" s="474">
        <v>0</v>
      </c>
      <c r="AB8" s="474">
        <v>0</v>
      </c>
      <c r="AC8" s="474">
        <v>0</v>
      </c>
      <c r="AD8" s="474">
        <v>0</v>
      </c>
      <c r="AE8" s="475">
        <v>90</v>
      </c>
      <c r="AF8" s="475">
        <v>2110000</v>
      </c>
      <c r="AG8" s="475">
        <v>189900000</v>
      </c>
      <c r="AI8" s="473" t="s">
        <v>1136</v>
      </c>
      <c r="AJ8" s="480" t="s">
        <v>1117</v>
      </c>
      <c r="AK8" s="477" t="s">
        <v>1118</v>
      </c>
      <c r="AL8" s="481" t="s">
        <v>1119</v>
      </c>
      <c r="AM8" s="476">
        <v>120</v>
      </c>
      <c r="AN8" s="479" t="s">
        <v>1137</v>
      </c>
      <c r="AO8" s="479" t="s">
        <v>1120</v>
      </c>
      <c r="AP8" s="479" t="s">
        <v>1121</v>
      </c>
      <c r="AQ8" s="479" t="s">
        <v>1138</v>
      </c>
      <c r="AR8" s="479" t="s">
        <v>1123</v>
      </c>
      <c r="AS8" s="479" t="s">
        <v>1139</v>
      </c>
      <c r="AV8" s="242">
        <v>45658</v>
      </c>
      <c r="AW8" s="240">
        <v>180</v>
      </c>
      <c r="AX8" s="240">
        <v>120</v>
      </c>
      <c r="AY8" s="242">
        <v>45958</v>
      </c>
    </row>
    <row r="9" spans="1:51">
      <c r="A9" s="472">
        <v>4</v>
      </c>
      <c r="B9" s="473" t="s">
        <v>1140</v>
      </c>
      <c r="C9" s="474">
        <v>0</v>
      </c>
      <c r="D9" s="474">
        <v>0</v>
      </c>
      <c r="E9" s="474">
        <v>0</v>
      </c>
      <c r="F9" s="474">
        <v>0</v>
      </c>
      <c r="G9" s="474">
        <v>0</v>
      </c>
      <c r="H9" s="474">
        <v>0</v>
      </c>
      <c r="I9" s="474">
        <v>0</v>
      </c>
      <c r="J9" s="474">
        <v>0</v>
      </c>
      <c r="K9" s="474">
        <v>0</v>
      </c>
      <c r="L9" s="474">
        <v>0</v>
      </c>
      <c r="M9" s="474">
        <v>0</v>
      </c>
      <c r="N9" s="474">
        <v>0</v>
      </c>
      <c r="O9" s="474">
        <v>0</v>
      </c>
      <c r="P9" s="474">
        <v>0</v>
      </c>
      <c r="Q9" s="474">
        <v>0</v>
      </c>
      <c r="R9" s="474">
        <v>0</v>
      </c>
      <c r="S9" s="474">
        <v>0</v>
      </c>
      <c r="T9" s="474">
        <v>0</v>
      </c>
      <c r="U9" s="474">
        <v>0</v>
      </c>
      <c r="V9" s="474">
        <v>0</v>
      </c>
      <c r="W9" s="474">
        <v>0</v>
      </c>
      <c r="X9" s="474">
        <v>0</v>
      </c>
      <c r="Y9" s="474">
        <v>0</v>
      </c>
      <c r="Z9" s="474">
        <v>0</v>
      </c>
      <c r="AA9" s="474">
        <v>15</v>
      </c>
      <c r="AB9" s="474">
        <v>0</v>
      </c>
      <c r="AC9" s="474">
        <v>0</v>
      </c>
      <c r="AD9" s="474">
        <v>0</v>
      </c>
      <c r="AE9" s="475">
        <v>15</v>
      </c>
      <c r="AF9" s="475">
        <v>11220000</v>
      </c>
      <c r="AG9" s="475">
        <v>168300000</v>
      </c>
      <c r="AI9" s="473" t="s">
        <v>1140</v>
      </c>
      <c r="AJ9" s="480" t="s">
        <v>1127</v>
      </c>
      <c r="AK9" s="477" t="s">
        <v>1128</v>
      </c>
      <c r="AL9" s="481" t="s">
        <v>1129</v>
      </c>
      <c r="AM9" s="476">
        <v>420</v>
      </c>
      <c r="AN9" s="479" t="s">
        <v>1131</v>
      </c>
      <c r="AO9" s="479"/>
      <c r="AP9" s="479"/>
      <c r="AQ9" s="479" t="s">
        <v>1134</v>
      </c>
      <c r="AR9" s="479"/>
      <c r="AS9" s="479"/>
      <c r="AV9" s="242">
        <v>45748</v>
      </c>
      <c r="AW9" s="240">
        <v>240</v>
      </c>
      <c r="AX9" s="240">
        <v>420</v>
      </c>
      <c r="AY9" s="242">
        <v>46408</v>
      </c>
    </row>
    <row r="10" spans="1:51">
      <c r="A10" s="472">
        <v>5</v>
      </c>
      <c r="B10" s="473" t="s">
        <v>1141</v>
      </c>
      <c r="C10" s="474">
        <v>0</v>
      </c>
      <c r="D10" s="474">
        <v>0</v>
      </c>
      <c r="E10" s="474">
        <v>0</v>
      </c>
      <c r="F10" s="474">
        <v>0</v>
      </c>
      <c r="G10" s="474">
        <v>0</v>
      </c>
      <c r="H10" s="474">
        <v>0</v>
      </c>
      <c r="I10" s="474">
        <v>0</v>
      </c>
      <c r="J10" s="474">
        <v>0</v>
      </c>
      <c r="K10" s="474">
        <v>0</v>
      </c>
      <c r="L10" s="474">
        <v>0</v>
      </c>
      <c r="M10" s="474">
        <v>0</v>
      </c>
      <c r="N10" s="474">
        <v>0</v>
      </c>
      <c r="O10" s="474">
        <v>0</v>
      </c>
      <c r="P10" s="474">
        <v>0</v>
      </c>
      <c r="Q10" s="474">
        <v>0</v>
      </c>
      <c r="R10" s="474">
        <v>0</v>
      </c>
      <c r="S10" s="474">
        <v>0</v>
      </c>
      <c r="T10" s="474">
        <v>0</v>
      </c>
      <c r="U10" s="474">
        <v>0</v>
      </c>
      <c r="V10" s="474">
        <v>0</v>
      </c>
      <c r="W10" s="474">
        <v>0</v>
      </c>
      <c r="X10" s="474">
        <v>0</v>
      </c>
      <c r="Y10" s="474">
        <v>0</v>
      </c>
      <c r="Z10" s="474">
        <v>0</v>
      </c>
      <c r="AA10" s="474">
        <v>6</v>
      </c>
      <c r="AB10" s="474">
        <v>0</v>
      </c>
      <c r="AC10" s="474">
        <v>0</v>
      </c>
      <c r="AD10" s="474">
        <v>0</v>
      </c>
      <c r="AE10" s="475">
        <v>6</v>
      </c>
      <c r="AF10" s="475">
        <v>2450000</v>
      </c>
      <c r="AG10" s="475">
        <v>14700000</v>
      </c>
      <c r="AI10" s="473" t="s">
        <v>1141</v>
      </c>
      <c r="AJ10" s="480" t="s">
        <v>1127</v>
      </c>
      <c r="AK10" s="477" t="s">
        <v>1118</v>
      </c>
      <c r="AL10" s="478" t="s">
        <v>1119</v>
      </c>
      <c r="AM10" s="476">
        <v>180</v>
      </c>
      <c r="AN10" s="479" t="s">
        <v>1120</v>
      </c>
      <c r="AO10" s="479"/>
      <c r="AP10" s="479"/>
      <c r="AQ10" s="479" t="s">
        <v>1123</v>
      </c>
      <c r="AR10" s="479"/>
      <c r="AS10" s="479"/>
      <c r="AV10" s="242">
        <v>45658</v>
      </c>
      <c r="AW10" s="240">
        <v>180</v>
      </c>
      <c r="AX10" s="240">
        <v>180</v>
      </c>
      <c r="AY10" s="242">
        <v>46018</v>
      </c>
    </row>
    <row r="11" spans="1:51">
      <c r="A11" s="472">
        <v>6</v>
      </c>
      <c r="B11" s="473" t="s">
        <v>1142</v>
      </c>
      <c r="C11" s="474">
        <v>0</v>
      </c>
      <c r="D11" s="474">
        <v>0</v>
      </c>
      <c r="E11" s="474">
        <v>0</v>
      </c>
      <c r="F11" s="474">
        <v>0</v>
      </c>
      <c r="G11" s="474">
        <v>0</v>
      </c>
      <c r="H11" s="474">
        <v>0</v>
      </c>
      <c r="I11" s="474">
        <v>0</v>
      </c>
      <c r="J11" s="474">
        <v>0</v>
      </c>
      <c r="K11" s="474">
        <v>0</v>
      </c>
      <c r="L11" s="474">
        <v>0</v>
      </c>
      <c r="M11" s="474">
        <v>0</v>
      </c>
      <c r="N11" s="474">
        <v>0</v>
      </c>
      <c r="O11" s="474">
        <v>0</v>
      </c>
      <c r="P11" s="474">
        <v>0</v>
      </c>
      <c r="Q11" s="474">
        <v>0</v>
      </c>
      <c r="R11" s="474">
        <v>0</v>
      </c>
      <c r="S11" s="474">
        <v>0</v>
      </c>
      <c r="T11" s="474">
        <v>0</v>
      </c>
      <c r="U11" s="474">
        <v>0</v>
      </c>
      <c r="V11" s="474">
        <v>0</v>
      </c>
      <c r="W11" s="474">
        <v>0</v>
      </c>
      <c r="X11" s="474">
        <v>0</v>
      </c>
      <c r="Y11" s="474">
        <v>0</v>
      </c>
      <c r="Z11" s="474">
        <v>0</v>
      </c>
      <c r="AA11" s="474">
        <v>0</v>
      </c>
      <c r="AB11" s="474">
        <v>0</v>
      </c>
      <c r="AC11" s="474">
        <v>0</v>
      </c>
      <c r="AD11" s="474">
        <v>3</v>
      </c>
      <c r="AE11" s="475">
        <v>3</v>
      </c>
      <c r="AF11" s="475">
        <v>34100000</v>
      </c>
      <c r="AG11" s="475">
        <v>102300000</v>
      </c>
      <c r="AI11" s="473" t="s">
        <v>1142</v>
      </c>
      <c r="AJ11" s="480" t="s">
        <v>1127</v>
      </c>
      <c r="AK11" s="477" t="s">
        <v>1128</v>
      </c>
      <c r="AL11" s="481" t="s">
        <v>1129</v>
      </c>
      <c r="AM11" s="476">
        <v>420</v>
      </c>
      <c r="AN11" s="479" t="s">
        <v>1131</v>
      </c>
      <c r="AO11" s="479"/>
      <c r="AP11" s="479"/>
      <c r="AQ11" s="479" t="s">
        <v>1134</v>
      </c>
      <c r="AR11" s="479"/>
      <c r="AS11" s="479"/>
      <c r="AV11" s="242">
        <v>45748</v>
      </c>
      <c r="AW11" s="240">
        <v>240</v>
      </c>
      <c r="AX11" s="240">
        <v>420</v>
      </c>
      <c r="AY11" s="242">
        <v>46408</v>
      </c>
    </row>
    <row r="12" spans="1:51" ht="38.25">
      <c r="A12" s="472">
        <v>7</v>
      </c>
      <c r="B12" s="473" t="s">
        <v>1143</v>
      </c>
      <c r="C12" s="474">
        <v>0</v>
      </c>
      <c r="D12" s="474">
        <v>0</v>
      </c>
      <c r="E12" s="474">
        <v>0</v>
      </c>
      <c r="F12" s="474">
        <v>0</v>
      </c>
      <c r="G12" s="474">
        <v>0</v>
      </c>
      <c r="H12" s="474">
        <v>0</v>
      </c>
      <c r="I12" s="474">
        <v>0</v>
      </c>
      <c r="J12" s="474">
        <v>0</v>
      </c>
      <c r="K12" s="474">
        <v>0</v>
      </c>
      <c r="L12" s="474">
        <v>0</v>
      </c>
      <c r="M12" s="474">
        <v>0</v>
      </c>
      <c r="N12" s="474">
        <v>0</v>
      </c>
      <c r="O12" s="474">
        <v>0</v>
      </c>
      <c r="P12" s="474">
        <v>0</v>
      </c>
      <c r="Q12" s="474">
        <v>0</v>
      </c>
      <c r="R12" s="474">
        <v>0</v>
      </c>
      <c r="S12" s="474">
        <v>0</v>
      </c>
      <c r="T12" s="474">
        <v>0</v>
      </c>
      <c r="U12" s="474">
        <v>0</v>
      </c>
      <c r="V12" s="474">
        <v>0</v>
      </c>
      <c r="W12" s="474">
        <v>0</v>
      </c>
      <c r="X12" s="474">
        <v>0</v>
      </c>
      <c r="Y12" s="474">
        <v>0</v>
      </c>
      <c r="Z12" s="474">
        <v>0</v>
      </c>
      <c r="AA12" s="474">
        <v>0</v>
      </c>
      <c r="AB12" s="474">
        <v>0</v>
      </c>
      <c r="AC12" s="474">
        <v>0</v>
      </c>
      <c r="AD12" s="474">
        <v>9</v>
      </c>
      <c r="AE12" s="475">
        <v>9</v>
      </c>
      <c r="AF12" s="475">
        <v>13480000</v>
      </c>
      <c r="AG12" s="475">
        <v>121320000</v>
      </c>
      <c r="AI12" s="473" t="s">
        <v>1143</v>
      </c>
      <c r="AJ12" s="480" t="s">
        <v>1127</v>
      </c>
      <c r="AK12" s="477" t="s">
        <v>1128</v>
      </c>
      <c r="AL12" s="481" t="s">
        <v>1129</v>
      </c>
      <c r="AM12" s="476">
        <v>360</v>
      </c>
      <c r="AN12" s="479" t="s">
        <v>1130</v>
      </c>
      <c r="AO12" s="479"/>
      <c r="AP12" s="479"/>
      <c r="AQ12" s="479" t="s">
        <v>1133</v>
      </c>
      <c r="AR12" s="479"/>
      <c r="AS12" s="479"/>
      <c r="AV12" s="242">
        <v>45748</v>
      </c>
      <c r="AW12" s="240">
        <v>240</v>
      </c>
      <c r="AX12" s="240">
        <v>360</v>
      </c>
      <c r="AY12" s="242">
        <v>46348</v>
      </c>
    </row>
    <row r="13" spans="1:51">
      <c r="A13" s="472">
        <v>8</v>
      </c>
      <c r="B13" s="473" t="s">
        <v>1144</v>
      </c>
      <c r="C13" s="474">
        <v>0</v>
      </c>
      <c r="D13" s="474">
        <v>0</v>
      </c>
      <c r="E13" s="474">
        <v>0</v>
      </c>
      <c r="F13" s="474">
        <v>0</v>
      </c>
      <c r="G13" s="474">
        <v>0</v>
      </c>
      <c r="H13" s="474">
        <v>0</v>
      </c>
      <c r="I13" s="474">
        <v>0</v>
      </c>
      <c r="J13" s="474">
        <v>0</v>
      </c>
      <c r="K13" s="474">
        <v>0</v>
      </c>
      <c r="L13" s="474">
        <v>0</v>
      </c>
      <c r="M13" s="474">
        <v>0</v>
      </c>
      <c r="N13" s="474">
        <v>0</v>
      </c>
      <c r="O13" s="474">
        <v>0</v>
      </c>
      <c r="P13" s="474">
        <v>0</v>
      </c>
      <c r="Q13" s="474">
        <v>0</v>
      </c>
      <c r="R13" s="474">
        <v>0</v>
      </c>
      <c r="S13" s="474">
        <v>0</v>
      </c>
      <c r="T13" s="474">
        <v>0</v>
      </c>
      <c r="U13" s="474">
        <v>0</v>
      </c>
      <c r="V13" s="474">
        <v>0</v>
      </c>
      <c r="W13" s="474">
        <v>0</v>
      </c>
      <c r="X13" s="474">
        <v>0</v>
      </c>
      <c r="Y13" s="474">
        <v>0</v>
      </c>
      <c r="Z13" s="474">
        <v>0</v>
      </c>
      <c r="AA13" s="474">
        <v>0</v>
      </c>
      <c r="AB13" s="474">
        <v>2</v>
      </c>
      <c r="AC13" s="474">
        <v>0</v>
      </c>
      <c r="AD13" s="474">
        <v>0</v>
      </c>
      <c r="AE13" s="475">
        <v>2</v>
      </c>
      <c r="AF13" s="475">
        <v>2110000</v>
      </c>
      <c r="AG13" s="475">
        <v>4220000</v>
      </c>
      <c r="AI13" s="473" t="s">
        <v>1144</v>
      </c>
      <c r="AJ13" s="480" t="s">
        <v>1117</v>
      </c>
      <c r="AK13" s="477" t="s">
        <v>1118</v>
      </c>
      <c r="AL13" s="481" t="s">
        <v>1119</v>
      </c>
      <c r="AM13" s="476">
        <v>120</v>
      </c>
      <c r="AN13" s="479" t="s">
        <v>1137</v>
      </c>
      <c r="AO13" s="479"/>
      <c r="AP13" s="479"/>
      <c r="AQ13" s="479" t="s">
        <v>1138</v>
      </c>
      <c r="AR13" s="479"/>
      <c r="AS13" s="479"/>
      <c r="AV13" s="242">
        <v>45658</v>
      </c>
      <c r="AW13" s="240">
        <v>180</v>
      </c>
      <c r="AX13" s="240">
        <v>120</v>
      </c>
      <c r="AY13" s="242">
        <v>45958</v>
      </c>
    </row>
    <row r="14" spans="1:51" ht="39.75" customHeight="1">
      <c r="A14" s="472">
        <v>9</v>
      </c>
      <c r="B14" s="473" t="s">
        <v>1145</v>
      </c>
      <c r="C14" s="474">
        <v>0</v>
      </c>
      <c r="D14" s="474">
        <v>0</v>
      </c>
      <c r="E14" s="474">
        <v>0</v>
      </c>
      <c r="F14" s="474">
        <v>0</v>
      </c>
      <c r="G14" s="474">
        <v>0</v>
      </c>
      <c r="H14" s="474">
        <v>0</v>
      </c>
      <c r="I14" s="474">
        <v>0</v>
      </c>
      <c r="J14" s="474">
        <v>0</v>
      </c>
      <c r="K14" s="474">
        <v>0</v>
      </c>
      <c r="L14" s="474">
        <v>0</v>
      </c>
      <c r="M14" s="474">
        <v>0</v>
      </c>
      <c r="N14" s="474">
        <v>0</v>
      </c>
      <c r="O14" s="474">
        <v>0</v>
      </c>
      <c r="P14" s="474">
        <v>0</v>
      </c>
      <c r="Q14" s="474">
        <v>0</v>
      </c>
      <c r="R14" s="474">
        <v>0</v>
      </c>
      <c r="S14" s="474">
        <v>0</v>
      </c>
      <c r="T14" s="474">
        <v>0</v>
      </c>
      <c r="U14" s="474">
        <v>0</v>
      </c>
      <c r="V14" s="474">
        <v>0</v>
      </c>
      <c r="W14" s="474">
        <v>0</v>
      </c>
      <c r="X14" s="474">
        <v>0</v>
      </c>
      <c r="Y14" s="474">
        <v>0</v>
      </c>
      <c r="Z14" s="474">
        <v>0</v>
      </c>
      <c r="AA14" s="474">
        <v>0</v>
      </c>
      <c r="AB14" s="474">
        <v>0</v>
      </c>
      <c r="AC14" s="474">
        <v>1</v>
      </c>
      <c r="AD14" s="474">
        <v>0</v>
      </c>
      <c r="AE14" s="475">
        <v>1</v>
      </c>
      <c r="AF14" s="475">
        <v>3680000</v>
      </c>
      <c r="AG14" s="475">
        <v>3680000</v>
      </c>
      <c r="AI14" s="473" t="s">
        <v>1145</v>
      </c>
      <c r="AJ14" s="480" t="s">
        <v>1127</v>
      </c>
      <c r="AK14" s="477" t="s">
        <v>1128</v>
      </c>
      <c r="AL14" s="481" t="s">
        <v>1129</v>
      </c>
      <c r="AM14" s="476">
        <v>360</v>
      </c>
      <c r="AN14" s="479" t="s">
        <v>1130</v>
      </c>
      <c r="AO14" s="479"/>
      <c r="AP14" s="479"/>
      <c r="AQ14" s="479" t="s">
        <v>1133</v>
      </c>
      <c r="AR14" s="479"/>
      <c r="AS14" s="479"/>
      <c r="AV14" s="242">
        <v>45748</v>
      </c>
      <c r="AW14" s="240">
        <v>240</v>
      </c>
      <c r="AX14" s="240">
        <v>360</v>
      </c>
      <c r="AY14" s="242">
        <v>46348</v>
      </c>
    </row>
    <row r="15" spans="1:51">
      <c r="A15" s="472">
        <v>10</v>
      </c>
      <c r="B15" s="482" t="s">
        <v>1146</v>
      </c>
      <c r="C15" s="474">
        <v>0</v>
      </c>
      <c r="D15" s="474">
        <v>0</v>
      </c>
      <c r="E15" s="474">
        <v>0</v>
      </c>
      <c r="F15" s="474">
        <v>0</v>
      </c>
      <c r="G15" s="474">
        <v>0</v>
      </c>
      <c r="H15" s="474">
        <v>0</v>
      </c>
      <c r="I15" s="474">
        <v>0</v>
      </c>
      <c r="J15" s="474">
        <v>0</v>
      </c>
      <c r="K15" s="474">
        <v>0</v>
      </c>
      <c r="L15" s="474">
        <v>0</v>
      </c>
      <c r="M15" s="474">
        <v>0</v>
      </c>
      <c r="N15" s="474">
        <v>0</v>
      </c>
      <c r="O15" s="474">
        <v>0</v>
      </c>
      <c r="P15" s="474">
        <v>0</v>
      </c>
      <c r="Q15" s="474">
        <v>0</v>
      </c>
      <c r="R15" s="474">
        <v>0</v>
      </c>
      <c r="S15" s="474">
        <v>0</v>
      </c>
      <c r="T15" s="474">
        <v>0</v>
      </c>
      <c r="U15" s="474">
        <v>0</v>
      </c>
      <c r="V15" s="474">
        <v>0</v>
      </c>
      <c r="W15" s="474">
        <v>0</v>
      </c>
      <c r="X15" s="474">
        <v>0</v>
      </c>
      <c r="Y15" s="474">
        <v>0</v>
      </c>
      <c r="Z15" s="474">
        <v>0</v>
      </c>
      <c r="AA15" s="474">
        <v>0</v>
      </c>
      <c r="AB15" s="474">
        <v>0</v>
      </c>
      <c r="AC15" s="474">
        <v>0</v>
      </c>
      <c r="AD15" s="474">
        <v>2</v>
      </c>
      <c r="AE15" s="475">
        <v>2</v>
      </c>
      <c r="AF15" s="475">
        <v>14900000</v>
      </c>
      <c r="AG15" s="475">
        <v>29800000</v>
      </c>
      <c r="AI15" s="482" t="s">
        <v>1146</v>
      </c>
      <c r="AJ15" s="480" t="s">
        <v>1127</v>
      </c>
      <c r="AK15" s="477" t="s">
        <v>1128</v>
      </c>
      <c r="AL15" s="481" t="s">
        <v>1129</v>
      </c>
      <c r="AM15" s="476">
        <v>360</v>
      </c>
      <c r="AN15" s="479" t="s">
        <v>1130</v>
      </c>
      <c r="AO15" s="479"/>
      <c r="AP15" s="479"/>
      <c r="AQ15" s="479" t="s">
        <v>1133</v>
      </c>
      <c r="AR15" s="479"/>
      <c r="AS15" s="479"/>
      <c r="AV15" s="242">
        <v>45748</v>
      </c>
      <c r="AW15" s="240">
        <v>240</v>
      </c>
      <c r="AX15" s="240">
        <v>360</v>
      </c>
      <c r="AY15" s="242">
        <v>46348</v>
      </c>
    </row>
    <row r="16" spans="1:51">
      <c r="A16" s="483"/>
      <c r="B16" s="483" t="s">
        <v>61</v>
      </c>
      <c r="C16" s="801">
        <v>19</v>
      </c>
      <c r="D16" s="801"/>
      <c r="E16" s="801">
        <v>19</v>
      </c>
      <c r="F16" s="801"/>
      <c r="G16" s="801">
        <v>18</v>
      </c>
      <c r="H16" s="801"/>
      <c r="I16" s="801">
        <v>18</v>
      </c>
      <c r="J16" s="801"/>
      <c r="K16" s="801">
        <v>15</v>
      </c>
      <c r="L16" s="801"/>
      <c r="M16" s="801">
        <v>16</v>
      </c>
      <c r="N16" s="801"/>
      <c r="O16" s="801">
        <v>26</v>
      </c>
      <c r="P16" s="801"/>
      <c r="Q16" s="801">
        <v>19</v>
      </c>
      <c r="R16" s="801"/>
      <c r="S16" s="801">
        <v>17</v>
      </c>
      <c r="T16" s="801"/>
      <c r="U16" s="801">
        <v>15</v>
      </c>
      <c r="V16" s="801"/>
      <c r="W16" s="801">
        <v>24</v>
      </c>
      <c r="X16" s="801"/>
      <c r="Y16" s="801">
        <v>16</v>
      </c>
      <c r="Z16" s="801"/>
      <c r="AA16" s="472">
        <v>25</v>
      </c>
      <c r="AB16" s="472">
        <v>2</v>
      </c>
      <c r="AC16" s="472">
        <v>1</v>
      </c>
      <c r="AD16" s="472">
        <v>14</v>
      </c>
      <c r="AE16" s="484">
        <v>264</v>
      </c>
      <c r="AF16" s="485"/>
      <c r="AG16" s="486">
        <v>1036780000</v>
      </c>
    </row>
    <row r="17" spans="1:51">
      <c r="AG17" s="245"/>
    </row>
    <row r="18" spans="1:51">
      <c r="A18" s="795" t="s">
        <v>1147</v>
      </c>
      <c r="B18" s="795"/>
      <c r="C18" s="795"/>
      <c r="D18" s="795"/>
      <c r="E18" s="795"/>
      <c r="F18" s="795"/>
      <c r="G18" s="795"/>
      <c r="H18" s="795"/>
      <c r="I18" s="795"/>
      <c r="J18" s="795"/>
      <c r="K18" s="795"/>
      <c r="L18" s="795"/>
      <c r="M18" s="795"/>
      <c r="N18" s="795"/>
      <c r="O18" s="795"/>
      <c r="P18" s="795"/>
      <c r="Q18" s="795"/>
      <c r="R18" s="795"/>
      <c r="S18" s="795"/>
      <c r="T18" s="795"/>
      <c r="U18" s="795"/>
      <c r="V18" s="795"/>
      <c r="W18" s="795"/>
      <c r="X18" s="795"/>
      <c r="Y18" s="795"/>
      <c r="Z18" s="795"/>
      <c r="AA18" s="795"/>
      <c r="AB18" s="795"/>
      <c r="AC18" s="795"/>
      <c r="AD18" s="795"/>
      <c r="AE18" s="795"/>
      <c r="AF18" s="795"/>
      <c r="AG18" s="795"/>
    </row>
    <row r="19" spans="1:51">
      <c r="A19" s="796"/>
      <c r="B19" s="796"/>
      <c r="C19" s="796"/>
      <c r="D19" s="796"/>
      <c r="E19" s="796"/>
      <c r="F19" s="796"/>
      <c r="G19" s="796"/>
      <c r="H19" s="796"/>
      <c r="I19" s="796"/>
      <c r="J19" s="796"/>
      <c r="K19" s="796"/>
      <c r="L19" s="796"/>
      <c r="M19" s="796"/>
      <c r="N19" s="796"/>
      <c r="O19" s="796"/>
      <c r="P19" s="796"/>
      <c r="Q19" s="796"/>
      <c r="R19" s="796"/>
      <c r="S19" s="796"/>
      <c r="T19" s="796"/>
      <c r="U19" s="796"/>
      <c r="V19" s="796"/>
      <c r="W19" s="796"/>
      <c r="X19" s="796"/>
      <c r="Y19" s="796"/>
      <c r="Z19" s="796"/>
      <c r="AA19" s="796"/>
      <c r="AB19" s="796"/>
      <c r="AC19" s="796"/>
      <c r="AD19" s="796"/>
      <c r="AE19" s="796"/>
      <c r="AF19" s="796"/>
      <c r="AG19" s="796"/>
    </row>
    <row r="20" spans="1:51">
      <c r="A20" s="797" t="s">
        <v>56</v>
      </c>
      <c r="B20" s="794" t="s">
        <v>1102</v>
      </c>
      <c r="C20" s="799" t="s">
        <v>794</v>
      </c>
      <c r="D20" s="799"/>
      <c r="E20" s="799" t="s">
        <v>795</v>
      </c>
      <c r="F20" s="799"/>
      <c r="G20" s="799" t="s">
        <v>796</v>
      </c>
      <c r="H20" s="799"/>
      <c r="I20" s="799" t="s">
        <v>797</v>
      </c>
      <c r="J20" s="799"/>
      <c r="K20" s="799" t="s">
        <v>798</v>
      </c>
      <c r="L20" s="799"/>
      <c r="M20" s="799" t="s">
        <v>799</v>
      </c>
      <c r="N20" s="799"/>
      <c r="O20" s="799" t="s">
        <v>800</v>
      </c>
      <c r="P20" s="799"/>
      <c r="Q20" s="799" t="s">
        <v>801</v>
      </c>
      <c r="R20" s="799"/>
      <c r="S20" s="799" t="s">
        <v>802</v>
      </c>
      <c r="T20" s="799"/>
      <c r="U20" s="799" t="s">
        <v>803</v>
      </c>
      <c r="V20" s="799"/>
      <c r="W20" s="799" t="s">
        <v>804</v>
      </c>
      <c r="X20" s="799"/>
      <c r="Y20" s="799" t="s">
        <v>805</v>
      </c>
      <c r="Z20" s="799"/>
      <c r="AA20" s="794" t="s">
        <v>829</v>
      </c>
      <c r="AB20" s="797" t="s">
        <v>821</v>
      </c>
      <c r="AC20" s="797" t="s">
        <v>822</v>
      </c>
      <c r="AD20" s="794" t="s">
        <v>810</v>
      </c>
      <c r="AE20" s="802" t="s">
        <v>1103</v>
      </c>
      <c r="AF20" s="802" t="s">
        <v>1104</v>
      </c>
      <c r="AG20" s="802" t="s">
        <v>1105</v>
      </c>
      <c r="AI20" s="800" t="s">
        <v>1148</v>
      </c>
      <c r="AJ20" s="800"/>
      <c r="AK20" s="800"/>
      <c r="AL20" s="800"/>
      <c r="AM20" s="800"/>
      <c r="AN20" s="800"/>
      <c r="AO20" s="800"/>
      <c r="AP20" s="800"/>
      <c r="AQ20" s="800"/>
      <c r="AR20" s="800"/>
      <c r="AS20" s="800"/>
    </row>
    <row r="21" spans="1:51">
      <c r="A21" s="798"/>
      <c r="B21" s="794"/>
      <c r="C21" s="469" t="s">
        <v>831</v>
      </c>
      <c r="D21" s="469" t="s">
        <v>832</v>
      </c>
      <c r="E21" s="469" t="s">
        <v>831</v>
      </c>
      <c r="F21" s="469" t="s">
        <v>832</v>
      </c>
      <c r="G21" s="469" t="s">
        <v>831</v>
      </c>
      <c r="H21" s="469" t="s">
        <v>832</v>
      </c>
      <c r="I21" s="469" t="s">
        <v>831</v>
      </c>
      <c r="J21" s="469" t="s">
        <v>832</v>
      </c>
      <c r="K21" s="469" t="s">
        <v>831</v>
      </c>
      <c r="L21" s="469" t="s">
        <v>832</v>
      </c>
      <c r="M21" s="469" t="s">
        <v>831</v>
      </c>
      <c r="N21" s="469" t="s">
        <v>832</v>
      </c>
      <c r="O21" s="469" t="s">
        <v>831</v>
      </c>
      <c r="P21" s="469" t="s">
        <v>832</v>
      </c>
      <c r="Q21" s="469" t="s">
        <v>831</v>
      </c>
      <c r="R21" s="469" t="s">
        <v>832</v>
      </c>
      <c r="S21" s="469" t="s">
        <v>831</v>
      </c>
      <c r="T21" s="469" t="s">
        <v>832</v>
      </c>
      <c r="U21" s="469" t="s">
        <v>831</v>
      </c>
      <c r="V21" s="469" t="s">
        <v>832</v>
      </c>
      <c r="W21" s="469" t="s">
        <v>831</v>
      </c>
      <c r="X21" s="469" t="s">
        <v>832</v>
      </c>
      <c r="Y21" s="469" t="s">
        <v>831</v>
      </c>
      <c r="Z21" s="469" t="s">
        <v>832</v>
      </c>
      <c r="AA21" s="794"/>
      <c r="AB21" s="798"/>
      <c r="AC21" s="798"/>
      <c r="AD21" s="794"/>
      <c r="AE21" s="794"/>
      <c r="AF21" s="794"/>
      <c r="AG21" s="794"/>
      <c r="AI21" s="470" t="s">
        <v>1102</v>
      </c>
      <c r="AJ21" s="470" t="s">
        <v>645</v>
      </c>
      <c r="AK21" s="470" t="s">
        <v>1107</v>
      </c>
      <c r="AL21" s="470" t="s">
        <v>1108</v>
      </c>
      <c r="AM21" s="470" t="s">
        <v>1109</v>
      </c>
      <c r="AN21" s="471" t="s">
        <v>1110</v>
      </c>
      <c r="AO21" s="471" t="s">
        <v>1111</v>
      </c>
      <c r="AP21" s="471" t="s">
        <v>1112</v>
      </c>
      <c r="AQ21" s="471" t="s">
        <v>1113</v>
      </c>
      <c r="AR21" s="471" t="s">
        <v>1114</v>
      </c>
      <c r="AS21" s="471" t="s">
        <v>1115</v>
      </c>
    </row>
    <row r="22" spans="1:51">
      <c r="A22" s="472">
        <v>1</v>
      </c>
      <c r="B22" s="473" t="s">
        <v>1149</v>
      </c>
      <c r="C22" s="474">
        <v>0</v>
      </c>
      <c r="D22" s="474">
        <v>9</v>
      </c>
      <c r="E22" s="474">
        <v>0</v>
      </c>
      <c r="F22" s="474">
        <v>6</v>
      </c>
      <c r="G22" s="474">
        <v>0</v>
      </c>
      <c r="H22" s="474">
        <v>9</v>
      </c>
      <c r="I22" s="474">
        <v>0</v>
      </c>
      <c r="J22" s="474">
        <v>9</v>
      </c>
      <c r="K22" s="474">
        <v>0</v>
      </c>
      <c r="L22" s="474">
        <v>10</v>
      </c>
      <c r="M22" s="474">
        <v>0</v>
      </c>
      <c r="N22" s="474">
        <v>9</v>
      </c>
      <c r="O22" s="474">
        <v>0</v>
      </c>
      <c r="P22" s="474">
        <v>10</v>
      </c>
      <c r="Q22" s="474">
        <v>0</v>
      </c>
      <c r="R22" s="474">
        <v>8</v>
      </c>
      <c r="S22" s="474">
        <v>0</v>
      </c>
      <c r="T22" s="474">
        <v>10</v>
      </c>
      <c r="U22" s="474">
        <v>0</v>
      </c>
      <c r="V22" s="474">
        <v>5</v>
      </c>
      <c r="W22" s="474">
        <v>0</v>
      </c>
      <c r="X22" s="474">
        <v>8</v>
      </c>
      <c r="Y22" s="474">
        <v>0</v>
      </c>
      <c r="Z22" s="474">
        <v>7</v>
      </c>
      <c r="AA22" s="474">
        <v>0</v>
      </c>
      <c r="AB22" s="474">
        <v>0</v>
      </c>
      <c r="AC22" s="474">
        <v>0</v>
      </c>
      <c r="AD22" s="474">
        <v>18</v>
      </c>
      <c r="AE22" s="475">
        <v>118</v>
      </c>
      <c r="AF22" s="475">
        <v>1130000</v>
      </c>
      <c r="AG22" s="475">
        <v>133340000</v>
      </c>
      <c r="AI22" s="473" t="s">
        <v>1149</v>
      </c>
      <c r="AJ22" s="480" t="s">
        <v>1117</v>
      </c>
      <c r="AK22" s="477" t="s">
        <v>1120</v>
      </c>
      <c r="AL22" s="481" t="s">
        <v>1119</v>
      </c>
      <c r="AM22" s="476">
        <v>120</v>
      </c>
      <c r="AN22" s="479" t="s">
        <v>1150</v>
      </c>
      <c r="AO22" s="479" t="s">
        <v>1133</v>
      </c>
      <c r="AP22" s="479" t="s">
        <v>1134</v>
      </c>
      <c r="AQ22" s="479" t="s">
        <v>1130</v>
      </c>
      <c r="AR22" s="479" t="s">
        <v>1131</v>
      </c>
      <c r="AS22" s="479" t="s">
        <v>1132</v>
      </c>
      <c r="AV22" s="242">
        <v>46023</v>
      </c>
      <c r="AW22" s="240">
        <v>180</v>
      </c>
      <c r="AX22" s="240">
        <v>120</v>
      </c>
      <c r="AY22" s="242">
        <v>46323</v>
      </c>
    </row>
    <row r="23" spans="1:51">
      <c r="A23" s="487">
        <v>2</v>
      </c>
      <c r="B23" s="473" t="s">
        <v>1151</v>
      </c>
      <c r="C23" s="474">
        <v>0</v>
      </c>
      <c r="D23" s="474">
        <v>6</v>
      </c>
      <c r="E23" s="474">
        <v>0</v>
      </c>
      <c r="F23" s="474">
        <v>3</v>
      </c>
      <c r="G23" s="474">
        <v>0</v>
      </c>
      <c r="H23" s="474">
        <v>3</v>
      </c>
      <c r="I23" s="474">
        <v>0</v>
      </c>
      <c r="J23" s="474">
        <v>6</v>
      </c>
      <c r="K23" s="474">
        <v>0</v>
      </c>
      <c r="L23" s="474">
        <v>5</v>
      </c>
      <c r="M23" s="474">
        <v>0</v>
      </c>
      <c r="N23" s="474">
        <v>8</v>
      </c>
      <c r="O23" s="474">
        <v>0</v>
      </c>
      <c r="P23" s="474">
        <v>6</v>
      </c>
      <c r="Q23" s="474">
        <v>0</v>
      </c>
      <c r="R23" s="474">
        <v>3</v>
      </c>
      <c r="S23" s="474">
        <v>0</v>
      </c>
      <c r="T23" s="474">
        <v>7</v>
      </c>
      <c r="U23" s="474">
        <v>0</v>
      </c>
      <c r="V23" s="474">
        <v>3</v>
      </c>
      <c r="W23" s="474">
        <v>0</v>
      </c>
      <c r="X23" s="474">
        <v>7</v>
      </c>
      <c r="Y23" s="474">
        <v>0</v>
      </c>
      <c r="Z23" s="474">
        <v>3</v>
      </c>
      <c r="AA23" s="474">
        <v>0</v>
      </c>
      <c r="AB23" s="474">
        <v>1</v>
      </c>
      <c r="AC23" s="474">
        <v>0</v>
      </c>
      <c r="AD23" s="474">
        <v>0</v>
      </c>
      <c r="AE23" s="475">
        <v>61</v>
      </c>
      <c r="AF23" s="475">
        <v>3480000</v>
      </c>
      <c r="AG23" s="475">
        <v>212280000</v>
      </c>
      <c r="AI23" s="473" t="s">
        <v>1151</v>
      </c>
      <c r="AJ23" s="480" t="s">
        <v>1127</v>
      </c>
      <c r="AK23" s="477" t="s">
        <v>1124</v>
      </c>
      <c r="AL23" s="481" t="s">
        <v>1129</v>
      </c>
      <c r="AM23" s="476">
        <v>360</v>
      </c>
      <c r="AN23" s="479" t="s">
        <v>1152</v>
      </c>
      <c r="AO23" s="479" t="s">
        <v>1153</v>
      </c>
      <c r="AP23" s="479" t="s">
        <v>1154</v>
      </c>
      <c r="AQ23" s="479" t="s">
        <v>1155</v>
      </c>
      <c r="AR23" s="479" t="s">
        <v>1156</v>
      </c>
      <c r="AS23" s="479" t="s">
        <v>1157</v>
      </c>
      <c r="AV23" s="242">
        <v>46113</v>
      </c>
      <c r="AW23" s="240">
        <v>240</v>
      </c>
      <c r="AX23" s="240">
        <v>360</v>
      </c>
      <c r="AY23" s="242">
        <v>46713</v>
      </c>
    </row>
    <row r="24" spans="1:51">
      <c r="A24" s="472">
        <v>3</v>
      </c>
      <c r="B24" s="473" t="s">
        <v>1142</v>
      </c>
      <c r="C24" s="474">
        <v>0</v>
      </c>
      <c r="D24" s="474">
        <v>1</v>
      </c>
      <c r="E24" s="474">
        <v>0</v>
      </c>
      <c r="F24" s="474">
        <v>0</v>
      </c>
      <c r="G24" s="474">
        <v>0</v>
      </c>
      <c r="H24" s="474">
        <v>1</v>
      </c>
      <c r="I24" s="474">
        <v>0</v>
      </c>
      <c r="J24" s="474">
        <v>1</v>
      </c>
      <c r="K24" s="474">
        <v>0</v>
      </c>
      <c r="L24" s="474">
        <v>0</v>
      </c>
      <c r="M24" s="474">
        <v>0</v>
      </c>
      <c r="N24" s="474">
        <v>0</v>
      </c>
      <c r="O24" s="474">
        <v>0</v>
      </c>
      <c r="P24" s="474">
        <v>1</v>
      </c>
      <c r="Q24" s="474">
        <v>0</v>
      </c>
      <c r="R24" s="474">
        <v>1</v>
      </c>
      <c r="S24" s="474">
        <v>0</v>
      </c>
      <c r="T24" s="474">
        <v>0</v>
      </c>
      <c r="U24" s="474">
        <v>0</v>
      </c>
      <c r="V24" s="474">
        <v>1</v>
      </c>
      <c r="W24" s="474">
        <v>0</v>
      </c>
      <c r="X24" s="474">
        <v>0</v>
      </c>
      <c r="Y24" s="474">
        <v>0</v>
      </c>
      <c r="Z24" s="474">
        <v>0</v>
      </c>
      <c r="AA24" s="474">
        <v>0</v>
      </c>
      <c r="AB24" s="474">
        <v>0</v>
      </c>
      <c r="AC24" s="474">
        <v>0</v>
      </c>
      <c r="AD24" s="474">
        <v>0</v>
      </c>
      <c r="AE24" s="475">
        <v>6</v>
      </c>
      <c r="AF24" s="475">
        <v>34100000</v>
      </c>
      <c r="AG24" s="475">
        <v>204600000</v>
      </c>
      <c r="AI24" s="473" t="s">
        <v>1142</v>
      </c>
      <c r="AJ24" s="480" t="s">
        <v>1127</v>
      </c>
      <c r="AK24" s="477" t="s">
        <v>1124</v>
      </c>
      <c r="AL24" s="481" t="s">
        <v>1129</v>
      </c>
      <c r="AM24" s="476">
        <v>420</v>
      </c>
      <c r="AN24" s="479" t="s">
        <v>1153</v>
      </c>
      <c r="AO24" s="479"/>
      <c r="AP24" s="479"/>
      <c r="AQ24" s="479" t="s">
        <v>1156</v>
      </c>
      <c r="AR24" s="479"/>
      <c r="AS24" s="479"/>
      <c r="AV24" s="242">
        <v>46113</v>
      </c>
      <c r="AW24" s="240">
        <v>240</v>
      </c>
      <c r="AX24" s="240">
        <v>420</v>
      </c>
      <c r="AY24" s="242">
        <v>46773</v>
      </c>
    </row>
    <row r="25" spans="1:51">
      <c r="A25" s="472">
        <v>4</v>
      </c>
      <c r="B25" s="473" t="s">
        <v>1158</v>
      </c>
      <c r="C25" s="474">
        <v>0</v>
      </c>
      <c r="D25" s="474">
        <v>0</v>
      </c>
      <c r="E25" s="474">
        <v>0</v>
      </c>
      <c r="F25" s="474">
        <v>0</v>
      </c>
      <c r="G25" s="474">
        <v>0</v>
      </c>
      <c r="H25" s="474">
        <v>0</v>
      </c>
      <c r="I25" s="474">
        <v>0</v>
      </c>
      <c r="J25" s="474">
        <v>0</v>
      </c>
      <c r="K25" s="474">
        <v>0</v>
      </c>
      <c r="L25" s="474">
        <v>0</v>
      </c>
      <c r="M25" s="474">
        <v>0</v>
      </c>
      <c r="N25" s="474">
        <v>0</v>
      </c>
      <c r="O25" s="474">
        <v>0</v>
      </c>
      <c r="P25" s="474">
        <v>0</v>
      </c>
      <c r="Q25" s="474">
        <v>0</v>
      </c>
      <c r="R25" s="474">
        <v>0</v>
      </c>
      <c r="S25" s="474">
        <v>0</v>
      </c>
      <c r="T25" s="474">
        <v>0</v>
      </c>
      <c r="U25" s="474">
        <v>0</v>
      </c>
      <c r="V25" s="474">
        <v>0</v>
      </c>
      <c r="W25" s="474">
        <v>0</v>
      </c>
      <c r="X25" s="474">
        <v>0</v>
      </c>
      <c r="Y25" s="474">
        <v>0</v>
      </c>
      <c r="Z25" s="474">
        <v>0</v>
      </c>
      <c r="AA25" s="474">
        <v>0</v>
      </c>
      <c r="AB25" s="474">
        <v>0</v>
      </c>
      <c r="AC25" s="474">
        <v>0</v>
      </c>
      <c r="AD25" s="474">
        <v>1</v>
      </c>
      <c r="AE25" s="475">
        <v>1</v>
      </c>
      <c r="AF25" s="475">
        <v>40000000</v>
      </c>
      <c r="AG25" s="475">
        <v>40000000</v>
      </c>
      <c r="AI25" s="473" t="s">
        <v>1158</v>
      </c>
      <c r="AJ25" s="480" t="s">
        <v>1127</v>
      </c>
      <c r="AK25" s="477" t="s">
        <v>1124</v>
      </c>
      <c r="AL25" s="481" t="s">
        <v>1129</v>
      </c>
      <c r="AM25" s="476">
        <v>360</v>
      </c>
      <c r="AN25" s="479" t="s">
        <v>1152</v>
      </c>
      <c r="AO25" s="479"/>
      <c r="AP25" s="479"/>
      <c r="AQ25" s="479" t="s">
        <v>1155</v>
      </c>
      <c r="AR25" s="479"/>
      <c r="AS25" s="479"/>
      <c r="AV25" s="242">
        <v>46113</v>
      </c>
      <c r="AW25" s="240">
        <v>240</v>
      </c>
      <c r="AX25" s="240">
        <v>360</v>
      </c>
      <c r="AY25" s="242">
        <v>46713</v>
      </c>
    </row>
    <row r="26" spans="1:51">
      <c r="A26" s="487">
        <v>5</v>
      </c>
      <c r="B26" s="473" t="s">
        <v>1159</v>
      </c>
      <c r="C26" s="474">
        <v>0</v>
      </c>
      <c r="D26" s="474">
        <v>0</v>
      </c>
      <c r="E26" s="474">
        <v>0</v>
      </c>
      <c r="F26" s="474">
        <v>1</v>
      </c>
      <c r="G26" s="474">
        <v>0</v>
      </c>
      <c r="H26" s="474">
        <v>1</v>
      </c>
      <c r="I26" s="474">
        <v>0</v>
      </c>
      <c r="J26" s="474">
        <v>0</v>
      </c>
      <c r="K26" s="474">
        <v>0</v>
      </c>
      <c r="L26" s="474">
        <v>1</v>
      </c>
      <c r="M26" s="474">
        <v>0</v>
      </c>
      <c r="N26" s="474">
        <v>0</v>
      </c>
      <c r="O26" s="474">
        <v>0</v>
      </c>
      <c r="P26" s="474">
        <v>0</v>
      </c>
      <c r="Q26" s="474">
        <v>0</v>
      </c>
      <c r="R26" s="474">
        <v>0</v>
      </c>
      <c r="S26" s="474">
        <v>0</v>
      </c>
      <c r="T26" s="474">
        <v>1</v>
      </c>
      <c r="U26" s="474">
        <v>0</v>
      </c>
      <c r="V26" s="474">
        <v>1</v>
      </c>
      <c r="W26" s="474">
        <v>0</v>
      </c>
      <c r="X26" s="474">
        <v>1</v>
      </c>
      <c r="Y26" s="474">
        <v>0</v>
      </c>
      <c r="Z26" s="474">
        <v>0</v>
      </c>
      <c r="AA26" s="474">
        <v>0</v>
      </c>
      <c r="AB26" s="474">
        <v>0</v>
      </c>
      <c r="AC26" s="474">
        <v>0</v>
      </c>
      <c r="AD26" s="474">
        <v>1</v>
      </c>
      <c r="AE26" s="475">
        <v>7</v>
      </c>
      <c r="AF26" s="475">
        <v>13185000</v>
      </c>
      <c r="AG26" s="475">
        <v>92295000</v>
      </c>
      <c r="AI26" s="473" t="s">
        <v>1159</v>
      </c>
      <c r="AJ26" s="480" t="s">
        <v>1127</v>
      </c>
      <c r="AK26" s="477" t="s">
        <v>1124</v>
      </c>
      <c r="AL26" s="481" t="s">
        <v>1129</v>
      </c>
      <c r="AM26" s="476">
        <v>360</v>
      </c>
      <c r="AN26" s="479" t="s">
        <v>1152</v>
      </c>
      <c r="AO26" s="479"/>
      <c r="AP26" s="479"/>
      <c r="AQ26" s="479" t="s">
        <v>1155</v>
      </c>
      <c r="AR26" s="479"/>
      <c r="AS26" s="479"/>
      <c r="AV26" s="242">
        <v>46113</v>
      </c>
      <c r="AW26" s="240">
        <v>240</v>
      </c>
      <c r="AX26" s="240">
        <v>360</v>
      </c>
      <c r="AY26" s="242">
        <v>46713</v>
      </c>
    </row>
    <row r="27" spans="1:51" ht="38.25">
      <c r="A27" s="472">
        <v>6</v>
      </c>
      <c r="B27" s="473" t="s">
        <v>1143</v>
      </c>
      <c r="C27" s="474">
        <v>0</v>
      </c>
      <c r="D27" s="474">
        <v>1</v>
      </c>
      <c r="E27" s="474">
        <v>0</v>
      </c>
      <c r="F27" s="474">
        <v>0</v>
      </c>
      <c r="G27" s="474">
        <v>0</v>
      </c>
      <c r="H27" s="474">
        <v>1</v>
      </c>
      <c r="I27" s="474">
        <v>0</v>
      </c>
      <c r="J27" s="474">
        <v>1</v>
      </c>
      <c r="K27" s="474">
        <v>0</v>
      </c>
      <c r="L27" s="474">
        <v>0</v>
      </c>
      <c r="M27" s="474">
        <v>0</v>
      </c>
      <c r="N27" s="474">
        <v>1</v>
      </c>
      <c r="O27" s="474">
        <v>0</v>
      </c>
      <c r="P27" s="474">
        <v>1</v>
      </c>
      <c r="Q27" s="474">
        <v>0</v>
      </c>
      <c r="R27" s="474">
        <v>0</v>
      </c>
      <c r="S27" s="474">
        <v>0</v>
      </c>
      <c r="T27" s="474">
        <v>1</v>
      </c>
      <c r="U27" s="474">
        <v>0</v>
      </c>
      <c r="V27" s="474">
        <v>0</v>
      </c>
      <c r="W27" s="474">
        <v>0</v>
      </c>
      <c r="X27" s="474">
        <v>1</v>
      </c>
      <c r="Y27" s="474">
        <v>0</v>
      </c>
      <c r="Z27" s="474">
        <v>1</v>
      </c>
      <c r="AA27" s="474">
        <v>0</v>
      </c>
      <c r="AB27" s="474">
        <v>0</v>
      </c>
      <c r="AC27" s="474">
        <v>0</v>
      </c>
      <c r="AD27" s="474">
        <v>0</v>
      </c>
      <c r="AE27" s="475">
        <v>8</v>
      </c>
      <c r="AF27" s="475">
        <v>13480000</v>
      </c>
      <c r="AG27" s="475">
        <v>107840000</v>
      </c>
      <c r="AI27" s="473" t="s">
        <v>1143</v>
      </c>
      <c r="AJ27" s="480" t="s">
        <v>1127</v>
      </c>
      <c r="AK27" s="477" t="s">
        <v>1124</v>
      </c>
      <c r="AL27" s="481" t="s">
        <v>1129</v>
      </c>
      <c r="AM27" s="476">
        <v>360</v>
      </c>
      <c r="AN27" s="479" t="s">
        <v>1152</v>
      </c>
      <c r="AO27" s="479"/>
      <c r="AP27" s="479"/>
      <c r="AQ27" s="479" t="s">
        <v>1155</v>
      </c>
      <c r="AR27" s="479"/>
      <c r="AS27" s="479"/>
      <c r="AV27" s="242">
        <v>46113</v>
      </c>
      <c r="AW27" s="240">
        <v>240</v>
      </c>
      <c r="AX27" s="240">
        <v>360</v>
      </c>
      <c r="AY27" s="242">
        <v>46713</v>
      </c>
    </row>
    <row r="28" spans="1:51">
      <c r="A28" s="472">
        <v>7</v>
      </c>
      <c r="B28" s="482" t="s">
        <v>1160</v>
      </c>
      <c r="C28" s="474">
        <v>0</v>
      </c>
      <c r="D28" s="474">
        <v>0</v>
      </c>
      <c r="E28" s="474">
        <v>0</v>
      </c>
      <c r="F28" s="474">
        <v>0</v>
      </c>
      <c r="G28" s="474">
        <v>0</v>
      </c>
      <c r="H28" s="474">
        <v>0</v>
      </c>
      <c r="I28" s="474">
        <v>0</v>
      </c>
      <c r="J28" s="474">
        <v>0</v>
      </c>
      <c r="K28" s="474">
        <v>0</v>
      </c>
      <c r="L28" s="474">
        <v>0</v>
      </c>
      <c r="M28" s="474">
        <v>0</v>
      </c>
      <c r="N28" s="474">
        <v>0</v>
      </c>
      <c r="O28" s="474">
        <v>0</v>
      </c>
      <c r="P28" s="474">
        <v>0</v>
      </c>
      <c r="Q28" s="474">
        <v>0</v>
      </c>
      <c r="R28" s="474">
        <v>0</v>
      </c>
      <c r="S28" s="474">
        <v>0</v>
      </c>
      <c r="T28" s="474">
        <v>0</v>
      </c>
      <c r="U28" s="474">
        <v>0</v>
      </c>
      <c r="V28" s="474">
        <v>0</v>
      </c>
      <c r="W28" s="474">
        <v>0</v>
      </c>
      <c r="X28" s="474">
        <v>0</v>
      </c>
      <c r="Y28" s="474">
        <v>0</v>
      </c>
      <c r="Z28" s="474">
        <v>0</v>
      </c>
      <c r="AA28" s="474">
        <v>0</v>
      </c>
      <c r="AB28" s="474">
        <v>0</v>
      </c>
      <c r="AC28" s="474">
        <v>0</v>
      </c>
      <c r="AD28" s="474">
        <v>12</v>
      </c>
      <c r="AE28" s="475">
        <v>12</v>
      </c>
      <c r="AF28" s="475">
        <v>2110000</v>
      </c>
      <c r="AG28" s="475">
        <v>25320000</v>
      </c>
      <c r="AI28" s="482" t="s">
        <v>1160</v>
      </c>
      <c r="AJ28" s="480" t="s">
        <v>1117</v>
      </c>
      <c r="AK28" s="477" t="s">
        <v>1120</v>
      </c>
      <c r="AL28" s="481" t="s">
        <v>1119</v>
      </c>
      <c r="AM28" s="476">
        <v>180</v>
      </c>
      <c r="AN28" s="479" t="s">
        <v>1133</v>
      </c>
      <c r="AO28" s="479"/>
      <c r="AP28" s="479"/>
      <c r="AQ28" s="479" t="s">
        <v>1131</v>
      </c>
      <c r="AR28" s="479"/>
      <c r="AS28" s="479"/>
      <c r="AV28" s="242">
        <v>46023</v>
      </c>
      <c r="AW28" s="240">
        <v>180</v>
      </c>
      <c r="AX28" s="240">
        <v>180</v>
      </c>
      <c r="AY28" s="242">
        <v>46383</v>
      </c>
    </row>
    <row r="29" spans="1:51">
      <c r="A29" s="487">
        <v>8</v>
      </c>
      <c r="B29" s="482" t="s">
        <v>1161</v>
      </c>
      <c r="C29" s="474">
        <v>0</v>
      </c>
      <c r="D29" s="474">
        <v>0</v>
      </c>
      <c r="E29" s="474">
        <v>0</v>
      </c>
      <c r="F29" s="474">
        <v>0</v>
      </c>
      <c r="G29" s="474">
        <v>0</v>
      </c>
      <c r="H29" s="474">
        <v>0</v>
      </c>
      <c r="I29" s="474">
        <v>0</v>
      </c>
      <c r="J29" s="474">
        <v>0</v>
      </c>
      <c r="K29" s="474">
        <v>0</v>
      </c>
      <c r="L29" s="474">
        <v>0</v>
      </c>
      <c r="M29" s="474">
        <v>0</v>
      </c>
      <c r="N29" s="474">
        <v>0</v>
      </c>
      <c r="O29" s="474">
        <v>0</v>
      </c>
      <c r="P29" s="474">
        <v>0</v>
      </c>
      <c r="Q29" s="474">
        <v>0</v>
      </c>
      <c r="R29" s="474">
        <v>0</v>
      </c>
      <c r="S29" s="474">
        <v>0</v>
      </c>
      <c r="T29" s="474">
        <v>0</v>
      </c>
      <c r="U29" s="474">
        <v>0</v>
      </c>
      <c r="V29" s="474">
        <v>0</v>
      </c>
      <c r="W29" s="474">
        <v>0</v>
      </c>
      <c r="X29" s="474">
        <v>0</v>
      </c>
      <c r="Y29" s="474">
        <v>0</v>
      </c>
      <c r="Z29" s="474">
        <v>0</v>
      </c>
      <c r="AA29" s="474">
        <v>0</v>
      </c>
      <c r="AB29" s="474">
        <v>0</v>
      </c>
      <c r="AC29" s="474">
        <v>0</v>
      </c>
      <c r="AD29" s="474">
        <v>9</v>
      </c>
      <c r="AE29" s="475">
        <v>9</v>
      </c>
      <c r="AF29" s="475">
        <v>2180000</v>
      </c>
      <c r="AG29" s="475">
        <v>19620000</v>
      </c>
      <c r="AI29" s="482" t="s">
        <v>1161</v>
      </c>
      <c r="AJ29" s="480" t="s">
        <v>1117</v>
      </c>
      <c r="AK29" s="477" t="s">
        <v>1120</v>
      </c>
      <c r="AL29" s="481" t="s">
        <v>1119</v>
      </c>
      <c r="AM29" s="476">
        <v>180</v>
      </c>
      <c r="AN29" s="479" t="s">
        <v>1133</v>
      </c>
      <c r="AO29" s="479"/>
      <c r="AP29" s="479"/>
      <c r="AQ29" s="479" t="s">
        <v>1131</v>
      </c>
      <c r="AR29" s="479"/>
      <c r="AS29" s="479"/>
      <c r="AV29" s="242">
        <v>46023</v>
      </c>
      <c r="AW29" s="240">
        <v>180</v>
      </c>
      <c r="AX29" s="240">
        <v>180</v>
      </c>
      <c r="AY29" s="242">
        <v>46383</v>
      </c>
    </row>
    <row r="30" spans="1:51">
      <c r="A30" s="472">
        <v>9</v>
      </c>
      <c r="B30" s="482" t="s">
        <v>1162</v>
      </c>
      <c r="C30" s="474">
        <v>0</v>
      </c>
      <c r="D30" s="474">
        <v>0</v>
      </c>
      <c r="E30" s="474">
        <v>0</v>
      </c>
      <c r="F30" s="474">
        <v>0</v>
      </c>
      <c r="G30" s="474">
        <v>0</v>
      </c>
      <c r="H30" s="474">
        <v>0</v>
      </c>
      <c r="I30" s="474">
        <v>0</v>
      </c>
      <c r="J30" s="474">
        <v>0</v>
      </c>
      <c r="K30" s="474">
        <v>0</v>
      </c>
      <c r="L30" s="474">
        <v>0</v>
      </c>
      <c r="M30" s="474">
        <v>0</v>
      </c>
      <c r="N30" s="474">
        <v>0</v>
      </c>
      <c r="O30" s="474">
        <v>0</v>
      </c>
      <c r="P30" s="474">
        <v>0</v>
      </c>
      <c r="Q30" s="474">
        <v>0</v>
      </c>
      <c r="R30" s="474">
        <v>0</v>
      </c>
      <c r="S30" s="474">
        <v>0</v>
      </c>
      <c r="T30" s="474">
        <v>0</v>
      </c>
      <c r="U30" s="474">
        <v>0</v>
      </c>
      <c r="V30" s="474">
        <v>0</v>
      </c>
      <c r="W30" s="474">
        <v>0</v>
      </c>
      <c r="X30" s="474">
        <v>0</v>
      </c>
      <c r="Y30" s="474">
        <v>0</v>
      </c>
      <c r="Z30" s="474">
        <v>0</v>
      </c>
      <c r="AA30" s="474">
        <v>0</v>
      </c>
      <c r="AB30" s="474">
        <v>0</v>
      </c>
      <c r="AC30" s="474">
        <v>0</v>
      </c>
      <c r="AD30" s="474">
        <v>1</v>
      </c>
      <c r="AE30" s="475">
        <v>1</v>
      </c>
      <c r="AF30" s="475">
        <v>2630000</v>
      </c>
      <c r="AG30" s="475">
        <v>2630000</v>
      </c>
      <c r="AI30" s="482" t="s">
        <v>1162</v>
      </c>
      <c r="AJ30" s="480" t="s">
        <v>1117</v>
      </c>
      <c r="AK30" s="477" t="s">
        <v>1124</v>
      </c>
      <c r="AL30" s="481" t="s">
        <v>1119</v>
      </c>
      <c r="AM30" s="476">
        <v>120</v>
      </c>
      <c r="AN30" s="479" t="s">
        <v>1131</v>
      </c>
      <c r="AO30" s="479"/>
      <c r="AP30" s="479"/>
      <c r="AQ30" s="479" t="s">
        <v>1134</v>
      </c>
      <c r="AR30" s="479"/>
      <c r="AS30" s="479"/>
      <c r="AV30" s="242">
        <v>46113</v>
      </c>
      <c r="AW30" s="240">
        <v>180</v>
      </c>
      <c r="AX30" s="240">
        <v>120</v>
      </c>
      <c r="AY30" s="242">
        <v>46413</v>
      </c>
    </row>
    <row r="31" spans="1:51" ht="21" customHeight="1">
      <c r="A31" s="472">
        <v>10</v>
      </c>
      <c r="B31" s="482" t="s">
        <v>1163</v>
      </c>
      <c r="C31" s="474">
        <v>0</v>
      </c>
      <c r="D31" s="474">
        <v>0</v>
      </c>
      <c r="E31" s="474">
        <v>0</v>
      </c>
      <c r="F31" s="474">
        <v>0</v>
      </c>
      <c r="G31" s="474">
        <v>0</v>
      </c>
      <c r="H31" s="474">
        <v>0</v>
      </c>
      <c r="I31" s="474">
        <v>0</v>
      </c>
      <c r="J31" s="474">
        <v>0</v>
      </c>
      <c r="K31" s="474">
        <v>0</v>
      </c>
      <c r="L31" s="474">
        <v>0</v>
      </c>
      <c r="M31" s="474">
        <v>0</v>
      </c>
      <c r="N31" s="474">
        <v>0</v>
      </c>
      <c r="O31" s="474">
        <v>0</v>
      </c>
      <c r="P31" s="474">
        <v>0</v>
      </c>
      <c r="Q31" s="474">
        <v>0</v>
      </c>
      <c r="R31" s="474">
        <v>0</v>
      </c>
      <c r="S31" s="474">
        <v>0</v>
      </c>
      <c r="T31" s="474">
        <v>0</v>
      </c>
      <c r="U31" s="474">
        <v>0</v>
      </c>
      <c r="V31" s="474">
        <v>0</v>
      </c>
      <c r="W31" s="474">
        <v>0</v>
      </c>
      <c r="X31" s="474">
        <v>0</v>
      </c>
      <c r="Y31" s="474">
        <v>0</v>
      </c>
      <c r="Z31" s="474">
        <v>0</v>
      </c>
      <c r="AA31" s="474">
        <v>0</v>
      </c>
      <c r="AB31" s="474">
        <v>0</v>
      </c>
      <c r="AC31" s="474">
        <v>0</v>
      </c>
      <c r="AD31" s="474">
        <v>11</v>
      </c>
      <c r="AE31" s="475">
        <v>11</v>
      </c>
      <c r="AF31" s="475">
        <v>7450000</v>
      </c>
      <c r="AG31" s="475">
        <v>81950000</v>
      </c>
      <c r="AI31" s="482" t="s">
        <v>1163</v>
      </c>
      <c r="AJ31" s="480" t="s">
        <v>1127</v>
      </c>
      <c r="AK31" s="477" t="s">
        <v>1124</v>
      </c>
      <c r="AL31" s="481" t="s">
        <v>1129</v>
      </c>
      <c r="AM31" s="476">
        <v>360</v>
      </c>
      <c r="AN31" s="479" t="s">
        <v>1152</v>
      </c>
      <c r="AO31" s="479"/>
      <c r="AP31" s="479"/>
      <c r="AQ31" s="479" t="s">
        <v>1155</v>
      </c>
      <c r="AR31" s="479"/>
      <c r="AS31" s="479"/>
      <c r="AV31" s="242">
        <v>46113</v>
      </c>
      <c r="AW31" s="240">
        <v>240</v>
      </c>
      <c r="AX31" s="240">
        <v>360</v>
      </c>
      <c r="AY31" s="242">
        <v>46713</v>
      </c>
    </row>
    <row r="32" spans="1:51">
      <c r="A32" s="487">
        <v>11</v>
      </c>
      <c r="B32" s="482" t="s">
        <v>1164</v>
      </c>
      <c r="C32" s="474">
        <v>0</v>
      </c>
      <c r="D32" s="474">
        <v>0</v>
      </c>
      <c r="E32" s="474">
        <v>0</v>
      </c>
      <c r="F32" s="474">
        <v>0</v>
      </c>
      <c r="G32" s="474">
        <v>0</v>
      </c>
      <c r="H32" s="474">
        <v>0</v>
      </c>
      <c r="I32" s="474">
        <v>0</v>
      </c>
      <c r="J32" s="474">
        <v>0</v>
      </c>
      <c r="K32" s="474">
        <v>0</v>
      </c>
      <c r="L32" s="474">
        <v>0</v>
      </c>
      <c r="M32" s="474">
        <v>0</v>
      </c>
      <c r="N32" s="474">
        <v>0</v>
      </c>
      <c r="O32" s="474">
        <v>0</v>
      </c>
      <c r="P32" s="474">
        <v>0</v>
      </c>
      <c r="Q32" s="474">
        <v>0</v>
      </c>
      <c r="R32" s="474">
        <v>0</v>
      </c>
      <c r="S32" s="474">
        <v>0</v>
      </c>
      <c r="T32" s="474">
        <v>0</v>
      </c>
      <c r="U32" s="474">
        <v>0</v>
      </c>
      <c r="V32" s="474">
        <v>0</v>
      </c>
      <c r="W32" s="474">
        <v>0</v>
      </c>
      <c r="X32" s="474">
        <v>0</v>
      </c>
      <c r="Y32" s="474">
        <v>0</v>
      </c>
      <c r="Z32" s="474">
        <v>0</v>
      </c>
      <c r="AA32" s="474">
        <v>0</v>
      </c>
      <c r="AB32" s="474">
        <v>0</v>
      </c>
      <c r="AC32" s="474">
        <v>0</v>
      </c>
      <c r="AD32" s="474">
        <v>4</v>
      </c>
      <c r="AE32" s="475">
        <v>4</v>
      </c>
      <c r="AF32" s="475">
        <v>6805000</v>
      </c>
      <c r="AG32" s="475">
        <v>27220000</v>
      </c>
      <c r="AI32" s="482" t="s">
        <v>1164</v>
      </c>
      <c r="AJ32" s="480" t="s">
        <v>1127</v>
      </c>
      <c r="AK32" s="477" t="s">
        <v>1124</v>
      </c>
      <c r="AL32" s="481" t="s">
        <v>1119</v>
      </c>
      <c r="AM32" s="476">
        <v>180</v>
      </c>
      <c r="AN32" s="479" t="s">
        <v>1132</v>
      </c>
      <c r="AO32" s="479"/>
      <c r="AP32" s="479"/>
      <c r="AQ32" s="479" t="s">
        <v>1135</v>
      </c>
      <c r="AR32" s="479"/>
      <c r="AS32" s="479"/>
      <c r="AV32" s="242">
        <v>46113</v>
      </c>
      <c r="AW32" s="240">
        <v>180</v>
      </c>
      <c r="AX32" s="240">
        <v>180</v>
      </c>
      <c r="AY32" s="242">
        <v>46473</v>
      </c>
    </row>
    <row r="33" spans="1:51">
      <c r="A33" s="472">
        <v>12</v>
      </c>
      <c r="B33" s="482" t="s">
        <v>1165</v>
      </c>
      <c r="C33" s="474">
        <v>0</v>
      </c>
      <c r="D33" s="474">
        <v>0</v>
      </c>
      <c r="E33" s="474">
        <v>0</v>
      </c>
      <c r="F33" s="474">
        <v>0</v>
      </c>
      <c r="G33" s="474">
        <v>0</v>
      </c>
      <c r="H33" s="474">
        <v>0</v>
      </c>
      <c r="I33" s="474">
        <v>0</v>
      </c>
      <c r="J33" s="474">
        <v>0</v>
      </c>
      <c r="K33" s="474">
        <v>0</v>
      </c>
      <c r="L33" s="474">
        <v>0</v>
      </c>
      <c r="M33" s="474">
        <v>0</v>
      </c>
      <c r="N33" s="474">
        <v>0</v>
      </c>
      <c r="O33" s="474">
        <v>0</v>
      </c>
      <c r="P33" s="474">
        <v>0</v>
      </c>
      <c r="Q33" s="474">
        <v>0</v>
      </c>
      <c r="R33" s="474">
        <v>0</v>
      </c>
      <c r="S33" s="474">
        <v>0</v>
      </c>
      <c r="T33" s="474">
        <v>0</v>
      </c>
      <c r="U33" s="474">
        <v>0</v>
      </c>
      <c r="V33" s="474">
        <v>0</v>
      </c>
      <c r="W33" s="474">
        <v>0</v>
      </c>
      <c r="X33" s="474">
        <v>0</v>
      </c>
      <c r="Y33" s="474">
        <v>0</v>
      </c>
      <c r="Z33" s="474">
        <v>0</v>
      </c>
      <c r="AA33" s="474">
        <v>0</v>
      </c>
      <c r="AB33" s="474">
        <v>0</v>
      </c>
      <c r="AC33" s="474">
        <v>0</v>
      </c>
      <c r="AD33" s="474">
        <v>2</v>
      </c>
      <c r="AE33" s="475">
        <v>2</v>
      </c>
      <c r="AF33" s="475">
        <v>6805000</v>
      </c>
      <c r="AG33" s="475">
        <v>13610000</v>
      </c>
      <c r="AI33" s="482" t="s">
        <v>1165</v>
      </c>
      <c r="AJ33" s="480" t="s">
        <v>1127</v>
      </c>
      <c r="AK33" s="477" t="s">
        <v>1124</v>
      </c>
      <c r="AL33" s="481" t="s">
        <v>1119</v>
      </c>
      <c r="AM33" s="476">
        <v>180</v>
      </c>
      <c r="AN33" s="479" t="s">
        <v>1132</v>
      </c>
      <c r="AO33" s="479"/>
      <c r="AP33" s="479"/>
      <c r="AQ33" s="479" t="s">
        <v>1135</v>
      </c>
      <c r="AR33" s="479"/>
      <c r="AS33" s="479"/>
      <c r="AV33" s="242">
        <v>46113</v>
      </c>
      <c r="AW33" s="240">
        <v>180</v>
      </c>
      <c r="AX33" s="240">
        <v>180</v>
      </c>
      <c r="AY33" s="242">
        <v>46473</v>
      </c>
    </row>
    <row r="34" spans="1:51">
      <c r="A34" s="472">
        <v>13</v>
      </c>
      <c r="B34" s="482" t="s">
        <v>1166</v>
      </c>
      <c r="C34" s="474">
        <v>0</v>
      </c>
      <c r="D34" s="474">
        <v>0</v>
      </c>
      <c r="E34" s="474">
        <v>0</v>
      </c>
      <c r="F34" s="474">
        <v>0</v>
      </c>
      <c r="G34" s="474">
        <v>0</v>
      </c>
      <c r="H34" s="474">
        <v>0</v>
      </c>
      <c r="I34" s="474">
        <v>0</v>
      </c>
      <c r="J34" s="474">
        <v>0</v>
      </c>
      <c r="K34" s="474">
        <v>0</v>
      </c>
      <c r="L34" s="474">
        <v>0</v>
      </c>
      <c r="M34" s="474">
        <v>0</v>
      </c>
      <c r="N34" s="474">
        <v>0</v>
      </c>
      <c r="O34" s="474">
        <v>0</v>
      </c>
      <c r="P34" s="474">
        <v>0</v>
      </c>
      <c r="Q34" s="474">
        <v>0</v>
      </c>
      <c r="R34" s="474">
        <v>0</v>
      </c>
      <c r="S34" s="474">
        <v>0</v>
      </c>
      <c r="T34" s="474">
        <v>0</v>
      </c>
      <c r="U34" s="474">
        <v>0</v>
      </c>
      <c r="V34" s="474">
        <v>0</v>
      </c>
      <c r="W34" s="474">
        <v>0</v>
      </c>
      <c r="X34" s="474">
        <v>0</v>
      </c>
      <c r="Y34" s="474">
        <v>0</v>
      </c>
      <c r="Z34" s="474">
        <v>0</v>
      </c>
      <c r="AA34" s="474">
        <v>0</v>
      </c>
      <c r="AB34" s="474">
        <v>0</v>
      </c>
      <c r="AC34" s="474">
        <v>0</v>
      </c>
      <c r="AD34" s="474">
        <v>3</v>
      </c>
      <c r="AE34" s="475">
        <v>3</v>
      </c>
      <c r="AF34" s="475">
        <v>4420000</v>
      </c>
      <c r="AG34" s="475">
        <v>13260000</v>
      </c>
      <c r="AI34" s="482" t="s">
        <v>1166</v>
      </c>
      <c r="AJ34" s="480" t="s">
        <v>1127</v>
      </c>
      <c r="AK34" s="477" t="s">
        <v>1124</v>
      </c>
      <c r="AL34" s="481" t="s">
        <v>1119</v>
      </c>
      <c r="AM34" s="476">
        <v>180</v>
      </c>
      <c r="AN34" s="479" t="s">
        <v>1132</v>
      </c>
      <c r="AO34" s="479"/>
      <c r="AP34" s="479"/>
      <c r="AQ34" s="479" t="s">
        <v>1135</v>
      </c>
      <c r="AR34" s="479"/>
      <c r="AS34" s="479"/>
      <c r="AV34" s="242">
        <v>46113</v>
      </c>
      <c r="AW34" s="240">
        <v>180</v>
      </c>
      <c r="AX34" s="240">
        <v>180</v>
      </c>
      <c r="AY34" s="242">
        <v>46473</v>
      </c>
    </row>
    <row r="35" spans="1:51">
      <c r="A35" s="487">
        <v>14</v>
      </c>
      <c r="B35" s="482" t="s">
        <v>1167</v>
      </c>
      <c r="C35" s="474">
        <v>0</v>
      </c>
      <c r="D35" s="474">
        <v>0</v>
      </c>
      <c r="E35" s="474">
        <v>0</v>
      </c>
      <c r="F35" s="474">
        <v>0</v>
      </c>
      <c r="G35" s="474">
        <v>0</v>
      </c>
      <c r="H35" s="474">
        <v>0</v>
      </c>
      <c r="I35" s="474">
        <v>0</v>
      </c>
      <c r="J35" s="474">
        <v>0</v>
      </c>
      <c r="K35" s="474">
        <v>0</v>
      </c>
      <c r="L35" s="474">
        <v>0</v>
      </c>
      <c r="M35" s="474">
        <v>0</v>
      </c>
      <c r="N35" s="474">
        <v>0</v>
      </c>
      <c r="O35" s="474">
        <v>0</v>
      </c>
      <c r="P35" s="474">
        <v>0</v>
      </c>
      <c r="Q35" s="474">
        <v>0</v>
      </c>
      <c r="R35" s="474">
        <v>0</v>
      </c>
      <c r="S35" s="474">
        <v>0</v>
      </c>
      <c r="T35" s="474">
        <v>0</v>
      </c>
      <c r="U35" s="474">
        <v>0</v>
      </c>
      <c r="V35" s="474">
        <v>0</v>
      </c>
      <c r="W35" s="474">
        <v>0</v>
      </c>
      <c r="X35" s="474">
        <v>0</v>
      </c>
      <c r="Y35" s="474">
        <v>0</v>
      </c>
      <c r="Z35" s="474">
        <v>0</v>
      </c>
      <c r="AA35" s="474">
        <v>0</v>
      </c>
      <c r="AB35" s="474">
        <v>0</v>
      </c>
      <c r="AC35" s="474">
        <v>0</v>
      </c>
      <c r="AD35" s="474">
        <v>10</v>
      </c>
      <c r="AE35" s="475">
        <v>10</v>
      </c>
      <c r="AF35" s="475">
        <v>7000000</v>
      </c>
      <c r="AG35" s="475">
        <v>70000000</v>
      </c>
      <c r="AI35" s="482" t="s">
        <v>1167</v>
      </c>
      <c r="AJ35" s="480" t="s">
        <v>1127</v>
      </c>
      <c r="AK35" s="477" t="s">
        <v>1124</v>
      </c>
      <c r="AL35" s="481" t="s">
        <v>1129</v>
      </c>
      <c r="AM35" s="476">
        <v>360</v>
      </c>
      <c r="AN35" s="479" t="s">
        <v>1152</v>
      </c>
      <c r="AO35" s="479"/>
      <c r="AP35" s="479"/>
      <c r="AQ35" s="479" t="s">
        <v>1155</v>
      </c>
      <c r="AR35" s="479"/>
      <c r="AS35" s="479"/>
      <c r="AV35" s="242">
        <v>46113</v>
      </c>
      <c r="AW35" s="240">
        <v>240</v>
      </c>
      <c r="AX35" s="240">
        <v>360</v>
      </c>
      <c r="AY35" s="242">
        <v>46713</v>
      </c>
    </row>
    <row r="36" spans="1:51">
      <c r="A36" s="472">
        <v>15</v>
      </c>
      <c r="B36" s="482" t="s">
        <v>1168</v>
      </c>
      <c r="C36" s="474">
        <v>0</v>
      </c>
      <c r="D36" s="474">
        <v>0</v>
      </c>
      <c r="E36" s="474">
        <v>0</v>
      </c>
      <c r="F36" s="474">
        <v>0</v>
      </c>
      <c r="G36" s="474">
        <v>0</v>
      </c>
      <c r="H36" s="474">
        <v>0</v>
      </c>
      <c r="I36" s="474">
        <v>0</v>
      </c>
      <c r="J36" s="474">
        <v>0</v>
      </c>
      <c r="K36" s="474">
        <v>0</v>
      </c>
      <c r="L36" s="474">
        <v>0</v>
      </c>
      <c r="M36" s="474">
        <v>0</v>
      </c>
      <c r="N36" s="474">
        <v>0</v>
      </c>
      <c r="O36" s="474">
        <v>0</v>
      </c>
      <c r="P36" s="474">
        <v>0</v>
      </c>
      <c r="Q36" s="474">
        <v>0</v>
      </c>
      <c r="R36" s="474">
        <v>0</v>
      </c>
      <c r="S36" s="474">
        <v>0</v>
      </c>
      <c r="T36" s="474">
        <v>0</v>
      </c>
      <c r="U36" s="474">
        <v>0</v>
      </c>
      <c r="V36" s="474">
        <v>0</v>
      </c>
      <c r="W36" s="474">
        <v>0</v>
      </c>
      <c r="X36" s="474">
        <v>0</v>
      </c>
      <c r="Y36" s="474">
        <v>0</v>
      </c>
      <c r="Z36" s="474">
        <v>0</v>
      </c>
      <c r="AA36" s="474">
        <v>0</v>
      </c>
      <c r="AB36" s="474">
        <v>0</v>
      </c>
      <c r="AC36" s="474">
        <v>0</v>
      </c>
      <c r="AD36" s="474">
        <v>2</v>
      </c>
      <c r="AE36" s="475">
        <v>2</v>
      </c>
      <c r="AF36" s="475">
        <v>7000000</v>
      </c>
      <c r="AG36" s="475">
        <v>14000000</v>
      </c>
      <c r="AI36" s="482" t="s">
        <v>1168</v>
      </c>
      <c r="AJ36" s="480" t="s">
        <v>1127</v>
      </c>
      <c r="AK36" s="477" t="s">
        <v>1124</v>
      </c>
      <c r="AL36" s="481" t="s">
        <v>1119</v>
      </c>
      <c r="AM36" s="476">
        <v>180</v>
      </c>
      <c r="AN36" s="479" t="s">
        <v>1132</v>
      </c>
      <c r="AO36" s="479"/>
      <c r="AP36" s="479"/>
      <c r="AQ36" s="479" t="s">
        <v>1135</v>
      </c>
      <c r="AR36" s="479"/>
      <c r="AS36" s="479"/>
      <c r="AV36" s="242">
        <v>46113</v>
      </c>
      <c r="AW36" s="240">
        <v>180</v>
      </c>
      <c r="AX36" s="240">
        <v>180</v>
      </c>
      <c r="AY36" s="242">
        <v>46473</v>
      </c>
    </row>
    <row r="37" spans="1:51">
      <c r="A37" s="483"/>
      <c r="B37" s="483" t="s">
        <v>61</v>
      </c>
      <c r="C37" s="801">
        <v>17</v>
      </c>
      <c r="D37" s="801"/>
      <c r="E37" s="801">
        <v>10</v>
      </c>
      <c r="F37" s="801"/>
      <c r="G37" s="801">
        <v>15</v>
      </c>
      <c r="H37" s="801"/>
      <c r="I37" s="801">
        <v>17</v>
      </c>
      <c r="J37" s="801"/>
      <c r="K37" s="801">
        <v>16</v>
      </c>
      <c r="L37" s="801"/>
      <c r="M37" s="801">
        <v>18</v>
      </c>
      <c r="N37" s="801"/>
      <c r="O37" s="801">
        <v>18</v>
      </c>
      <c r="P37" s="801"/>
      <c r="Q37" s="801">
        <v>12</v>
      </c>
      <c r="R37" s="801"/>
      <c r="S37" s="801">
        <v>19</v>
      </c>
      <c r="T37" s="801"/>
      <c r="U37" s="801">
        <v>10</v>
      </c>
      <c r="V37" s="801"/>
      <c r="W37" s="801">
        <v>17</v>
      </c>
      <c r="X37" s="801"/>
      <c r="Y37" s="801">
        <v>11</v>
      </c>
      <c r="Z37" s="801"/>
      <c r="AA37" s="472">
        <v>0</v>
      </c>
      <c r="AB37" s="472">
        <v>1</v>
      </c>
      <c r="AC37" s="472">
        <v>0</v>
      </c>
      <c r="AD37" s="472">
        <v>74</v>
      </c>
      <c r="AE37" s="484">
        <v>255</v>
      </c>
      <c r="AF37" s="485"/>
      <c r="AG37" s="486">
        <v>1057965000</v>
      </c>
    </row>
  </sheetData>
  <mergeCells count="70">
    <mergeCell ref="AF20:AF21"/>
    <mergeCell ref="AG20:AG21"/>
    <mergeCell ref="AI20:AS20"/>
    <mergeCell ref="AC20:AC21"/>
    <mergeCell ref="AD20:AD21"/>
    <mergeCell ref="C37:D37"/>
    <mergeCell ref="E37:F37"/>
    <mergeCell ref="G37:H37"/>
    <mergeCell ref="I37:J37"/>
    <mergeCell ref="K37:L37"/>
    <mergeCell ref="M37:N37"/>
    <mergeCell ref="W20:X20"/>
    <mergeCell ref="Y20:Z20"/>
    <mergeCell ref="AA20:AA21"/>
    <mergeCell ref="AB20:AB21"/>
    <mergeCell ref="U20:V20"/>
    <mergeCell ref="Y37:Z37"/>
    <mergeCell ref="O37:P37"/>
    <mergeCell ref="Q37:R37"/>
    <mergeCell ref="S37:T37"/>
    <mergeCell ref="U37:V37"/>
    <mergeCell ref="W37:X37"/>
    <mergeCell ref="U16:V16"/>
    <mergeCell ref="W16:X16"/>
    <mergeCell ref="Y16:Z16"/>
    <mergeCell ref="A18:AG19"/>
    <mergeCell ref="A20:A21"/>
    <mergeCell ref="B20:B21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AE20:AE21"/>
    <mergeCell ref="AI4:AS4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AB4:AB5"/>
    <mergeCell ref="AC4:AC5"/>
    <mergeCell ref="AD4:AD5"/>
    <mergeCell ref="AE4:AE5"/>
    <mergeCell ref="AF4:AF5"/>
    <mergeCell ref="AG4:AG5"/>
    <mergeCell ref="AA4:AA5"/>
    <mergeCell ref="A2:AG3"/>
    <mergeCell ref="A4:A5"/>
    <mergeCell ref="B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</mergeCells>
  <pageMargins left="0.25" right="0.25" top="0.75" bottom="0.75" header="0.3" footer="0.3"/>
  <pageSetup paperSize="9" scale="60" orientation="landscape" r:id="rId1"/>
  <colBreaks count="1" manualBreakCount="1">
    <brk id="4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2635-17E8-4B31-9045-CC76ADECFDF9}">
  <sheetPr>
    <tabColor rgb="FFC00000"/>
    <pageSetUpPr fitToPage="1"/>
  </sheetPr>
  <dimension ref="A1:BT39"/>
  <sheetViews>
    <sheetView view="pageBreakPreview" zoomScale="85" zoomScaleNormal="80" zoomScaleSheetLayoutView="85" workbookViewId="0">
      <pane xSplit="17" ySplit="4" topLeftCell="BN5" activePane="bottomRight" state="frozen"/>
      <selection pane="bottomRight" activeCell="BT27" sqref="BT27"/>
      <selection pane="bottomLeft" activeCell="A5" sqref="A5"/>
      <selection pane="topRight" activeCell="BB1" sqref="BB1"/>
    </sheetView>
  </sheetViews>
  <sheetFormatPr defaultColWidth="9.140625" defaultRowHeight="21"/>
  <cols>
    <col min="1" max="1" width="4" style="240" customWidth="1"/>
    <col min="2" max="2" width="49.42578125" style="240" customWidth="1"/>
    <col min="3" max="3" width="13.7109375" style="351" customWidth="1"/>
    <col min="4" max="4" width="1.28515625" style="240" customWidth="1"/>
    <col min="5" max="6" width="7.5703125" style="240" customWidth="1"/>
    <col min="7" max="7" width="7.5703125" style="352" customWidth="1"/>
    <col min="8" max="8" width="17" style="240" customWidth="1"/>
    <col min="9" max="9" width="1.28515625" style="240" customWidth="1"/>
    <col min="10" max="12" width="7.28515625" style="240" customWidth="1"/>
    <col min="13" max="13" width="1.28515625" style="240" customWidth="1"/>
    <col min="14" max="15" width="10.85546875" style="240" bestFit="1" customWidth="1"/>
    <col min="16" max="16" width="9.85546875" style="240" customWidth="1"/>
    <col min="17" max="17" width="1.28515625" style="240" customWidth="1"/>
    <col min="18" max="18" width="4.5703125" style="240" hidden="1" customWidth="1"/>
    <col min="19" max="20" width="4.85546875" style="240" hidden="1" customWidth="1"/>
    <col min="21" max="21" width="5.28515625" style="240" hidden="1" customWidth="1"/>
    <col min="22" max="22" width="4.85546875" style="240" hidden="1" customWidth="1"/>
    <col min="23" max="27" width="4.5703125" style="240" hidden="1" customWidth="1"/>
    <col min="28" max="28" width="4.85546875" style="240" hidden="1" customWidth="1"/>
    <col min="29" max="29" width="4.42578125" style="240" hidden="1" customWidth="1"/>
    <col min="30" max="30" width="4.5703125" style="240" hidden="1" customWidth="1"/>
    <col min="31" max="32" width="4.85546875" style="240" hidden="1" customWidth="1"/>
    <col min="33" max="33" width="5.28515625" style="240" hidden="1" customWidth="1"/>
    <col min="34" max="34" width="4.85546875" style="240" hidden="1" customWidth="1"/>
    <col min="35" max="39" width="4.5703125" style="240" hidden="1" customWidth="1"/>
    <col min="40" max="40" width="4.85546875" style="240" hidden="1" customWidth="1"/>
    <col min="41" max="41" width="4.42578125" style="240" hidden="1" customWidth="1"/>
    <col min="42" max="42" width="4.5703125" style="240" hidden="1" customWidth="1"/>
    <col min="43" max="43" width="4.85546875" style="240" hidden="1" customWidth="1"/>
    <col min="44" max="44" width="4.5703125" style="240" hidden="1" customWidth="1"/>
    <col min="45" max="45" width="5.28515625" style="240" hidden="1" customWidth="1"/>
    <col min="46" max="46" width="4.85546875" style="240" hidden="1" customWidth="1"/>
    <col min="47" max="51" width="4.5703125" style="240" hidden="1" customWidth="1"/>
    <col min="52" max="52" width="4.85546875" style="240" hidden="1" customWidth="1"/>
    <col min="53" max="53" width="4.42578125" style="240" hidden="1" customWidth="1"/>
    <col min="54" max="54" width="4.5703125" style="240" hidden="1" customWidth="1"/>
    <col min="55" max="55" width="4.85546875" style="240" hidden="1" customWidth="1"/>
    <col min="56" max="56" width="4.28515625" style="240" hidden="1" customWidth="1"/>
    <col min="57" max="57" width="5.28515625" style="240" hidden="1" customWidth="1"/>
    <col min="58" max="58" width="4.85546875" style="240" hidden="1" customWidth="1"/>
    <col min="59" max="63" width="4.5703125" style="240" hidden="1" customWidth="1"/>
    <col min="64" max="64" width="4.85546875" style="240" hidden="1" customWidth="1"/>
    <col min="65" max="65" width="4.42578125" style="240" hidden="1" customWidth="1"/>
    <col min="66" max="66" width="1.28515625" style="240" customWidth="1"/>
    <col min="67" max="68" width="10.85546875" style="240" bestFit="1" customWidth="1"/>
    <col min="69" max="69" width="11.28515625" style="240" bestFit="1" customWidth="1"/>
    <col min="70" max="70" width="10" style="240" customWidth="1"/>
    <col min="71" max="16384" width="9.140625" style="240"/>
  </cols>
  <sheetData>
    <row r="1" spans="1:70" ht="27.75" customHeight="1">
      <c r="A1" s="809" t="s">
        <v>1169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809"/>
      <c r="AD1" s="809"/>
      <c r="AE1" s="809"/>
      <c r="AF1" s="809"/>
      <c r="AG1" s="809"/>
      <c r="AH1" s="809"/>
      <c r="AI1" s="809"/>
      <c r="AJ1" s="809"/>
      <c r="AK1" s="809"/>
      <c r="AL1" s="809"/>
      <c r="AM1" s="809"/>
      <c r="AN1" s="809"/>
      <c r="AO1" s="809"/>
      <c r="AP1" s="809"/>
      <c r="AQ1" s="809"/>
      <c r="AR1" s="809"/>
      <c r="AS1" s="809"/>
      <c r="AT1" s="809"/>
      <c r="AU1" s="809"/>
      <c r="AV1" s="809"/>
      <c r="AW1" s="809"/>
      <c r="AX1" s="809"/>
      <c r="AY1" s="809"/>
      <c r="AZ1" s="809"/>
      <c r="BA1" s="809"/>
      <c r="BB1" s="809"/>
      <c r="BC1" s="809"/>
      <c r="BD1" s="809"/>
      <c r="BE1" s="809"/>
      <c r="BF1" s="809"/>
      <c r="BG1" s="809"/>
      <c r="BH1" s="809"/>
      <c r="BI1" s="809"/>
      <c r="BJ1" s="809"/>
      <c r="BK1" s="809"/>
      <c r="BL1" s="809"/>
      <c r="BM1" s="809"/>
      <c r="BN1" s="809"/>
      <c r="BO1" s="809"/>
      <c r="BP1" s="809"/>
      <c r="BQ1" s="809"/>
      <c r="BR1" s="809"/>
    </row>
    <row r="2" spans="1:70" ht="24" thickBot="1">
      <c r="A2" s="300"/>
      <c r="B2" s="301"/>
      <c r="C2" s="302"/>
      <c r="D2" s="300"/>
      <c r="E2" s="300"/>
      <c r="F2" s="300"/>
      <c r="G2" s="810" t="s">
        <v>1170</v>
      </c>
      <c r="H2" s="810"/>
      <c r="I2" s="300"/>
      <c r="J2" s="811" t="s">
        <v>1171</v>
      </c>
      <c r="K2" s="812"/>
      <c r="L2" s="813"/>
      <c r="M2" s="300"/>
      <c r="N2" s="814" t="s">
        <v>1172</v>
      </c>
      <c r="O2" s="815"/>
      <c r="P2" s="816"/>
      <c r="Q2" s="300"/>
      <c r="R2" s="300"/>
      <c r="S2" s="300"/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  <c r="AR2" s="300"/>
      <c r="AS2" s="300"/>
      <c r="AT2" s="300"/>
      <c r="AU2" s="300"/>
      <c r="AV2" s="300"/>
      <c r="AW2" s="300"/>
      <c r="AX2" s="300"/>
      <c r="AY2" s="300"/>
      <c r="AZ2" s="300"/>
      <c r="BA2" s="300"/>
      <c r="BB2" s="300"/>
      <c r="BC2" s="300"/>
      <c r="BD2" s="300"/>
      <c r="BE2" s="300"/>
      <c r="BF2" s="300"/>
      <c r="BG2" s="300"/>
      <c r="BH2" s="300"/>
      <c r="BI2" s="300"/>
      <c r="BJ2" s="300"/>
      <c r="BK2" s="300"/>
      <c r="BL2" s="300"/>
      <c r="BM2" s="300"/>
      <c r="BN2" s="300"/>
      <c r="BO2" s="817" t="s">
        <v>1173</v>
      </c>
      <c r="BP2" s="818"/>
      <c r="BQ2" s="818"/>
      <c r="BR2" s="819"/>
    </row>
    <row r="3" spans="1:70" s="304" customFormat="1" ht="93.75" customHeight="1">
      <c r="A3" s="488" t="s">
        <v>56</v>
      </c>
      <c r="B3" s="488" t="s">
        <v>1174</v>
      </c>
      <c r="C3" s="489" t="s">
        <v>1175</v>
      </c>
      <c r="D3" s="303"/>
      <c r="E3" s="490" t="s">
        <v>1176</v>
      </c>
      <c r="F3" s="490" t="s">
        <v>1177</v>
      </c>
      <c r="G3" s="491" t="s">
        <v>1103</v>
      </c>
      <c r="H3" s="492" t="s">
        <v>1178</v>
      </c>
      <c r="I3" s="303"/>
      <c r="J3" s="493">
        <v>2568</v>
      </c>
      <c r="K3" s="493">
        <v>2569</v>
      </c>
      <c r="L3" s="488">
        <v>2570</v>
      </c>
      <c r="M3" s="303"/>
      <c r="N3" s="493">
        <v>2568</v>
      </c>
      <c r="O3" s="493">
        <v>2569</v>
      </c>
      <c r="P3" s="488">
        <v>2570</v>
      </c>
      <c r="Q3" s="303"/>
      <c r="R3" s="820" t="s">
        <v>1179</v>
      </c>
      <c r="S3" s="821"/>
      <c r="T3" s="821"/>
      <c r="U3" s="821"/>
      <c r="V3" s="821"/>
      <c r="W3" s="821"/>
      <c r="X3" s="821"/>
      <c r="Y3" s="821"/>
      <c r="Z3" s="821"/>
      <c r="AA3" s="821"/>
      <c r="AB3" s="821"/>
      <c r="AC3" s="822"/>
      <c r="AD3" s="820" t="s">
        <v>1180</v>
      </c>
      <c r="AE3" s="821"/>
      <c r="AF3" s="821"/>
      <c r="AG3" s="821"/>
      <c r="AH3" s="821"/>
      <c r="AI3" s="821"/>
      <c r="AJ3" s="821"/>
      <c r="AK3" s="821"/>
      <c r="AL3" s="821"/>
      <c r="AM3" s="821"/>
      <c r="AN3" s="821"/>
      <c r="AO3" s="822"/>
      <c r="AP3" s="820" t="s">
        <v>1181</v>
      </c>
      <c r="AQ3" s="821"/>
      <c r="AR3" s="821"/>
      <c r="AS3" s="821"/>
      <c r="AT3" s="821"/>
      <c r="AU3" s="821"/>
      <c r="AV3" s="821"/>
      <c r="AW3" s="821"/>
      <c r="AX3" s="821"/>
      <c r="AY3" s="821"/>
      <c r="AZ3" s="821"/>
      <c r="BA3" s="822"/>
      <c r="BB3" s="820" t="s">
        <v>1182</v>
      </c>
      <c r="BC3" s="821"/>
      <c r="BD3" s="821"/>
      <c r="BE3" s="821"/>
      <c r="BF3" s="821"/>
      <c r="BG3" s="821"/>
      <c r="BH3" s="821"/>
      <c r="BI3" s="821"/>
      <c r="BJ3" s="821"/>
      <c r="BK3" s="821"/>
      <c r="BL3" s="821"/>
      <c r="BM3" s="822"/>
      <c r="BN3" s="303"/>
      <c r="BO3" s="494" t="s">
        <v>271</v>
      </c>
      <c r="BP3" s="494" t="s">
        <v>654</v>
      </c>
      <c r="BQ3" s="494" t="s">
        <v>659</v>
      </c>
      <c r="BR3" s="494" t="s">
        <v>712</v>
      </c>
    </row>
    <row r="4" spans="1:70" s="304" customFormat="1" ht="26.25" customHeight="1">
      <c r="A4" s="305"/>
      <c r="B4" s="306"/>
      <c r="C4" s="307"/>
      <c r="D4" s="303"/>
      <c r="E4" s="308"/>
      <c r="F4" s="308"/>
      <c r="G4" s="309"/>
      <c r="H4" s="310"/>
      <c r="I4" s="311"/>
      <c r="J4" s="312"/>
      <c r="K4" s="313"/>
      <c r="L4" s="314"/>
      <c r="M4" s="311"/>
      <c r="N4" s="312"/>
      <c r="O4" s="313"/>
      <c r="P4" s="314"/>
      <c r="Q4" s="311"/>
      <c r="R4" s="495" t="s">
        <v>677</v>
      </c>
      <c r="S4" s="496" t="s">
        <v>678</v>
      </c>
      <c r="T4" s="496" t="s">
        <v>1183</v>
      </c>
      <c r="U4" s="496" t="s">
        <v>680</v>
      </c>
      <c r="V4" s="496" t="s">
        <v>681</v>
      </c>
      <c r="W4" s="496" t="s">
        <v>682</v>
      </c>
      <c r="X4" s="496" t="s">
        <v>683</v>
      </c>
      <c r="Y4" s="496" t="s">
        <v>684</v>
      </c>
      <c r="Z4" s="496" t="s">
        <v>685</v>
      </c>
      <c r="AA4" s="496" t="s">
        <v>686</v>
      </c>
      <c r="AB4" s="496" t="s">
        <v>687</v>
      </c>
      <c r="AC4" s="497" t="s">
        <v>688</v>
      </c>
      <c r="AD4" s="495" t="s">
        <v>677</v>
      </c>
      <c r="AE4" s="496" t="s">
        <v>678</v>
      </c>
      <c r="AF4" s="496" t="s">
        <v>1183</v>
      </c>
      <c r="AG4" s="496" t="s">
        <v>680</v>
      </c>
      <c r="AH4" s="496" t="s">
        <v>681</v>
      </c>
      <c r="AI4" s="496" t="s">
        <v>682</v>
      </c>
      <c r="AJ4" s="496" t="s">
        <v>683</v>
      </c>
      <c r="AK4" s="496" t="s">
        <v>684</v>
      </c>
      <c r="AL4" s="496" t="s">
        <v>685</v>
      </c>
      <c r="AM4" s="496" t="s">
        <v>686</v>
      </c>
      <c r="AN4" s="496" t="s">
        <v>687</v>
      </c>
      <c r="AO4" s="497" t="s">
        <v>688</v>
      </c>
      <c r="AP4" s="495" t="s">
        <v>677</v>
      </c>
      <c r="AQ4" s="496" t="s">
        <v>678</v>
      </c>
      <c r="AR4" s="496" t="s">
        <v>1183</v>
      </c>
      <c r="AS4" s="496" t="s">
        <v>680</v>
      </c>
      <c r="AT4" s="496" t="s">
        <v>681</v>
      </c>
      <c r="AU4" s="496" t="s">
        <v>682</v>
      </c>
      <c r="AV4" s="496" t="s">
        <v>683</v>
      </c>
      <c r="AW4" s="496" t="s">
        <v>684</v>
      </c>
      <c r="AX4" s="496" t="s">
        <v>685</v>
      </c>
      <c r="AY4" s="496" t="s">
        <v>686</v>
      </c>
      <c r="AZ4" s="496" t="s">
        <v>687</v>
      </c>
      <c r="BA4" s="497" t="s">
        <v>688</v>
      </c>
      <c r="BB4" s="495" t="s">
        <v>677</v>
      </c>
      <c r="BC4" s="496" t="s">
        <v>678</v>
      </c>
      <c r="BD4" s="496" t="s">
        <v>1183</v>
      </c>
      <c r="BE4" s="496" t="s">
        <v>680</v>
      </c>
      <c r="BF4" s="496" t="s">
        <v>681</v>
      </c>
      <c r="BG4" s="496" t="s">
        <v>682</v>
      </c>
      <c r="BH4" s="496" t="s">
        <v>683</v>
      </c>
      <c r="BI4" s="496" t="s">
        <v>684</v>
      </c>
      <c r="BJ4" s="496" t="s">
        <v>685</v>
      </c>
      <c r="BK4" s="496" t="s">
        <v>686</v>
      </c>
      <c r="BL4" s="496" t="s">
        <v>687</v>
      </c>
      <c r="BM4" s="497" t="s">
        <v>688</v>
      </c>
      <c r="BN4" s="303"/>
      <c r="BO4" s="593"/>
      <c r="BP4" s="593"/>
      <c r="BQ4" s="303"/>
      <c r="BR4" s="593"/>
    </row>
    <row r="5" spans="1:70" s="304" customFormat="1">
      <c r="A5" s="305">
        <v>1</v>
      </c>
      <c r="B5" s="306" t="s">
        <v>1116</v>
      </c>
      <c r="C5" s="307">
        <v>1920000</v>
      </c>
      <c r="D5" s="303"/>
      <c r="E5" s="315">
        <v>72</v>
      </c>
      <c r="F5" s="315">
        <v>0</v>
      </c>
      <c r="G5" s="316">
        <f>E5+F5</f>
        <v>72</v>
      </c>
      <c r="H5" s="317">
        <f t="shared" ref="H5:H27" si="0">C5*G5</f>
        <v>138240000</v>
      </c>
      <c r="I5" s="311"/>
      <c r="J5" s="318">
        <v>72</v>
      </c>
      <c r="K5" s="319">
        <v>0</v>
      </c>
      <c r="L5" s="318"/>
      <c r="M5" s="311"/>
      <c r="N5" s="320">
        <f t="shared" ref="N5:P20" si="1">IF(J5*$C5=0,"",J5*$C5)</f>
        <v>138240000</v>
      </c>
      <c r="O5" s="321" t="str">
        <f t="shared" si="1"/>
        <v/>
      </c>
      <c r="P5" s="320" t="str">
        <f t="shared" si="1"/>
        <v/>
      </c>
      <c r="Q5" s="311"/>
      <c r="R5" s="322"/>
      <c r="S5" s="319"/>
      <c r="T5" s="318"/>
      <c r="U5" s="319"/>
      <c r="V5" s="318"/>
      <c r="W5" s="318"/>
      <c r="X5" s="319"/>
      <c r="Y5" s="318"/>
      <c r="Z5" s="319"/>
      <c r="AA5" s="318"/>
      <c r="AB5" s="319"/>
      <c r="AC5" s="323"/>
      <c r="AD5" s="322"/>
      <c r="AE5" s="319">
        <v>30</v>
      </c>
      <c r="AF5" s="318"/>
      <c r="AG5" s="319">
        <v>30</v>
      </c>
      <c r="AH5" s="318"/>
      <c r="AI5" s="318">
        <v>12</v>
      </c>
      <c r="AJ5" s="319"/>
      <c r="AK5" s="318"/>
      <c r="AL5" s="319"/>
      <c r="AM5" s="318"/>
      <c r="AN5" s="319"/>
      <c r="AO5" s="323"/>
      <c r="AP5" s="322"/>
      <c r="AQ5" s="319"/>
      <c r="AR5" s="318"/>
      <c r="AS5" s="319"/>
      <c r="AT5" s="318"/>
      <c r="AU5" s="318"/>
      <c r="AV5" s="319"/>
      <c r="AW5" s="318"/>
      <c r="AX5" s="319"/>
      <c r="AY5" s="318"/>
      <c r="AZ5" s="319"/>
      <c r="BA5" s="323"/>
      <c r="BB5" s="322"/>
      <c r="BC5" s="319"/>
      <c r="BD5" s="318"/>
      <c r="BE5" s="319"/>
      <c r="BF5" s="318"/>
      <c r="BG5" s="318"/>
      <c r="BH5" s="319"/>
      <c r="BI5" s="318"/>
      <c r="BJ5" s="319"/>
      <c r="BK5" s="318"/>
      <c r="BL5" s="319"/>
      <c r="BM5" s="323"/>
      <c r="BN5" s="303"/>
      <c r="BO5" s="320">
        <f>(SUM(R5:AC5))*C5</f>
        <v>0</v>
      </c>
      <c r="BP5" s="320">
        <f t="shared" ref="BP5:BP27" si="2">(SUM(AD5:AO5))*C5</f>
        <v>138240000</v>
      </c>
      <c r="BQ5" s="321">
        <f t="shared" ref="BQ5:BQ27" si="3">(SUM(AP5:BA5))*C5</f>
        <v>0</v>
      </c>
      <c r="BR5" s="320">
        <f t="shared" ref="BR5:BR27" si="4">(SUM(BB5:BM5))*C5</f>
        <v>0</v>
      </c>
    </row>
    <row r="6" spans="1:70" s="304" customFormat="1">
      <c r="A6" s="324">
        <v>2</v>
      </c>
      <c r="B6" s="306" t="s">
        <v>1149</v>
      </c>
      <c r="C6" s="307">
        <v>1130000</v>
      </c>
      <c r="D6" s="303"/>
      <c r="E6" s="315">
        <v>100</v>
      </c>
      <c r="F6" s="315">
        <v>18</v>
      </c>
      <c r="G6" s="316">
        <f t="shared" ref="G6:G27" si="5">E6+F6</f>
        <v>118</v>
      </c>
      <c r="H6" s="325">
        <f t="shared" si="0"/>
        <v>133340000</v>
      </c>
      <c r="I6" s="326"/>
      <c r="J6" s="327">
        <v>0</v>
      </c>
      <c r="K6" s="328">
        <v>118</v>
      </c>
      <c r="L6" s="327"/>
      <c r="M6" s="329"/>
      <c r="N6" s="330" t="str">
        <f t="shared" si="1"/>
        <v/>
      </c>
      <c r="O6" s="331">
        <f t="shared" si="1"/>
        <v>133340000</v>
      </c>
      <c r="P6" s="330" t="str">
        <f t="shared" si="1"/>
        <v/>
      </c>
      <c r="Q6" s="329"/>
      <c r="R6" s="332"/>
      <c r="S6" s="328"/>
      <c r="T6" s="327"/>
      <c r="U6" s="328"/>
      <c r="V6" s="327"/>
      <c r="W6" s="327"/>
      <c r="X6" s="328"/>
      <c r="Y6" s="327"/>
      <c r="Z6" s="328"/>
      <c r="AA6" s="327"/>
      <c r="AB6" s="328"/>
      <c r="AC6" s="333"/>
      <c r="AD6" s="332"/>
      <c r="AE6" s="328"/>
      <c r="AF6" s="327"/>
      <c r="AG6" s="328"/>
      <c r="AH6" s="327"/>
      <c r="AI6" s="327"/>
      <c r="AJ6" s="328"/>
      <c r="AK6" s="327"/>
      <c r="AL6" s="328"/>
      <c r="AM6" s="327"/>
      <c r="AN6" s="328"/>
      <c r="AO6" s="333">
        <v>40</v>
      </c>
      <c r="AP6" s="332"/>
      <c r="AQ6" s="328">
        <v>40</v>
      </c>
      <c r="AR6" s="327"/>
      <c r="AS6" s="328">
        <v>38</v>
      </c>
      <c r="AT6" s="327"/>
      <c r="AU6" s="327"/>
      <c r="AV6" s="328"/>
      <c r="AW6" s="327"/>
      <c r="AX6" s="328"/>
      <c r="AY6" s="327"/>
      <c r="AZ6" s="328"/>
      <c r="BA6" s="333"/>
      <c r="BB6" s="332"/>
      <c r="BC6" s="328"/>
      <c r="BD6" s="327"/>
      <c r="BE6" s="328"/>
      <c r="BF6" s="327"/>
      <c r="BG6" s="327"/>
      <c r="BH6" s="328"/>
      <c r="BI6" s="327"/>
      <c r="BJ6" s="328"/>
      <c r="BK6" s="327"/>
      <c r="BL6" s="328"/>
      <c r="BM6" s="333"/>
      <c r="BN6" s="303"/>
      <c r="BO6" s="320">
        <f t="shared" ref="BO6:BO27" si="6">(SUM(R6:AC6))*C6</f>
        <v>0</v>
      </c>
      <c r="BP6" s="330">
        <f t="shared" si="2"/>
        <v>45200000</v>
      </c>
      <c r="BQ6" s="331">
        <f t="shared" si="3"/>
        <v>88140000</v>
      </c>
      <c r="BR6" s="330">
        <f t="shared" si="4"/>
        <v>0</v>
      </c>
    </row>
    <row r="7" spans="1:70" s="304" customFormat="1">
      <c r="A7" s="324">
        <v>3</v>
      </c>
      <c r="B7" s="306" t="s">
        <v>1126</v>
      </c>
      <c r="C7" s="307">
        <v>4130000</v>
      </c>
      <c r="D7" s="303"/>
      <c r="E7" s="315">
        <v>60</v>
      </c>
      <c r="F7" s="315">
        <v>4</v>
      </c>
      <c r="G7" s="316">
        <f t="shared" si="5"/>
        <v>64</v>
      </c>
      <c r="H7" s="325">
        <f t="shared" si="0"/>
        <v>264320000</v>
      </c>
      <c r="I7" s="326"/>
      <c r="J7" s="327">
        <v>64</v>
      </c>
      <c r="K7" s="328">
        <v>0</v>
      </c>
      <c r="L7" s="327"/>
      <c r="M7" s="326"/>
      <c r="N7" s="330">
        <f t="shared" si="1"/>
        <v>264320000</v>
      </c>
      <c r="O7" s="331" t="str">
        <f t="shared" si="1"/>
        <v/>
      </c>
      <c r="P7" s="330" t="str">
        <f t="shared" si="1"/>
        <v/>
      </c>
      <c r="Q7" s="326"/>
      <c r="R7" s="332"/>
      <c r="S7" s="328"/>
      <c r="T7" s="327"/>
      <c r="U7" s="328"/>
      <c r="V7" s="327"/>
      <c r="W7" s="327"/>
      <c r="X7" s="328"/>
      <c r="Y7" s="327"/>
      <c r="Z7" s="328"/>
      <c r="AA7" s="327"/>
      <c r="AB7" s="328"/>
      <c r="AC7" s="333"/>
      <c r="AD7" s="332"/>
      <c r="AE7" s="328"/>
      <c r="AF7" s="327"/>
      <c r="AG7" s="328"/>
      <c r="AH7" s="327"/>
      <c r="AI7" s="327"/>
      <c r="AJ7" s="328"/>
      <c r="AK7" s="327"/>
      <c r="AL7" s="328"/>
      <c r="AM7" s="327"/>
      <c r="AN7" s="328"/>
      <c r="AO7" s="333"/>
      <c r="AP7" s="332">
        <v>24</v>
      </c>
      <c r="AQ7" s="328"/>
      <c r="AR7" s="327">
        <v>20</v>
      </c>
      <c r="AS7" s="328"/>
      <c r="AT7" s="327">
        <v>20</v>
      </c>
      <c r="AU7" s="327"/>
      <c r="AV7" s="328"/>
      <c r="AW7" s="327"/>
      <c r="AX7" s="328"/>
      <c r="AY7" s="327"/>
      <c r="AZ7" s="328"/>
      <c r="BA7" s="333"/>
      <c r="BB7" s="332"/>
      <c r="BC7" s="328"/>
      <c r="BD7" s="327"/>
      <c r="BE7" s="328"/>
      <c r="BF7" s="327"/>
      <c r="BG7" s="327"/>
      <c r="BH7" s="328"/>
      <c r="BI7" s="327"/>
      <c r="BJ7" s="328"/>
      <c r="BK7" s="327"/>
      <c r="BL7" s="328"/>
      <c r="BM7" s="333"/>
      <c r="BN7" s="303"/>
      <c r="BO7" s="320">
        <f t="shared" si="6"/>
        <v>0</v>
      </c>
      <c r="BP7" s="330">
        <f t="shared" si="2"/>
        <v>0</v>
      </c>
      <c r="BQ7" s="331">
        <f t="shared" si="3"/>
        <v>264320000</v>
      </c>
      <c r="BR7" s="330">
        <f t="shared" si="4"/>
        <v>0</v>
      </c>
    </row>
    <row r="8" spans="1:70" s="304" customFormat="1">
      <c r="A8" s="324">
        <v>4</v>
      </c>
      <c r="B8" s="306" t="s">
        <v>1151</v>
      </c>
      <c r="C8" s="307">
        <v>3480000</v>
      </c>
      <c r="D8" s="303"/>
      <c r="E8" s="315">
        <v>60</v>
      </c>
      <c r="F8" s="315">
        <v>1</v>
      </c>
      <c r="G8" s="316">
        <f t="shared" si="5"/>
        <v>61</v>
      </c>
      <c r="H8" s="325">
        <f t="shared" si="0"/>
        <v>212280000</v>
      </c>
      <c r="I8" s="326"/>
      <c r="J8" s="327">
        <v>0</v>
      </c>
      <c r="K8" s="328">
        <v>61</v>
      </c>
      <c r="L8" s="327"/>
      <c r="M8" s="326"/>
      <c r="N8" s="330" t="str">
        <f t="shared" si="1"/>
        <v/>
      </c>
      <c r="O8" s="331">
        <f t="shared" si="1"/>
        <v>212280000</v>
      </c>
      <c r="P8" s="330" t="str">
        <f t="shared" si="1"/>
        <v/>
      </c>
      <c r="Q8" s="326"/>
      <c r="R8" s="332"/>
      <c r="S8" s="328"/>
      <c r="T8" s="327"/>
      <c r="U8" s="328"/>
      <c r="V8" s="327"/>
      <c r="W8" s="327"/>
      <c r="X8" s="328"/>
      <c r="Y8" s="327"/>
      <c r="Z8" s="328"/>
      <c r="AA8" s="327"/>
      <c r="AB8" s="328"/>
      <c r="AC8" s="333"/>
      <c r="AD8" s="332"/>
      <c r="AE8" s="328"/>
      <c r="AF8" s="327"/>
      <c r="AG8" s="328"/>
      <c r="AH8" s="327"/>
      <c r="AI8" s="327"/>
      <c r="AJ8" s="328"/>
      <c r="AK8" s="327"/>
      <c r="AL8" s="328"/>
      <c r="AM8" s="327"/>
      <c r="AN8" s="328"/>
      <c r="AO8" s="333"/>
      <c r="AP8" s="332"/>
      <c r="AQ8" s="328"/>
      <c r="AR8" s="327"/>
      <c r="AS8" s="328"/>
      <c r="AT8" s="327"/>
      <c r="AU8" s="327"/>
      <c r="AV8" s="328"/>
      <c r="AW8" s="327"/>
      <c r="AX8" s="328"/>
      <c r="AY8" s="327"/>
      <c r="AZ8" s="328"/>
      <c r="BA8" s="333"/>
      <c r="BB8" s="332">
        <v>21</v>
      </c>
      <c r="BC8" s="328"/>
      <c r="BD8" s="327">
        <v>20</v>
      </c>
      <c r="BE8" s="328"/>
      <c r="BF8" s="327">
        <v>20</v>
      </c>
      <c r="BG8" s="327"/>
      <c r="BH8" s="328"/>
      <c r="BI8" s="327"/>
      <c r="BJ8" s="328"/>
      <c r="BK8" s="327"/>
      <c r="BL8" s="328"/>
      <c r="BM8" s="333"/>
      <c r="BN8" s="303"/>
      <c r="BO8" s="320">
        <f t="shared" si="6"/>
        <v>0</v>
      </c>
      <c r="BP8" s="330">
        <f t="shared" si="2"/>
        <v>0</v>
      </c>
      <c r="BQ8" s="331">
        <f t="shared" si="3"/>
        <v>0</v>
      </c>
      <c r="BR8" s="330">
        <f t="shared" si="4"/>
        <v>212280000</v>
      </c>
    </row>
    <row r="9" spans="1:70" s="304" customFormat="1">
      <c r="A9" s="305">
        <v>5</v>
      </c>
      <c r="B9" s="306" t="s">
        <v>1136</v>
      </c>
      <c r="C9" s="307">
        <v>2110000</v>
      </c>
      <c r="D9" s="303"/>
      <c r="E9" s="315">
        <v>90</v>
      </c>
      <c r="F9" s="315">
        <v>0</v>
      </c>
      <c r="G9" s="316">
        <f t="shared" si="5"/>
        <v>90</v>
      </c>
      <c r="H9" s="325">
        <f t="shared" si="0"/>
        <v>189900000</v>
      </c>
      <c r="I9" s="326"/>
      <c r="J9" s="327">
        <v>90</v>
      </c>
      <c r="K9" s="328">
        <v>0</v>
      </c>
      <c r="L9" s="327"/>
      <c r="M9" s="326"/>
      <c r="N9" s="330">
        <f t="shared" si="1"/>
        <v>189900000</v>
      </c>
      <c r="O9" s="331" t="str">
        <f t="shared" si="1"/>
        <v/>
      </c>
      <c r="P9" s="330"/>
      <c r="Q9" s="326"/>
      <c r="R9" s="332"/>
      <c r="S9" s="328"/>
      <c r="T9" s="327"/>
      <c r="U9" s="328"/>
      <c r="V9" s="327"/>
      <c r="W9" s="327"/>
      <c r="X9" s="328"/>
      <c r="Y9" s="327"/>
      <c r="Z9" s="328"/>
      <c r="AA9" s="327"/>
      <c r="AB9" s="328"/>
      <c r="AC9" s="333">
        <v>30</v>
      </c>
      <c r="AD9" s="332"/>
      <c r="AE9" s="328">
        <v>30</v>
      </c>
      <c r="AF9" s="327"/>
      <c r="AG9" s="328">
        <v>30</v>
      </c>
      <c r="AH9" s="327"/>
      <c r="AI9" s="327"/>
      <c r="AJ9" s="328"/>
      <c r="AK9" s="327"/>
      <c r="AL9" s="328"/>
      <c r="AM9" s="327"/>
      <c r="AN9" s="328"/>
      <c r="AO9" s="333"/>
      <c r="AP9" s="332"/>
      <c r="AQ9" s="328"/>
      <c r="AR9" s="327"/>
      <c r="AS9" s="328"/>
      <c r="AT9" s="327"/>
      <c r="AU9" s="327"/>
      <c r="AV9" s="328"/>
      <c r="AW9" s="327"/>
      <c r="AX9" s="328"/>
      <c r="AY9" s="327"/>
      <c r="AZ9" s="328"/>
      <c r="BA9" s="333"/>
      <c r="BB9" s="332"/>
      <c r="BC9" s="328"/>
      <c r="BD9" s="327"/>
      <c r="BE9" s="328"/>
      <c r="BF9" s="327"/>
      <c r="BG9" s="327"/>
      <c r="BH9" s="328"/>
      <c r="BI9" s="327"/>
      <c r="BJ9" s="328"/>
      <c r="BK9" s="327"/>
      <c r="BL9" s="328"/>
      <c r="BM9" s="333"/>
      <c r="BN9" s="303"/>
      <c r="BO9" s="320">
        <f t="shared" si="6"/>
        <v>63300000</v>
      </c>
      <c r="BP9" s="330">
        <f t="shared" si="2"/>
        <v>126600000</v>
      </c>
      <c r="BQ9" s="331">
        <f t="shared" si="3"/>
        <v>0</v>
      </c>
      <c r="BR9" s="330">
        <f t="shared" si="4"/>
        <v>0</v>
      </c>
    </row>
    <row r="10" spans="1:70" s="303" customFormat="1">
      <c r="A10" s="324">
        <v>6</v>
      </c>
      <c r="B10" s="306" t="s">
        <v>1140</v>
      </c>
      <c r="C10" s="307">
        <v>11220000</v>
      </c>
      <c r="E10" s="315">
        <v>0</v>
      </c>
      <c r="F10" s="315">
        <v>15</v>
      </c>
      <c r="G10" s="316">
        <f t="shared" si="5"/>
        <v>15</v>
      </c>
      <c r="H10" s="325">
        <f t="shared" si="0"/>
        <v>168300000</v>
      </c>
      <c r="I10" s="326"/>
      <c r="J10" s="327">
        <v>15</v>
      </c>
      <c r="K10" s="328">
        <v>0</v>
      </c>
      <c r="L10" s="327"/>
      <c r="M10" s="326"/>
      <c r="N10" s="330">
        <f t="shared" si="1"/>
        <v>168300000</v>
      </c>
      <c r="O10" s="331" t="str">
        <f t="shared" si="1"/>
        <v/>
      </c>
      <c r="P10" s="330" t="str">
        <f t="shared" si="1"/>
        <v/>
      </c>
      <c r="Q10" s="326"/>
      <c r="R10" s="332"/>
      <c r="S10" s="328"/>
      <c r="T10" s="327"/>
      <c r="U10" s="328"/>
      <c r="V10" s="327"/>
      <c r="W10" s="327"/>
      <c r="X10" s="328"/>
      <c r="Y10" s="327"/>
      <c r="Z10" s="328"/>
      <c r="AA10" s="327"/>
      <c r="AB10" s="328"/>
      <c r="AC10" s="333"/>
      <c r="AD10" s="332"/>
      <c r="AE10" s="328"/>
      <c r="AF10" s="327"/>
      <c r="AG10" s="328"/>
      <c r="AH10" s="327"/>
      <c r="AI10" s="327"/>
      <c r="AJ10" s="328"/>
      <c r="AK10" s="327"/>
      <c r="AL10" s="328"/>
      <c r="AM10" s="327"/>
      <c r="AN10" s="328"/>
      <c r="AO10" s="333"/>
      <c r="AP10" s="332"/>
      <c r="AQ10" s="328"/>
      <c r="AR10" s="327">
        <v>15</v>
      </c>
      <c r="AS10" s="328"/>
      <c r="AT10" s="327"/>
      <c r="AU10" s="327"/>
      <c r="AV10" s="328"/>
      <c r="AW10" s="327"/>
      <c r="AX10" s="328"/>
      <c r="AY10" s="327"/>
      <c r="AZ10" s="328"/>
      <c r="BA10" s="333"/>
      <c r="BB10" s="332"/>
      <c r="BC10" s="328"/>
      <c r="BD10" s="327"/>
      <c r="BE10" s="328"/>
      <c r="BF10" s="327"/>
      <c r="BG10" s="327"/>
      <c r="BH10" s="328"/>
      <c r="BI10" s="327"/>
      <c r="BJ10" s="328"/>
      <c r="BK10" s="327"/>
      <c r="BL10" s="328"/>
      <c r="BM10" s="333"/>
      <c r="BO10" s="320">
        <f t="shared" si="6"/>
        <v>0</v>
      </c>
      <c r="BP10" s="330">
        <f t="shared" si="2"/>
        <v>0</v>
      </c>
      <c r="BQ10" s="331">
        <f t="shared" si="3"/>
        <v>168300000</v>
      </c>
      <c r="BR10" s="330">
        <f t="shared" si="4"/>
        <v>0</v>
      </c>
    </row>
    <row r="11" spans="1:70" s="304" customFormat="1">
      <c r="A11" s="324">
        <v>7</v>
      </c>
      <c r="B11" s="306" t="s">
        <v>1141</v>
      </c>
      <c r="C11" s="307">
        <v>2450000</v>
      </c>
      <c r="D11" s="303"/>
      <c r="E11" s="315">
        <v>0</v>
      </c>
      <c r="F11" s="315">
        <v>6</v>
      </c>
      <c r="G11" s="316">
        <f t="shared" si="5"/>
        <v>6</v>
      </c>
      <c r="H11" s="325">
        <f t="shared" si="0"/>
        <v>14700000</v>
      </c>
      <c r="I11" s="326"/>
      <c r="J11" s="327">
        <v>6</v>
      </c>
      <c r="K11" s="328">
        <v>0</v>
      </c>
      <c r="L11" s="327"/>
      <c r="M11" s="326"/>
      <c r="N11" s="330">
        <f t="shared" si="1"/>
        <v>14700000</v>
      </c>
      <c r="O11" s="331" t="str">
        <f t="shared" si="1"/>
        <v/>
      </c>
      <c r="P11" s="330" t="str">
        <f t="shared" si="1"/>
        <v/>
      </c>
      <c r="Q11" s="326"/>
      <c r="R11" s="332"/>
      <c r="S11" s="328"/>
      <c r="T11" s="327"/>
      <c r="U11" s="328"/>
      <c r="V11" s="327"/>
      <c r="W11" s="327"/>
      <c r="X11" s="328"/>
      <c r="Y11" s="327"/>
      <c r="Z11" s="328"/>
      <c r="AA11" s="327"/>
      <c r="AB11" s="328"/>
      <c r="AC11" s="333"/>
      <c r="AD11" s="332"/>
      <c r="AE11" s="328">
        <v>6</v>
      </c>
      <c r="AF11" s="327"/>
      <c r="AG11" s="328"/>
      <c r="AH11" s="327"/>
      <c r="AI11" s="327"/>
      <c r="AJ11" s="328"/>
      <c r="AK11" s="327"/>
      <c r="AL11" s="328"/>
      <c r="AM11" s="327"/>
      <c r="AN11" s="328"/>
      <c r="AO11" s="333"/>
      <c r="AP11" s="332"/>
      <c r="AQ11" s="328"/>
      <c r="AR11" s="327"/>
      <c r="AS11" s="328"/>
      <c r="AT11" s="327"/>
      <c r="AU11" s="327"/>
      <c r="AV11" s="328"/>
      <c r="AW11" s="327"/>
      <c r="AX11" s="328"/>
      <c r="AY11" s="327"/>
      <c r="AZ11" s="328"/>
      <c r="BA11" s="333"/>
      <c r="BB11" s="332"/>
      <c r="BC11" s="328"/>
      <c r="BD11" s="327"/>
      <c r="BE11" s="328"/>
      <c r="BF11" s="327"/>
      <c r="BG11" s="327"/>
      <c r="BH11" s="328"/>
      <c r="BI11" s="327"/>
      <c r="BJ11" s="328"/>
      <c r="BK11" s="327"/>
      <c r="BL11" s="328"/>
      <c r="BM11" s="333"/>
      <c r="BN11" s="303"/>
      <c r="BO11" s="320">
        <f t="shared" si="6"/>
        <v>0</v>
      </c>
      <c r="BP11" s="330">
        <f t="shared" si="2"/>
        <v>14700000</v>
      </c>
      <c r="BQ11" s="331">
        <f t="shared" si="3"/>
        <v>0</v>
      </c>
      <c r="BR11" s="330">
        <f t="shared" si="4"/>
        <v>0</v>
      </c>
    </row>
    <row r="12" spans="1:70" s="304" customFormat="1">
      <c r="A12" s="324">
        <v>8</v>
      </c>
      <c r="B12" s="306" t="s">
        <v>1142</v>
      </c>
      <c r="C12" s="307">
        <v>34100000</v>
      </c>
      <c r="D12" s="303"/>
      <c r="E12" s="315">
        <v>6</v>
      </c>
      <c r="F12" s="315">
        <v>3</v>
      </c>
      <c r="G12" s="316">
        <f t="shared" si="5"/>
        <v>9</v>
      </c>
      <c r="H12" s="325">
        <f t="shared" si="0"/>
        <v>306900000</v>
      </c>
      <c r="I12" s="326"/>
      <c r="J12" s="327">
        <v>3</v>
      </c>
      <c r="K12" s="328">
        <v>6</v>
      </c>
      <c r="L12" s="327"/>
      <c r="M12" s="326"/>
      <c r="N12" s="330">
        <f t="shared" si="1"/>
        <v>102300000</v>
      </c>
      <c r="O12" s="331">
        <f t="shared" si="1"/>
        <v>204600000</v>
      </c>
      <c r="P12" s="330" t="str">
        <f t="shared" si="1"/>
        <v/>
      </c>
      <c r="Q12" s="326"/>
      <c r="R12" s="332"/>
      <c r="S12" s="328"/>
      <c r="T12" s="327"/>
      <c r="U12" s="328"/>
      <c r="V12" s="327"/>
      <c r="W12" s="327"/>
      <c r="X12" s="328"/>
      <c r="Y12" s="327"/>
      <c r="Z12" s="328"/>
      <c r="AA12" s="327"/>
      <c r="AB12" s="328"/>
      <c r="AC12" s="333"/>
      <c r="AD12" s="332"/>
      <c r="AE12" s="328"/>
      <c r="AF12" s="327"/>
      <c r="AG12" s="328"/>
      <c r="AH12" s="327"/>
      <c r="AI12" s="327"/>
      <c r="AJ12" s="328"/>
      <c r="AK12" s="327"/>
      <c r="AL12" s="328"/>
      <c r="AM12" s="327"/>
      <c r="AN12" s="328"/>
      <c r="AO12" s="333"/>
      <c r="AP12" s="332"/>
      <c r="AQ12" s="328"/>
      <c r="AR12" s="327">
        <v>3</v>
      </c>
      <c r="AS12" s="328"/>
      <c r="AT12" s="327"/>
      <c r="AU12" s="327"/>
      <c r="AV12" s="328"/>
      <c r="AW12" s="327"/>
      <c r="AX12" s="328"/>
      <c r="AY12" s="327"/>
      <c r="AZ12" s="328"/>
      <c r="BA12" s="333"/>
      <c r="BB12" s="332"/>
      <c r="BC12" s="328"/>
      <c r="BD12" s="327">
        <v>6</v>
      </c>
      <c r="BE12" s="328"/>
      <c r="BF12" s="327"/>
      <c r="BG12" s="327"/>
      <c r="BH12" s="328"/>
      <c r="BI12" s="327"/>
      <c r="BJ12" s="328"/>
      <c r="BK12" s="327"/>
      <c r="BL12" s="328"/>
      <c r="BM12" s="333"/>
      <c r="BN12" s="303"/>
      <c r="BO12" s="320">
        <f t="shared" si="6"/>
        <v>0</v>
      </c>
      <c r="BP12" s="330">
        <f t="shared" si="2"/>
        <v>0</v>
      </c>
      <c r="BQ12" s="331">
        <f t="shared" si="3"/>
        <v>102300000</v>
      </c>
      <c r="BR12" s="330">
        <f t="shared" si="4"/>
        <v>204600000</v>
      </c>
    </row>
    <row r="13" spans="1:70">
      <c r="A13" s="305">
        <v>9</v>
      </c>
      <c r="B13" s="334" t="s">
        <v>1158</v>
      </c>
      <c r="C13" s="307">
        <v>40000000</v>
      </c>
      <c r="D13" s="300"/>
      <c r="E13" s="315">
        <v>0</v>
      </c>
      <c r="F13" s="315">
        <v>1</v>
      </c>
      <c r="G13" s="316">
        <f t="shared" si="5"/>
        <v>1</v>
      </c>
      <c r="H13" s="317">
        <f t="shared" si="0"/>
        <v>40000000</v>
      </c>
      <c r="I13" s="335"/>
      <c r="J13" s="327">
        <v>0</v>
      </c>
      <c r="K13" s="328">
        <v>1</v>
      </c>
      <c r="L13" s="327"/>
      <c r="M13" s="335"/>
      <c r="N13" s="320" t="str">
        <f t="shared" si="1"/>
        <v/>
      </c>
      <c r="O13" s="321">
        <f t="shared" si="1"/>
        <v>40000000</v>
      </c>
      <c r="P13" s="320" t="str">
        <f t="shared" si="1"/>
        <v/>
      </c>
      <c r="Q13" s="335"/>
      <c r="R13" s="332"/>
      <c r="S13" s="327"/>
      <c r="T13" s="327"/>
      <c r="U13" s="328"/>
      <c r="V13" s="327"/>
      <c r="W13" s="327"/>
      <c r="X13" s="327"/>
      <c r="Y13" s="327"/>
      <c r="Z13" s="327"/>
      <c r="AA13" s="327"/>
      <c r="AB13" s="328"/>
      <c r="AC13" s="333"/>
      <c r="AD13" s="332"/>
      <c r="AE13" s="327"/>
      <c r="AF13" s="327"/>
      <c r="AG13" s="328"/>
      <c r="AH13" s="327"/>
      <c r="AI13" s="327"/>
      <c r="AJ13" s="327"/>
      <c r="AK13" s="327"/>
      <c r="AL13" s="327"/>
      <c r="AM13" s="327"/>
      <c r="AN13" s="328"/>
      <c r="AO13" s="333"/>
      <c r="AP13" s="332"/>
      <c r="AQ13" s="327"/>
      <c r="AR13" s="327"/>
      <c r="AS13" s="328"/>
      <c r="AT13" s="327"/>
      <c r="AU13" s="327"/>
      <c r="AV13" s="327"/>
      <c r="AW13" s="327"/>
      <c r="AX13" s="327"/>
      <c r="AY13" s="327"/>
      <c r="AZ13" s="328"/>
      <c r="BA13" s="333"/>
      <c r="BB13" s="332">
        <v>1</v>
      </c>
      <c r="BC13" s="327"/>
      <c r="BD13" s="327"/>
      <c r="BE13" s="328"/>
      <c r="BF13" s="327"/>
      <c r="BG13" s="327"/>
      <c r="BH13" s="327"/>
      <c r="BI13" s="327"/>
      <c r="BJ13" s="327"/>
      <c r="BK13" s="327"/>
      <c r="BL13" s="328"/>
      <c r="BM13" s="333"/>
      <c r="BN13" s="300"/>
      <c r="BO13" s="320">
        <f t="shared" si="6"/>
        <v>0</v>
      </c>
      <c r="BP13" s="320">
        <f t="shared" si="2"/>
        <v>0</v>
      </c>
      <c r="BQ13" s="321">
        <f t="shared" si="3"/>
        <v>0</v>
      </c>
      <c r="BR13" s="320">
        <f t="shared" si="4"/>
        <v>40000000</v>
      </c>
    </row>
    <row r="14" spans="1:70">
      <c r="A14" s="324">
        <v>10</v>
      </c>
      <c r="B14" s="334" t="s">
        <v>1159</v>
      </c>
      <c r="C14" s="307">
        <v>13185000</v>
      </c>
      <c r="D14" s="300"/>
      <c r="E14" s="315">
        <v>6</v>
      </c>
      <c r="F14" s="315">
        <v>1</v>
      </c>
      <c r="G14" s="316">
        <f t="shared" si="5"/>
        <v>7</v>
      </c>
      <c r="H14" s="325">
        <f t="shared" si="0"/>
        <v>92295000</v>
      </c>
      <c r="I14" s="336"/>
      <c r="J14" s="327">
        <v>0</v>
      </c>
      <c r="K14" s="328">
        <v>7</v>
      </c>
      <c r="L14" s="327"/>
      <c r="M14" s="336"/>
      <c r="N14" s="330" t="str">
        <f t="shared" si="1"/>
        <v/>
      </c>
      <c r="O14" s="331">
        <f t="shared" si="1"/>
        <v>92295000</v>
      </c>
      <c r="P14" s="330" t="str">
        <f t="shared" si="1"/>
        <v/>
      </c>
      <c r="Q14" s="336"/>
      <c r="R14" s="332"/>
      <c r="S14" s="327"/>
      <c r="T14" s="327"/>
      <c r="U14" s="328"/>
      <c r="V14" s="327"/>
      <c r="W14" s="327"/>
      <c r="X14" s="327"/>
      <c r="Y14" s="327"/>
      <c r="Z14" s="327"/>
      <c r="AA14" s="327"/>
      <c r="AB14" s="328"/>
      <c r="AC14" s="333"/>
      <c r="AD14" s="332"/>
      <c r="AE14" s="327"/>
      <c r="AF14" s="327"/>
      <c r="AG14" s="328"/>
      <c r="AH14" s="327"/>
      <c r="AI14" s="327"/>
      <c r="AJ14" s="327"/>
      <c r="AK14" s="327"/>
      <c r="AL14" s="327"/>
      <c r="AM14" s="327"/>
      <c r="AN14" s="328"/>
      <c r="AO14" s="333"/>
      <c r="AP14" s="332"/>
      <c r="AQ14" s="327"/>
      <c r="AR14" s="327"/>
      <c r="AS14" s="328"/>
      <c r="AT14" s="327"/>
      <c r="AU14" s="327"/>
      <c r="AV14" s="327"/>
      <c r="AW14" s="327"/>
      <c r="AX14" s="327"/>
      <c r="AY14" s="327"/>
      <c r="AZ14" s="328"/>
      <c r="BA14" s="333"/>
      <c r="BB14" s="332">
        <v>7</v>
      </c>
      <c r="BC14" s="327"/>
      <c r="BD14" s="327"/>
      <c r="BE14" s="328"/>
      <c r="BF14" s="327"/>
      <c r="BG14" s="327"/>
      <c r="BH14" s="327"/>
      <c r="BI14" s="327"/>
      <c r="BJ14" s="327"/>
      <c r="BK14" s="327"/>
      <c r="BL14" s="328"/>
      <c r="BM14" s="333"/>
      <c r="BN14" s="300"/>
      <c r="BO14" s="320">
        <f t="shared" si="6"/>
        <v>0</v>
      </c>
      <c r="BP14" s="330">
        <f t="shared" si="2"/>
        <v>0</v>
      </c>
      <c r="BQ14" s="331">
        <f t="shared" si="3"/>
        <v>0</v>
      </c>
      <c r="BR14" s="330">
        <f t="shared" si="4"/>
        <v>92295000</v>
      </c>
    </row>
    <row r="15" spans="1:70" ht="43.5" customHeight="1">
      <c r="A15" s="337">
        <v>11</v>
      </c>
      <c r="B15" s="334" t="s">
        <v>1143</v>
      </c>
      <c r="C15" s="307">
        <v>13480000</v>
      </c>
      <c r="D15" s="338"/>
      <c r="E15" s="315">
        <v>8</v>
      </c>
      <c r="F15" s="315">
        <v>9</v>
      </c>
      <c r="G15" s="339">
        <f t="shared" si="5"/>
        <v>17</v>
      </c>
      <c r="H15" s="325">
        <f t="shared" si="0"/>
        <v>229160000</v>
      </c>
      <c r="I15" s="335"/>
      <c r="J15" s="327">
        <v>9</v>
      </c>
      <c r="K15" s="328">
        <v>8</v>
      </c>
      <c r="L15" s="327"/>
      <c r="M15" s="335"/>
      <c r="N15" s="320">
        <f t="shared" si="1"/>
        <v>121320000</v>
      </c>
      <c r="O15" s="321">
        <f t="shared" si="1"/>
        <v>107840000</v>
      </c>
      <c r="P15" s="320" t="str">
        <f t="shared" si="1"/>
        <v/>
      </c>
      <c r="Q15" s="335"/>
      <c r="R15" s="332"/>
      <c r="S15" s="327"/>
      <c r="T15" s="327"/>
      <c r="U15" s="328"/>
      <c r="V15" s="327"/>
      <c r="W15" s="327"/>
      <c r="X15" s="327"/>
      <c r="Y15" s="327"/>
      <c r="Z15" s="327"/>
      <c r="AA15" s="327"/>
      <c r="AB15" s="328"/>
      <c r="AC15" s="333"/>
      <c r="AD15" s="332"/>
      <c r="AE15" s="327"/>
      <c r="AF15" s="327"/>
      <c r="AG15" s="328"/>
      <c r="AH15" s="327"/>
      <c r="AI15" s="327"/>
      <c r="AJ15" s="327"/>
      <c r="AK15" s="327"/>
      <c r="AL15" s="327"/>
      <c r="AM15" s="327"/>
      <c r="AN15" s="328"/>
      <c r="AO15" s="333"/>
      <c r="AP15" s="332">
        <v>9</v>
      </c>
      <c r="AQ15" s="327"/>
      <c r="AR15" s="327"/>
      <c r="AS15" s="328"/>
      <c r="AT15" s="327"/>
      <c r="AU15" s="327"/>
      <c r="AV15" s="327"/>
      <c r="AW15" s="327"/>
      <c r="AX15" s="327"/>
      <c r="AY15" s="327"/>
      <c r="AZ15" s="328"/>
      <c r="BA15" s="333"/>
      <c r="BB15" s="332">
        <v>8</v>
      </c>
      <c r="BC15" s="327"/>
      <c r="BD15" s="327"/>
      <c r="BE15" s="328"/>
      <c r="BF15" s="327"/>
      <c r="BG15" s="327"/>
      <c r="BH15" s="327"/>
      <c r="BI15" s="327"/>
      <c r="BJ15" s="327"/>
      <c r="BK15" s="327"/>
      <c r="BL15" s="328"/>
      <c r="BM15" s="333"/>
      <c r="BN15" s="300"/>
      <c r="BO15" s="320">
        <f t="shared" si="6"/>
        <v>0</v>
      </c>
      <c r="BP15" s="320">
        <f t="shared" si="2"/>
        <v>0</v>
      </c>
      <c r="BQ15" s="321">
        <f t="shared" si="3"/>
        <v>121320000</v>
      </c>
      <c r="BR15" s="320">
        <f t="shared" si="4"/>
        <v>107840000</v>
      </c>
    </row>
    <row r="16" spans="1:70">
      <c r="A16" s="337">
        <v>12</v>
      </c>
      <c r="B16" s="334" t="s">
        <v>1144</v>
      </c>
      <c r="C16" s="307">
        <v>2110000</v>
      </c>
      <c r="D16" s="338"/>
      <c r="E16" s="340">
        <v>0</v>
      </c>
      <c r="F16" s="340">
        <v>2</v>
      </c>
      <c r="G16" s="341">
        <f t="shared" si="5"/>
        <v>2</v>
      </c>
      <c r="H16" s="342">
        <f t="shared" si="0"/>
        <v>4220000</v>
      </c>
      <c r="I16" s="336"/>
      <c r="J16" s="327">
        <v>2</v>
      </c>
      <c r="K16" s="328">
        <v>0</v>
      </c>
      <c r="L16" s="327"/>
      <c r="M16" s="336"/>
      <c r="N16" s="330">
        <f t="shared" si="1"/>
        <v>4220000</v>
      </c>
      <c r="O16" s="331" t="str">
        <f t="shared" si="1"/>
        <v/>
      </c>
      <c r="P16" s="330" t="str">
        <f t="shared" si="1"/>
        <v/>
      </c>
      <c r="Q16" s="336"/>
      <c r="R16" s="332"/>
      <c r="S16" s="327"/>
      <c r="T16" s="327"/>
      <c r="U16" s="328"/>
      <c r="V16" s="327"/>
      <c r="W16" s="327"/>
      <c r="X16" s="327"/>
      <c r="Y16" s="327"/>
      <c r="Z16" s="327"/>
      <c r="AA16" s="327"/>
      <c r="AB16" s="328"/>
      <c r="AC16" s="333">
        <v>2</v>
      </c>
      <c r="AD16" s="332"/>
      <c r="AE16" s="327"/>
      <c r="AF16" s="327"/>
      <c r="AG16" s="328"/>
      <c r="AH16" s="327"/>
      <c r="AI16" s="327"/>
      <c r="AJ16" s="327"/>
      <c r="AK16" s="327"/>
      <c r="AL16" s="327"/>
      <c r="AM16" s="327"/>
      <c r="AN16" s="328"/>
      <c r="AO16" s="333"/>
      <c r="AP16" s="332"/>
      <c r="AQ16" s="327"/>
      <c r="AR16" s="327"/>
      <c r="AS16" s="328"/>
      <c r="AT16" s="327"/>
      <c r="AU16" s="327"/>
      <c r="AV16" s="327"/>
      <c r="AW16" s="327"/>
      <c r="AX16" s="327"/>
      <c r="AY16" s="327"/>
      <c r="AZ16" s="328"/>
      <c r="BA16" s="333"/>
      <c r="BB16" s="332"/>
      <c r="BC16" s="327"/>
      <c r="BD16" s="327"/>
      <c r="BE16" s="328"/>
      <c r="BF16" s="327"/>
      <c r="BG16" s="327"/>
      <c r="BH16" s="327"/>
      <c r="BI16" s="327"/>
      <c r="BJ16" s="327"/>
      <c r="BK16" s="327"/>
      <c r="BL16" s="328"/>
      <c r="BM16" s="333"/>
      <c r="BN16" s="300"/>
      <c r="BO16" s="320">
        <f t="shared" si="6"/>
        <v>4220000</v>
      </c>
      <c r="BP16" s="330">
        <f t="shared" si="2"/>
        <v>0</v>
      </c>
      <c r="BQ16" s="331">
        <f t="shared" si="3"/>
        <v>0</v>
      </c>
      <c r="BR16" s="330">
        <f t="shared" si="4"/>
        <v>0</v>
      </c>
    </row>
    <row r="17" spans="1:72" ht="43.5" customHeight="1">
      <c r="A17" s="343">
        <v>13</v>
      </c>
      <c r="B17" s="334" t="s">
        <v>1145</v>
      </c>
      <c r="C17" s="307">
        <v>3680000</v>
      </c>
      <c r="D17" s="338"/>
      <c r="E17" s="340">
        <v>0</v>
      </c>
      <c r="F17" s="340">
        <v>1</v>
      </c>
      <c r="G17" s="341">
        <f t="shared" si="5"/>
        <v>1</v>
      </c>
      <c r="H17" s="342">
        <f t="shared" si="0"/>
        <v>3680000</v>
      </c>
      <c r="I17" s="335"/>
      <c r="J17" s="327">
        <v>1</v>
      </c>
      <c r="K17" s="328">
        <v>0</v>
      </c>
      <c r="L17" s="327"/>
      <c r="M17" s="335"/>
      <c r="N17" s="320">
        <f t="shared" si="1"/>
        <v>3680000</v>
      </c>
      <c r="O17" s="321" t="str">
        <f t="shared" si="1"/>
        <v/>
      </c>
      <c r="P17" s="320" t="str">
        <f t="shared" si="1"/>
        <v/>
      </c>
      <c r="Q17" s="335"/>
      <c r="R17" s="332"/>
      <c r="S17" s="327"/>
      <c r="T17" s="327"/>
      <c r="U17" s="328"/>
      <c r="V17" s="327"/>
      <c r="W17" s="327"/>
      <c r="X17" s="327"/>
      <c r="Y17" s="327"/>
      <c r="Z17" s="327"/>
      <c r="AA17" s="327"/>
      <c r="AB17" s="328"/>
      <c r="AC17" s="333"/>
      <c r="AD17" s="332"/>
      <c r="AE17" s="327"/>
      <c r="AF17" s="327"/>
      <c r="AG17" s="328"/>
      <c r="AH17" s="327"/>
      <c r="AI17" s="327"/>
      <c r="AJ17" s="327"/>
      <c r="AK17" s="327"/>
      <c r="AL17" s="327"/>
      <c r="AM17" s="327"/>
      <c r="AN17" s="328"/>
      <c r="AO17" s="333"/>
      <c r="AP17" s="332">
        <v>1</v>
      </c>
      <c r="AQ17" s="327"/>
      <c r="AR17" s="327"/>
      <c r="AS17" s="328"/>
      <c r="AT17" s="327"/>
      <c r="AU17" s="327"/>
      <c r="AV17" s="327"/>
      <c r="AW17" s="327"/>
      <c r="AX17" s="327"/>
      <c r="AY17" s="327"/>
      <c r="AZ17" s="328"/>
      <c r="BA17" s="333"/>
      <c r="BB17" s="332"/>
      <c r="BC17" s="327"/>
      <c r="BD17" s="327"/>
      <c r="BE17" s="328"/>
      <c r="BF17" s="327"/>
      <c r="BG17" s="327"/>
      <c r="BH17" s="327"/>
      <c r="BI17" s="327"/>
      <c r="BJ17" s="327"/>
      <c r="BK17" s="327"/>
      <c r="BL17" s="328"/>
      <c r="BM17" s="333"/>
      <c r="BN17" s="300"/>
      <c r="BO17" s="320">
        <f t="shared" si="6"/>
        <v>0</v>
      </c>
      <c r="BP17" s="320">
        <f t="shared" si="2"/>
        <v>0</v>
      </c>
      <c r="BQ17" s="321">
        <f t="shared" si="3"/>
        <v>3680000</v>
      </c>
      <c r="BR17" s="320">
        <f t="shared" si="4"/>
        <v>0</v>
      </c>
    </row>
    <row r="18" spans="1:72">
      <c r="A18" s="324">
        <v>15</v>
      </c>
      <c r="B18" s="334" t="s">
        <v>1160</v>
      </c>
      <c r="C18" s="307">
        <v>2110000</v>
      </c>
      <c r="D18" s="300"/>
      <c r="E18" s="315">
        <v>0</v>
      </c>
      <c r="F18" s="315">
        <v>12</v>
      </c>
      <c r="G18" s="316">
        <f t="shared" si="5"/>
        <v>12</v>
      </c>
      <c r="H18" s="317">
        <f t="shared" si="0"/>
        <v>25320000</v>
      </c>
      <c r="I18" s="335"/>
      <c r="J18" s="327">
        <v>0</v>
      </c>
      <c r="K18" s="328">
        <v>12</v>
      </c>
      <c r="L18" s="327"/>
      <c r="M18" s="335"/>
      <c r="N18" s="320" t="str">
        <f t="shared" si="1"/>
        <v/>
      </c>
      <c r="O18" s="321">
        <f t="shared" si="1"/>
        <v>25320000</v>
      </c>
      <c r="P18" s="320" t="str">
        <f t="shared" si="1"/>
        <v/>
      </c>
      <c r="Q18" s="335"/>
      <c r="R18" s="332"/>
      <c r="S18" s="327"/>
      <c r="T18" s="327"/>
      <c r="U18" s="327"/>
      <c r="V18" s="327"/>
      <c r="W18" s="327"/>
      <c r="X18" s="327"/>
      <c r="Y18" s="327"/>
      <c r="Z18" s="327"/>
      <c r="AA18" s="327"/>
      <c r="AB18" s="327"/>
      <c r="AC18" s="333"/>
      <c r="AD18" s="332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33"/>
      <c r="AP18" s="332"/>
      <c r="AQ18" s="327">
        <v>12</v>
      </c>
      <c r="AR18" s="327"/>
      <c r="AS18" s="327"/>
      <c r="AT18" s="327"/>
      <c r="AU18" s="327"/>
      <c r="AV18" s="327"/>
      <c r="AW18" s="327"/>
      <c r="AX18" s="327"/>
      <c r="AY18" s="327"/>
      <c r="AZ18" s="327"/>
      <c r="BA18" s="333"/>
      <c r="BB18" s="332"/>
      <c r="BC18" s="327"/>
      <c r="BD18" s="327"/>
      <c r="BE18" s="327"/>
      <c r="BF18" s="327"/>
      <c r="BG18" s="327"/>
      <c r="BH18" s="327"/>
      <c r="BI18" s="327"/>
      <c r="BJ18" s="327"/>
      <c r="BK18" s="327"/>
      <c r="BL18" s="327"/>
      <c r="BM18" s="333"/>
      <c r="BN18" s="300"/>
      <c r="BO18" s="320">
        <f t="shared" si="6"/>
        <v>0</v>
      </c>
      <c r="BP18" s="320">
        <f t="shared" si="2"/>
        <v>0</v>
      </c>
      <c r="BQ18" s="321">
        <f t="shared" si="3"/>
        <v>25320000</v>
      </c>
      <c r="BR18" s="320">
        <f t="shared" si="4"/>
        <v>0</v>
      </c>
    </row>
    <row r="19" spans="1:72">
      <c r="A19" s="324">
        <v>16</v>
      </c>
      <c r="B19" s="334" t="s">
        <v>1161</v>
      </c>
      <c r="C19" s="307">
        <v>2180000</v>
      </c>
      <c r="D19" s="300"/>
      <c r="E19" s="315">
        <v>0</v>
      </c>
      <c r="F19" s="315">
        <v>9</v>
      </c>
      <c r="G19" s="316">
        <f t="shared" si="5"/>
        <v>9</v>
      </c>
      <c r="H19" s="325">
        <f t="shared" si="0"/>
        <v>19620000</v>
      </c>
      <c r="I19" s="336"/>
      <c r="J19" s="327">
        <v>0</v>
      </c>
      <c r="K19" s="328">
        <v>9</v>
      </c>
      <c r="L19" s="327"/>
      <c r="M19" s="336"/>
      <c r="N19" s="330" t="str">
        <f t="shared" si="1"/>
        <v/>
      </c>
      <c r="O19" s="331">
        <f t="shared" si="1"/>
        <v>19620000</v>
      </c>
      <c r="P19" s="330" t="str">
        <f t="shared" si="1"/>
        <v/>
      </c>
      <c r="Q19" s="336"/>
      <c r="R19" s="332"/>
      <c r="S19" s="327"/>
      <c r="T19" s="327"/>
      <c r="U19" s="327"/>
      <c r="V19" s="327"/>
      <c r="W19" s="327"/>
      <c r="X19" s="327"/>
      <c r="Y19" s="327"/>
      <c r="Z19" s="327"/>
      <c r="AA19" s="327"/>
      <c r="AB19" s="327"/>
      <c r="AC19" s="333"/>
      <c r="AD19" s="332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33"/>
      <c r="AP19" s="332"/>
      <c r="AQ19" s="327">
        <v>9</v>
      </c>
      <c r="AR19" s="327"/>
      <c r="AS19" s="327"/>
      <c r="AT19" s="327"/>
      <c r="AU19" s="327"/>
      <c r="AV19" s="327"/>
      <c r="AW19" s="327"/>
      <c r="AX19" s="327"/>
      <c r="AY19" s="327"/>
      <c r="AZ19" s="327"/>
      <c r="BA19" s="333"/>
      <c r="BB19" s="332"/>
      <c r="BC19" s="327"/>
      <c r="BD19" s="327"/>
      <c r="BE19" s="327"/>
      <c r="BF19" s="327"/>
      <c r="BG19" s="327"/>
      <c r="BH19" s="327"/>
      <c r="BI19" s="327"/>
      <c r="BJ19" s="327"/>
      <c r="BK19" s="327"/>
      <c r="BL19" s="327"/>
      <c r="BM19" s="333"/>
      <c r="BN19" s="300"/>
      <c r="BO19" s="320">
        <f t="shared" si="6"/>
        <v>0</v>
      </c>
      <c r="BP19" s="330">
        <f t="shared" si="2"/>
        <v>0</v>
      </c>
      <c r="BQ19" s="331">
        <f t="shared" si="3"/>
        <v>19620000</v>
      </c>
      <c r="BR19" s="330">
        <f t="shared" si="4"/>
        <v>0</v>
      </c>
    </row>
    <row r="20" spans="1:72">
      <c r="A20" s="305">
        <v>17</v>
      </c>
      <c r="B20" s="334" t="s">
        <v>1162</v>
      </c>
      <c r="C20" s="307">
        <v>2630000</v>
      </c>
      <c r="D20" s="300"/>
      <c r="E20" s="315">
        <v>0</v>
      </c>
      <c r="F20" s="315">
        <v>1</v>
      </c>
      <c r="G20" s="316">
        <f t="shared" si="5"/>
        <v>1</v>
      </c>
      <c r="H20" s="325">
        <f t="shared" si="0"/>
        <v>2630000</v>
      </c>
      <c r="I20" s="336"/>
      <c r="J20" s="327">
        <v>0</v>
      </c>
      <c r="K20" s="328">
        <v>1</v>
      </c>
      <c r="L20" s="327"/>
      <c r="M20" s="336"/>
      <c r="N20" s="330" t="str">
        <f t="shared" si="1"/>
        <v/>
      </c>
      <c r="O20" s="331">
        <f t="shared" si="1"/>
        <v>2630000</v>
      </c>
      <c r="P20" s="330" t="str">
        <f t="shared" si="1"/>
        <v/>
      </c>
      <c r="Q20" s="336"/>
      <c r="R20" s="332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33"/>
      <c r="AD20" s="332"/>
      <c r="AE20" s="327"/>
      <c r="AF20" s="327"/>
      <c r="AG20" s="327"/>
      <c r="AH20" s="327"/>
      <c r="AI20" s="327"/>
      <c r="AJ20" s="327"/>
      <c r="AK20" s="327"/>
      <c r="AL20" s="327"/>
      <c r="AM20" s="327"/>
      <c r="AN20" s="327"/>
      <c r="AO20" s="333"/>
      <c r="AP20" s="332"/>
      <c r="AQ20" s="327"/>
      <c r="AR20" s="327">
        <v>1</v>
      </c>
      <c r="AS20" s="327"/>
      <c r="AT20" s="327"/>
      <c r="AU20" s="327"/>
      <c r="AV20" s="327"/>
      <c r="AW20" s="327"/>
      <c r="AX20" s="327"/>
      <c r="AY20" s="327"/>
      <c r="AZ20" s="327"/>
      <c r="BA20" s="333"/>
      <c r="BB20" s="332"/>
      <c r="BC20" s="327"/>
      <c r="BD20" s="327"/>
      <c r="BE20" s="327"/>
      <c r="BF20" s="327"/>
      <c r="BG20" s="327"/>
      <c r="BH20" s="327"/>
      <c r="BI20" s="327"/>
      <c r="BJ20" s="327"/>
      <c r="BK20" s="327"/>
      <c r="BL20" s="327"/>
      <c r="BM20" s="333"/>
      <c r="BN20" s="300"/>
      <c r="BO20" s="320">
        <f t="shared" si="6"/>
        <v>0</v>
      </c>
      <c r="BP20" s="330">
        <f t="shared" si="2"/>
        <v>0</v>
      </c>
      <c r="BQ20" s="331">
        <f t="shared" si="3"/>
        <v>2630000</v>
      </c>
      <c r="BR20" s="330">
        <f t="shared" si="4"/>
        <v>0</v>
      </c>
    </row>
    <row r="21" spans="1:72" ht="21" customHeight="1">
      <c r="A21" s="324">
        <v>18</v>
      </c>
      <c r="B21" s="334" t="s">
        <v>1163</v>
      </c>
      <c r="C21" s="307">
        <v>7450000</v>
      </c>
      <c r="D21" s="300"/>
      <c r="E21" s="315">
        <v>0</v>
      </c>
      <c r="F21" s="315">
        <v>11</v>
      </c>
      <c r="G21" s="316">
        <f t="shared" si="5"/>
        <v>11</v>
      </c>
      <c r="H21" s="325">
        <f t="shared" si="0"/>
        <v>81950000</v>
      </c>
      <c r="I21" s="336"/>
      <c r="J21" s="327">
        <v>0</v>
      </c>
      <c r="K21" s="328">
        <v>11</v>
      </c>
      <c r="L21" s="327"/>
      <c r="M21" s="336"/>
      <c r="N21" s="330" t="str">
        <f t="shared" ref="N21:P28" si="7">IF(J21*$C21=0,"",J21*$C21)</f>
        <v/>
      </c>
      <c r="O21" s="331">
        <f t="shared" si="7"/>
        <v>81950000</v>
      </c>
      <c r="P21" s="330" t="str">
        <f t="shared" si="7"/>
        <v/>
      </c>
      <c r="Q21" s="336"/>
      <c r="R21" s="332"/>
      <c r="S21" s="327"/>
      <c r="T21" s="327"/>
      <c r="U21" s="327"/>
      <c r="V21" s="327"/>
      <c r="W21" s="327"/>
      <c r="X21" s="327"/>
      <c r="Y21" s="327"/>
      <c r="Z21" s="327"/>
      <c r="AA21" s="327"/>
      <c r="AB21" s="327"/>
      <c r="AC21" s="333"/>
      <c r="AD21" s="332"/>
      <c r="AE21" s="327"/>
      <c r="AF21" s="327"/>
      <c r="AG21" s="327"/>
      <c r="AH21" s="327"/>
      <c r="AI21" s="327"/>
      <c r="AJ21" s="327"/>
      <c r="AK21" s="327"/>
      <c r="AL21" s="327"/>
      <c r="AM21" s="327"/>
      <c r="AN21" s="327"/>
      <c r="AO21" s="333"/>
      <c r="AP21" s="332"/>
      <c r="AQ21" s="327"/>
      <c r="AR21" s="327"/>
      <c r="AS21" s="327"/>
      <c r="AT21" s="327"/>
      <c r="AU21" s="327"/>
      <c r="AV21" s="327"/>
      <c r="AW21" s="327"/>
      <c r="AX21" s="327"/>
      <c r="AY21" s="327"/>
      <c r="AZ21" s="327"/>
      <c r="BA21" s="333"/>
      <c r="BB21" s="332">
        <v>11</v>
      </c>
      <c r="BC21" s="327"/>
      <c r="BD21" s="327"/>
      <c r="BE21" s="327"/>
      <c r="BF21" s="327"/>
      <c r="BG21" s="327"/>
      <c r="BH21" s="327"/>
      <c r="BI21" s="327"/>
      <c r="BJ21" s="327"/>
      <c r="BK21" s="327"/>
      <c r="BL21" s="327"/>
      <c r="BM21" s="333"/>
      <c r="BN21" s="300"/>
      <c r="BO21" s="320">
        <f t="shared" si="6"/>
        <v>0</v>
      </c>
      <c r="BP21" s="330">
        <f t="shared" si="2"/>
        <v>0</v>
      </c>
      <c r="BQ21" s="331">
        <f t="shared" si="3"/>
        <v>0</v>
      </c>
      <c r="BR21" s="330">
        <f t="shared" si="4"/>
        <v>81950000</v>
      </c>
    </row>
    <row r="22" spans="1:72">
      <c r="A22" s="324">
        <v>19</v>
      </c>
      <c r="B22" s="334" t="s">
        <v>1164</v>
      </c>
      <c r="C22" s="307">
        <v>6805000</v>
      </c>
      <c r="D22" s="300"/>
      <c r="E22" s="315">
        <v>0</v>
      </c>
      <c r="F22" s="315">
        <v>4</v>
      </c>
      <c r="G22" s="316">
        <f t="shared" si="5"/>
        <v>4</v>
      </c>
      <c r="H22" s="325">
        <f t="shared" si="0"/>
        <v>27220000</v>
      </c>
      <c r="I22" s="336"/>
      <c r="J22" s="327">
        <v>0</v>
      </c>
      <c r="K22" s="328">
        <v>4</v>
      </c>
      <c r="L22" s="327"/>
      <c r="M22" s="336"/>
      <c r="N22" s="330" t="str">
        <f t="shared" si="7"/>
        <v/>
      </c>
      <c r="O22" s="331">
        <f t="shared" si="7"/>
        <v>27220000</v>
      </c>
      <c r="P22" s="330" t="str">
        <f t="shared" si="7"/>
        <v/>
      </c>
      <c r="Q22" s="336"/>
      <c r="R22" s="332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33"/>
      <c r="AD22" s="332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33"/>
      <c r="AP22" s="332"/>
      <c r="AQ22" s="327"/>
      <c r="AR22" s="327"/>
      <c r="AS22" s="327"/>
      <c r="AT22" s="327">
        <v>4</v>
      </c>
      <c r="AU22" s="327"/>
      <c r="AV22" s="327"/>
      <c r="AW22" s="327"/>
      <c r="AX22" s="327"/>
      <c r="AY22" s="327"/>
      <c r="AZ22" s="327"/>
      <c r="BA22" s="333"/>
      <c r="BB22" s="332"/>
      <c r="BC22" s="327"/>
      <c r="BD22" s="327"/>
      <c r="BE22" s="327"/>
      <c r="BF22" s="327"/>
      <c r="BG22" s="327"/>
      <c r="BH22" s="327"/>
      <c r="BI22" s="327"/>
      <c r="BJ22" s="327"/>
      <c r="BK22" s="327"/>
      <c r="BL22" s="327"/>
      <c r="BM22" s="333"/>
      <c r="BN22" s="300"/>
      <c r="BO22" s="320">
        <f t="shared" si="6"/>
        <v>0</v>
      </c>
      <c r="BP22" s="330">
        <f t="shared" si="2"/>
        <v>0</v>
      </c>
      <c r="BQ22" s="331">
        <f t="shared" si="3"/>
        <v>27220000</v>
      </c>
      <c r="BR22" s="330">
        <f t="shared" si="4"/>
        <v>0</v>
      </c>
    </row>
    <row r="23" spans="1:72">
      <c r="A23" s="324">
        <v>20</v>
      </c>
      <c r="B23" s="334" t="s">
        <v>1165</v>
      </c>
      <c r="C23" s="307">
        <v>6805000</v>
      </c>
      <c r="D23" s="300"/>
      <c r="E23" s="315">
        <v>0</v>
      </c>
      <c r="F23" s="315">
        <v>2</v>
      </c>
      <c r="G23" s="316">
        <f t="shared" si="5"/>
        <v>2</v>
      </c>
      <c r="H23" s="325">
        <f t="shared" si="0"/>
        <v>13610000</v>
      </c>
      <c r="I23" s="336"/>
      <c r="J23" s="327">
        <v>0</v>
      </c>
      <c r="K23" s="328">
        <v>2</v>
      </c>
      <c r="L23" s="327"/>
      <c r="M23" s="336"/>
      <c r="N23" s="330" t="str">
        <f t="shared" si="7"/>
        <v/>
      </c>
      <c r="O23" s="331">
        <f t="shared" si="7"/>
        <v>13610000</v>
      </c>
      <c r="P23" s="330" t="str">
        <f t="shared" si="7"/>
        <v/>
      </c>
      <c r="Q23" s="336"/>
      <c r="R23" s="332"/>
      <c r="S23" s="327"/>
      <c r="T23" s="327"/>
      <c r="U23" s="327"/>
      <c r="V23" s="327"/>
      <c r="W23" s="327"/>
      <c r="X23" s="327"/>
      <c r="Y23" s="327"/>
      <c r="Z23" s="327"/>
      <c r="AA23" s="327"/>
      <c r="AB23" s="327"/>
      <c r="AC23" s="333"/>
      <c r="AD23" s="332"/>
      <c r="AE23" s="327"/>
      <c r="AF23" s="327"/>
      <c r="AG23" s="327"/>
      <c r="AH23" s="327"/>
      <c r="AI23" s="327"/>
      <c r="AJ23" s="327"/>
      <c r="AK23" s="327"/>
      <c r="AL23" s="327"/>
      <c r="AM23" s="327"/>
      <c r="AN23" s="327"/>
      <c r="AO23" s="333"/>
      <c r="AP23" s="332"/>
      <c r="AQ23" s="327"/>
      <c r="AR23" s="327"/>
      <c r="AS23" s="327"/>
      <c r="AT23" s="327">
        <v>2</v>
      </c>
      <c r="AU23" s="327"/>
      <c r="AV23" s="327"/>
      <c r="AW23" s="327"/>
      <c r="AX23" s="327"/>
      <c r="AY23" s="327"/>
      <c r="AZ23" s="327"/>
      <c r="BA23" s="333"/>
      <c r="BB23" s="332"/>
      <c r="BC23" s="327"/>
      <c r="BD23" s="327"/>
      <c r="BE23" s="327"/>
      <c r="BF23" s="327"/>
      <c r="BG23" s="327"/>
      <c r="BH23" s="327"/>
      <c r="BI23" s="327"/>
      <c r="BJ23" s="327"/>
      <c r="BK23" s="327"/>
      <c r="BL23" s="327"/>
      <c r="BM23" s="333"/>
      <c r="BN23" s="300"/>
      <c r="BO23" s="320">
        <f t="shared" si="6"/>
        <v>0</v>
      </c>
      <c r="BP23" s="330">
        <f t="shared" si="2"/>
        <v>0</v>
      </c>
      <c r="BQ23" s="331">
        <f t="shared" si="3"/>
        <v>13610000</v>
      </c>
      <c r="BR23" s="330">
        <f t="shared" si="4"/>
        <v>0</v>
      </c>
    </row>
    <row r="24" spans="1:72">
      <c r="A24" s="305">
        <v>21</v>
      </c>
      <c r="B24" s="334" t="s">
        <v>1166</v>
      </c>
      <c r="C24" s="307">
        <v>4420000</v>
      </c>
      <c r="D24" s="300"/>
      <c r="E24" s="315">
        <v>0</v>
      </c>
      <c r="F24" s="315">
        <v>3</v>
      </c>
      <c r="G24" s="316">
        <f t="shared" si="5"/>
        <v>3</v>
      </c>
      <c r="H24" s="325">
        <f t="shared" si="0"/>
        <v>13260000</v>
      </c>
      <c r="I24" s="336"/>
      <c r="J24" s="327">
        <v>0</v>
      </c>
      <c r="K24" s="328">
        <v>3</v>
      </c>
      <c r="L24" s="327"/>
      <c r="M24" s="336"/>
      <c r="N24" s="330" t="str">
        <f t="shared" si="7"/>
        <v/>
      </c>
      <c r="O24" s="331">
        <f t="shared" si="7"/>
        <v>13260000</v>
      </c>
      <c r="P24" s="330"/>
      <c r="Q24" s="336"/>
      <c r="R24" s="332"/>
      <c r="S24" s="327"/>
      <c r="T24" s="327"/>
      <c r="U24" s="327"/>
      <c r="V24" s="327"/>
      <c r="W24" s="327"/>
      <c r="X24" s="327"/>
      <c r="Y24" s="327"/>
      <c r="Z24" s="327"/>
      <c r="AA24" s="327"/>
      <c r="AB24" s="327"/>
      <c r="AC24" s="333"/>
      <c r="AD24" s="332"/>
      <c r="AE24" s="327"/>
      <c r="AF24" s="327"/>
      <c r="AG24" s="327"/>
      <c r="AH24" s="327"/>
      <c r="AI24" s="327"/>
      <c r="AJ24" s="327"/>
      <c r="AK24" s="327"/>
      <c r="AL24" s="327"/>
      <c r="AM24" s="327"/>
      <c r="AN24" s="327"/>
      <c r="AO24" s="333"/>
      <c r="AP24" s="332"/>
      <c r="AQ24" s="327"/>
      <c r="AR24" s="327"/>
      <c r="AS24" s="327"/>
      <c r="AT24" s="327">
        <v>3</v>
      </c>
      <c r="AU24" s="327"/>
      <c r="AV24" s="327"/>
      <c r="AW24" s="327"/>
      <c r="AX24" s="327"/>
      <c r="AY24" s="327"/>
      <c r="AZ24" s="327"/>
      <c r="BA24" s="333"/>
      <c r="BB24" s="332"/>
      <c r="BC24" s="327"/>
      <c r="BD24" s="327"/>
      <c r="BE24" s="327"/>
      <c r="BF24" s="327"/>
      <c r="BG24" s="327"/>
      <c r="BH24" s="327"/>
      <c r="BI24" s="327"/>
      <c r="BJ24" s="327"/>
      <c r="BK24" s="327"/>
      <c r="BL24" s="327"/>
      <c r="BM24" s="333"/>
      <c r="BN24" s="300"/>
      <c r="BO24" s="320">
        <f t="shared" si="6"/>
        <v>0</v>
      </c>
      <c r="BP24" s="330">
        <f t="shared" si="2"/>
        <v>0</v>
      </c>
      <c r="BQ24" s="331">
        <f t="shared" si="3"/>
        <v>13260000</v>
      </c>
      <c r="BR24" s="330">
        <f t="shared" si="4"/>
        <v>0</v>
      </c>
    </row>
    <row r="25" spans="1:72">
      <c r="A25" s="324">
        <v>22</v>
      </c>
      <c r="B25" s="334" t="s">
        <v>1146</v>
      </c>
      <c r="C25" s="307">
        <v>14900000</v>
      </c>
      <c r="D25" s="300"/>
      <c r="E25" s="315">
        <v>0</v>
      </c>
      <c r="F25" s="315">
        <v>2</v>
      </c>
      <c r="G25" s="316">
        <f t="shared" si="5"/>
        <v>2</v>
      </c>
      <c r="H25" s="325">
        <f t="shared" si="0"/>
        <v>29800000</v>
      </c>
      <c r="I25" s="336"/>
      <c r="J25" s="327">
        <v>2</v>
      </c>
      <c r="K25" s="328">
        <v>0</v>
      </c>
      <c r="L25" s="327"/>
      <c r="M25" s="336"/>
      <c r="N25" s="330">
        <f t="shared" si="7"/>
        <v>29800000</v>
      </c>
      <c r="O25" s="331" t="str">
        <f t="shared" si="7"/>
        <v/>
      </c>
      <c r="P25" s="330"/>
      <c r="Q25" s="336"/>
      <c r="R25" s="332"/>
      <c r="S25" s="327"/>
      <c r="T25" s="327"/>
      <c r="U25" s="327"/>
      <c r="V25" s="327"/>
      <c r="W25" s="327"/>
      <c r="X25" s="327"/>
      <c r="Y25" s="327"/>
      <c r="Z25" s="327"/>
      <c r="AA25" s="327"/>
      <c r="AB25" s="327"/>
      <c r="AC25" s="333"/>
      <c r="AD25" s="332"/>
      <c r="AE25" s="327"/>
      <c r="AF25" s="327"/>
      <c r="AG25" s="327"/>
      <c r="AH25" s="327"/>
      <c r="AI25" s="327"/>
      <c r="AJ25" s="327"/>
      <c r="AK25" s="327"/>
      <c r="AL25" s="327"/>
      <c r="AM25" s="327"/>
      <c r="AN25" s="327"/>
      <c r="AO25" s="333"/>
      <c r="AP25" s="332">
        <v>2</v>
      </c>
      <c r="AQ25" s="327"/>
      <c r="AR25" s="327"/>
      <c r="AS25" s="327"/>
      <c r="AT25" s="327"/>
      <c r="AU25" s="327"/>
      <c r="AV25" s="327"/>
      <c r="AW25" s="327"/>
      <c r="AX25" s="327"/>
      <c r="AY25" s="327"/>
      <c r="AZ25" s="327"/>
      <c r="BA25" s="333"/>
      <c r="BB25" s="332"/>
      <c r="BC25" s="327"/>
      <c r="BD25" s="327"/>
      <c r="BE25" s="327"/>
      <c r="BF25" s="327"/>
      <c r="BG25" s="327"/>
      <c r="BH25" s="327"/>
      <c r="BI25" s="327"/>
      <c r="BJ25" s="327"/>
      <c r="BK25" s="327"/>
      <c r="BL25" s="327"/>
      <c r="BM25" s="333"/>
      <c r="BN25" s="300"/>
      <c r="BO25" s="320">
        <f t="shared" si="6"/>
        <v>0</v>
      </c>
      <c r="BP25" s="330">
        <f t="shared" si="2"/>
        <v>0</v>
      </c>
      <c r="BQ25" s="331">
        <f t="shared" si="3"/>
        <v>29800000</v>
      </c>
      <c r="BR25" s="330">
        <f t="shared" si="4"/>
        <v>0</v>
      </c>
    </row>
    <row r="26" spans="1:72">
      <c r="A26" s="337">
        <v>23</v>
      </c>
      <c r="B26" s="344" t="s">
        <v>1167</v>
      </c>
      <c r="C26" s="307">
        <v>7000000</v>
      </c>
      <c r="D26" s="300"/>
      <c r="E26" s="315">
        <v>0</v>
      </c>
      <c r="F26" s="315">
        <v>10</v>
      </c>
      <c r="G26" s="316">
        <f t="shared" si="5"/>
        <v>10</v>
      </c>
      <c r="H26" s="325">
        <f t="shared" si="0"/>
        <v>70000000</v>
      </c>
      <c r="I26" s="336"/>
      <c r="J26" s="327">
        <v>0</v>
      </c>
      <c r="K26" s="327">
        <v>10</v>
      </c>
      <c r="L26" s="327"/>
      <c r="M26" s="336"/>
      <c r="N26" s="330" t="str">
        <f t="shared" si="7"/>
        <v/>
      </c>
      <c r="O26" s="331">
        <f t="shared" si="7"/>
        <v>70000000</v>
      </c>
      <c r="P26" s="330"/>
      <c r="Q26" s="336"/>
      <c r="R26" s="332"/>
      <c r="S26" s="327"/>
      <c r="T26" s="327"/>
      <c r="U26" s="327"/>
      <c r="V26" s="327"/>
      <c r="W26" s="327"/>
      <c r="X26" s="327"/>
      <c r="Y26" s="327"/>
      <c r="Z26" s="327"/>
      <c r="AA26" s="327"/>
      <c r="AB26" s="327"/>
      <c r="AC26" s="333"/>
      <c r="AD26" s="332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33"/>
      <c r="AP26" s="332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33"/>
      <c r="BB26" s="332">
        <v>10</v>
      </c>
      <c r="BC26" s="327"/>
      <c r="BD26" s="327"/>
      <c r="BE26" s="327"/>
      <c r="BF26" s="327"/>
      <c r="BG26" s="327"/>
      <c r="BH26" s="327"/>
      <c r="BI26" s="327"/>
      <c r="BJ26" s="327"/>
      <c r="BK26" s="327"/>
      <c r="BL26" s="327"/>
      <c r="BM26" s="333"/>
      <c r="BN26" s="300"/>
      <c r="BO26" s="320">
        <f t="shared" si="6"/>
        <v>0</v>
      </c>
      <c r="BP26" s="330">
        <f t="shared" si="2"/>
        <v>0</v>
      </c>
      <c r="BQ26" s="331">
        <f t="shared" si="3"/>
        <v>0</v>
      </c>
      <c r="BR26" s="330">
        <f t="shared" si="4"/>
        <v>70000000</v>
      </c>
      <c r="BT26" s="240">
        <f>689.72-893.52</f>
        <v>-203.79999999999995</v>
      </c>
    </row>
    <row r="27" spans="1:72">
      <c r="A27" s="337">
        <v>24</v>
      </c>
      <c r="B27" s="334" t="s">
        <v>1168</v>
      </c>
      <c r="C27" s="307">
        <v>7000000</v>
      </c>
      <c r="D27" s="300"/>
      <c r="E27" s="315">
        <v>0</v>
      </c>
      <c r="F27" s="315">
        <v>2</v>
      </c>
      <c r="G27" s="345">
        <f t="shared" si="5"/>
        <v>2</v>
      </c>
      <c r="H27" s="325">
        <f t="shared" si="0"/>
        <v>14000000</v>
      </c>
      <c r="I27" s="336"/>
      <c r="J27" s="327">
        <v>0</v>
      </c>
      <c r="K27" s="327">
        <v>2</v>
      </c>
      <c r="L27" s="327"/>
      <c r="M27" s="336"/>
      <c r="N27" s="330" t="str">
        <f t="shared" si="7"/>
        <v/>
      </c>
      <c r="O27" s="331">
        <f t="shared" si="7"/>
        <v>14000000</v>
      </c>
      <c r="P27" s="330"/>
      <c r="Q27" s="336"/>
      <c r="R27" s="332"/>
      <c r="S27" s="327"/>
      <c r="T27" s="327"/>
      <c r="U27" s="327"/>
      <c r="V27" s="327"/>
      <c r="W27" s="327"/>
      <c r="X27" s="327"/>
      <c r="Y27" s="327"/>
      <c r="Z27" s="327"/>
      <c r="AA27" s="327"/>
      <c r="AB27" s="327"/>
      <c r="AC27" s="333"/>
      <c r="AD27" s="332"/>
      <c r="AE27" s="327"/>
      <c r="AF27" s="327"/>
      <c r="AG27" s="327"/>
      <c r="AH27" s="327"/>
      <c r="AI27" s="327"/>
      <c r="AJ27" s="327"/>
      <c r="AK27" s="327"/>
      <c r="AL27" s="327"/>
      <c r="AM27" s="327"/>
      <c r="AN27" s="327"/>
      <c r="AO27" s="333"/>
      <c r="AP27" s="332"/>
      <c r="AQ27" s="327"/>
      <c r="AR27" s="327"/>
      <c r="AS27" s="327"/>
      <c r="AT27" s="327">
        <v>2</v>
      </c>
      <c r="AU27" s="327"/>
      <c r="AV27" s="327"/>
      <c r="AW27" s="327"/>
      <c r="AX27" s="327"/>
      <c r="AY27" s="327"/>
      <c r="AZ27" s="327"/>
      <c r="BA27" s="333"/>
      <c r="BB27" s="332"/>
      <c r="BC27" s="327"/>
      <c r="BD27" s="327"/>
      <c r="BE27" s="327"/>
      <c r="BF27" s="327"/>
      <c r="BG27" s="327"/>
      <c r="BH27" s="327"/>
      <c r="BI27" s="327"/>
      <c r="BJ27" s="327"/>
      <c r="BK27" s="327"/>
      <c r="BL27" s="327"/>
      <c r="BM27" s="333"/>
      <c r="BN27" s="300"/>
      <c r="BO27" s="320">
        <f t="shared" si="6"/>
        <v>0</v>
      </c>
      <c r="BP27" s="330">
        <f t="shared" si="2"/>
        <v>0</v>
      </c>
      <c r="BQ27" s="331">
        <f t="shared" si="3"/>
        <v>14000000</v>
      </c>
      <c r="BR27" s="330">
        <f t="shared" si="4"/>
        <v>0</v>
      </c>
    </row>
    <row r="28" spans="1:72">
      <c r="A28" s="346"/>
      <c r="B28" s="498"/>
      <c r="C28" s="347"/>
      <c r="D28" s="300"/>
      <c r="E28" s="348"/>
      <c r="F28" s="348"/>
      <c r="G28" s="349"/>
      <c r="H28" s="327"/>
      <c r="I28" s="336"/>
      <c r="J28" s="327"/>
      <c r="K28" s="327"/>
      <c r="L28" s="327"/>
      <c r="M28" s="336"/>
      <c r="N28" s="330" t="str">
        <f t="shared" si="7"/>
        <v/>
      </c>
      <c r="O28" s="331" t="str">
        <f t="shared" si="7"/>
        <v/>
      </c>
      <c r="P28" s="330" t="str">
        <f t="shared" si="7"/>
        <v/>
      </c>
      <c r="Q28" s="336"/>
      <c r="R28" s="332"/>
      <c r="S28" s="327"/>
      <c r="T28" s="327"/>
      <c r="U28" s="327"/>
      <c r="V28" s="327"/>
      <c r="W28" s="327"/>
      <c r="X28" s="327"/>
      <c r="Y28" s="327"/>
      <c r="Z28" s="327"/>
      <c r="AA28" s="327"/>
      <c r="AB28" s="327"/>
      <c r="AC28" s="333"/>
      <c r="AD28" s="332"/>
      <c r="AE28" s="327"/>
      <c r="AF28" s="327"/>
      <c r="AG28" s="327"/>
      <c r="AH28" s="327"/>
      <c r="AI28" s="327"/>
      <c r="AJ28" s="327"/>
      <c r="AK28" s="327"/>
      <c r="AL28" s="327"/>
      <c r="AM28" s="327"/>
      <c r="AN28" s="327"/>
      <c r="AO28" s="333"/>
      <c r="AP28" s="332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33"/>
      <c r="BB28" s="332"/>
      <c r="BC28" s="327"/>
      <c r="BD28" s="327"/>
      <c r="BE28" s="327"/>
      <c r="BF28" s="327"/>
      <c r="BG28" s="327"/>
      <c r="BH28" s="327"/>
      <c r="BI28" s="327"/>
      <c r="BJ28" s="327"/>
      <c r="BK28" s="327"/>
      <c r="BL28" s="327"/>
      <c r="BM28" s="333"/>
      <c r="BN28" s="300"/>
      <c r="BO28" s="330"/>
      <c r="BP28" s="330"/>
      <c r="BQ28" s="331"/>
      <c r="BR28" s="330"/>
    </row>
    <row r="29" spans="1:72" ht="21.75" thickBot="1">
      <c r="A29" s="350"/>
      <c r="B29" s="499" t="s">
        <v>61</v>
      </c>
      <c r="C29" s="500"/>
      <c r="D29" s="300"/>
      <c r="E29" s="501">
        <f>SUM(E5:E27)</f>
        <v>402</v>
      </c>
      <c r="F29" s="501">
        <f>SUM(F5:F27)</f>
        <v>117</v>
      </c>
      <c r="G29" s="502">
        <f>SUM(G5:G28)</f>
        <v>519</v>
      </c>
      <c r="H29" s="503">
        <f>SUM(H5:H28)</f>
        <v>2094745000</v>
      </c>
      <c r="I29" s="300"/>
      <c r="J29" s="504">
        <f>SUM(J5:J28)</f>
        <v>264</v>
      </c>
      <c r="K29" s="504">
        <f>SUM(K5:K28)</f>
        <v>255</v>
      </c>
      <c r="L29" s="504">
        <f>SUM(L5:L28)</f>
        <v>0</v>
      </c>
      <c r="M29" s="300"/>
      <c r="N29" s="505">
        <f>SUM(N5:N28)</f>
        <v>1036780000</v>
      </c>
      <c r="O29" s="505">
        <f>SUM(O5:O28)</f>
        <v>1057965000</v>
      </c>
      <c r="P29" s="505">
        <f>SUM(P5:P28)</f>
        <v>0</v>
      </c>
      <c r="Q29" s="300"/>
      <c r="R29" s="803"/>
      <c r="S29" s="804"/>
      <c r="T29" s="804"/>
      <c r="U29" s="804"/>
      <c r="V29" s="804"/>
      <c r="W29" s="804"/>
      <c r="X29" s="804"/>
      <c r="Y29" s="804"/>
      <c r="Z29" s="804"/>
      <c r="AA29" s="804"/>
      <c r="AB29" s="804"/>
      <c r="AC29" s="805"/>
      <c r="AD29" s="803"/>
      <c r="AE29" s="804"/>
      <c r="AF29" s="804"/>
      <c r="AG29" s="804"/>
      <c r="AH29" s="804"/>
      <c r="AI29" s="804"/>
      <c r="AJ29" s="804"/>
      <c r="AK29" s="804"/>
      <c r="AL29" s="804"/>
      <c r="AM29" s="804"/>
      <c r="AN29" s="804"/>
      <c r="AO29" s="805"/>
      <c r="AP29" s="806"/>
      <c r="AQ29" s="807"/>
      <c r="AR29" s="807"/>
      <c r="AS29" s="807"/>
      <c r="AT29" s="807"/>
      <c r="AU29" s="807"/>
      <c r="AV29" s="807"/>
      <c r="AW29" s="807"/>
      <c r="AX29" s="807"/>
      <c r="AY29" s="807"/>
      <c r="AZ29" s="807"/>
      <c r="BA29" s="808"/>
      <c r="BB29" s="806"/>
      <c r="BC29" s="807"/>
      <c r="BD29" s="807"/>
      <c r="BE29" s="807"/>
      <c r="BF29" s="807"/>
      <c r="BG29" s="807"/>
      <c r="BH29" s="807"/>
      <c r="BI29" s="807"/>
      <c r="BJ29" s="807"/>
      <c r="BK29" s="807"/>
      <c r="BL29" s="807"/>
      <c r="BM29" s="808"/>
      <c r="BN29" s="300"/>
      <c r="BO29" s="506">
        <f>SUM(BO5:BO28)</f>
        <v>67520000</v>
      </c>
      <c r="BP29" s="506">
        <f>SUM(BP5:BP28)</f>
        <v>324740000</v>
      </c>
      <c r="BQ29" s="506">
        <f>SUM(BQ5:BQ28)</f>
        <v>893520000</v>
      </c>
      <c r="BR29" s="506">
        <f>SUM(BR5:BR28)</f>
        <v>808965000</v>
      </c>
    </row>
    <row r="30" spans="1:72"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0"/>
      <c r="BD30" s="300"/>
      <c r="BE30" s="300"/>
      <c r="BF30" s="300"/>
      <c r="BG30" s="300"/>
      <c r="BH30" s="300"/>
      <c r="BI30" s="300"/>
      <c r="BJ30" s="300"/>
      <c r="BK30" s="300"/>
      <c r="BL30" s="300"/>
      <c r="BM30" s="300"/>
      <c r="BN30" s="300"/>
    </row>
    <row r="31" spans="1:72"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  <c r="AE31" s="300"/>
      <c r="AF31" s="300"/>
      <c r="AG31" s="300"/>
      <c r="AH31" s="300"/>
      <c r="AI31" s="300"/>
      <c r="AJ31" s="300"/>
      <c r="AK31" s="300"/>
      <c r="AL31" s="300"/>
      <c r="AM31" s="300"/>
      <c r="AN31" s="300"/>
      <c r="AO31" s="300"/>
      <c r="AP31" s="300"/>
      <c r="AQ31" s="300"/>
      <c r="AR31" s="300"/>
      <c r="AS31" s="300"/>
      <c r="AT31" s="300"/>
      <c r="AU31" s="300"/>
      <c r="AV31" s="300"/>
      <c r="AW31" s="300"/>
      <c r="AX31" s="300"/>
      <c r="AY31" s="300"/>
      <c r="AZ31" s="300"/>
      <c r="BA31" s="300"/>
      <c r="BB31" s="300"/>
      <c r="BC31" s="300"/>
      <c r="BD31" s="300"/>
      <c r="BE31" s="300"/>
      <c r="BF31" s="300"/>
      <c r="BG31" s="300"/>
      <c r="BH31" s="300"/>
      <c r="BI31" s="300"/>
      <c r="BJ31" s="300"/>
      <c r="BK31" s="300"/>
      <c r="BL31" s="300"/>
      <c r="BM31" s="300"/>
      <c r="BN31" s="300"/>
    </row>
    <row r="32" spans="1:72"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300"/>
      <c r="AM32" s="300"/>
      <c r="AN32" s="300"/>
      <c r="AO32" s="300"/>
      <c r="AP32" s="300"/>
      <c r="AQ32" s="300"/>
      <c r="AR32" s="300"/>
      <c r="AS32" s="300"/>
      <c r="AT32" s="300"/>
      <c r="AU32" s="300"/>
      <c r="AV32" s="300"/>
      <c r="AW32" s="300"/>
      <c r="AX32" s="300"/>
      <c r="AY32" s="300"/>
      <c r="AZ32" s="300"/>
      <c r="BA32" s="300"/>
      <c r="BB32" s="300"/>
      <c r="BC32" s="300"/>
      <c r="BD32" s="300"/>
      <c r="BE32" s="300"/>
      <c r="BF32" s="300"/>
      <c r="BG32" s="300"/>
      <c r="BH32" s="300"/>
      <c r="BI32" s="300"/>
      <c r="BJ32" s="300"/>
      <c r="BK32" s="300"/>
      <c r="BL32" s="300"/>
      <c r="BM32" s="300"/>
      <c r="BN32" s="300"/>
    </row>
    <row r="33" spans="17:66"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  <c r="AE33" s="300"/>
      <c r="AF33" s="300"/>
      <c r="AG33" s="300"/>
      <c r="AH33" s="300"/>
      <c r="AI33" s="300"/>
      <c r="AJ33" s="300"/>
      <c r="AK33" s="300"/>
      <c r="AL33" s="300"/>
      <c r="AM33" s="300"/>
      <c r="AN33" s="300"/>
      <c r="AO33" s="300"/>
      <c r="AP33" s="300"/>
      <c r="AQ33" s="300"/>
      <c r="AR33" s="300"/>
      <c r="AS33" s="300"/>
      <c r="AT33" s="300"/>
      <c r="AU33" s="300"/>
      <c r="AV33" s="300"/>
      <c r="AW33" s="300"/>
      <c r="AX33" s="300"/>
      <c r="AY33" s="300"/>
      <c r="AZ33" s="300"/>
      <c r="BA33" s="300"/>
      <c r="BB33" s="300"/>
      <c r="BC33" s="300"/>
      <c r="BD33" s="300"/>
      <c r="BE33" s="300"/>
      <c r="BF33" s="300"/>
      <c r="BG33" s="300"/>
      <c r="BH33" s="300"/>
      <c r="BI33" s="300"/>
      <c r="BJ33" s="300"/>
      <c r="BK33" s="300"/>
      <c r="BL33" s="300"/>
      <c r="BM33" s="300"/>
      <c r="BN33" s="300"/>
    </row>
    <row r="34" spans="17:66"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300"/>
      <c r="AU34" s="300"/>
      <c r="AV34" s="300"/>
      <c r="AW34" s="300"/>
      <c r="AX34" s="300"/>
      <c r="AY34" s="300"/>
      <c r="AZ34" s="300"/>
      <c r="BA34" s="300"/>
      <c r="BB34" s="300"/>
      <c r="BC34" s="300"/>
      <c r="BD34" s="300"/>
      <c r="BE34" s="300"/>
      <c r="BF34" s="300"/>
      <c r="BG34" s="300"/>
      <c r="BH34" s="300"/>
      <c r="BI34" s="300"/>
      <c r="BJ34" s="300"/>
      <c r="BK34" s="300"/>
      <c r="BL34" s="300"/>
      <c r="BM34" s="300"/>
      <c r="BN34" s="300"/>
    </row>
    <row r="35" spans="17:66">
      <c r="Q35" s="300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  <c r="AD35" s="300"/>
      <c r="AE35" s="300"/>
      <c r="AF35" s="300"/>
      <c r="AG35" s="300"/>
      <c r="AH35" s="300"/>
      <c r="AI35" s="300"/>
      <c r="AJ35" s="300"/>
      <c r="AK35" s="300"/>
      <c r="AL35" s="300"/>
      <c r="AM35" s="300"/>
      <c r="AN35" s="300"/>
      <c r="AO35" s="300"/>
      <c r="AP35" s="300"/>
      <c r="AQ35" s="300"/>
      <c r="AR35" s="300"/>
      <c r="AS35" s="300"/>
      <c r="AT35" s="300"/>
      <c r="AU35" s="300"/>
      <c r="AV35" s="300"/>
      <c r="AW35" s="300"/>
      <c r="AX35" s="300"/>
      <c r="AY35" s="300"/>
      <c r="AZ35" s="300"/>
      <c r="BA35" s="300"/>
      <c r="BB35" s="300"/>
      <c r="BC35" s="300"/>
      <c r="BD35" s="300"/>
      <c r="BE35" s="300"/>
      <c r="BF35" s="300"/>
      <c r="BG35" s="300"/>
      <c r="BH35" s="300"/>
      <c r="BI35" s="300"/>
      <c r="BJ35" s="300"/>
      <c r="BK35" s="300"/>
      <c r="BL35" s="300"/>
      <c r="BM35" s="300"/>
      <c r="BN35" s="300"/>
    </row>
    <row r="36" spans="17:66"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300"/>
      <c r="AM36" s="300"/>
      <c r="AN36" s="300"/>
      <c r="AO36" s="300"/>
      <c r="AP36" s="300"/>
      <c r="AQ36" s="300"/>
      <c r="AR36" s="300"/>
      <c r="AS36" s="300"/>
      <c r="AT36" s="300"/>
      <c r="AU36" s="300"/>
      <c r="AV36" s="300"/>
      <c r="AW36" s="300"/>
      <c r="AX36" s="300"/>
      <c r="AY36" s="300"/>
      <c r="AZ36" s="300"/>
      <c r="BA36" s="300"/>
      <c r="BB36" s="300"/>
      <c r="BC36" s="300"/>
      <c r="BD36" s="300"/>
      <c r="BE36" s="300"/>
      <c r="BF36" s="300"/>
      <c r="BG36" s="300"/>
      <c r="BH36" s="300"/>
      <c r="BI36" s="300"/>
      <c r="BJ36" s="300"/>
      <c r="BK36" s="300"/>
      <c r="BL36" s="300"/>
      <c r="BM36" s="300"/>
      <c r="BN36" s="300"/>
    </row>
    <row r="37" spans="17:66"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0"/>
      <c r="AL37" s="300"/>
      <c r="AM37" s="300"/>
      <c r="AN37" s="300"/>
      <c r="AO37" s="300"/>
      <c r="AP37" s="300"/>
      <c r="AQ37" s="300"/>
      <c r="AR37" s="300"/>
      <c r="AS37" s="300"/>
      <c r="AT37" s="300"/>
      <c r="AU37" s="300"/>
      <c r="AV37" s="300"/>
      <c r="AW37" s="300"/>
      <c r="AX37" s="300"/>
      <c r="AY37" s="300"/>
      <c r="AZ37" s="300"/>
      <c r="BA37" s="300"/>
      <c r="BB37" s="300"/>
      <c r="BC37" s="300"/>
      <c r="BD37" s="300"/>
      <c r="BE37" s="300"/>
      <c r="BF37" s="300"/>
      <c r="BG37" s="300"/>
      <c r="BH37" s="300"/>
      <c r="BI37" s="300"/>
      <c r="BJ37" s="300"/>
      <c r="BK37" s="300"/>
      <c r="BL37" s="300"/>
      <c r="BM37" s="300"/>
      <c r="BN37" s="300"/>
    </row>
    <row r="38" spans="17:66"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300"/>
      <c r="AM38" s="300"/>
      <c r="AN38" s="300"/>
      <c r="AO38" s="300"/>
      <c r="AP38" s="300"/>
      <c r="AQ38" s="300"/>
      <c r="AR38" s="300"/>
      <c r="AS38" s="300"/>
      <c r="AT38" s="300"/>
      <c r="AU38" s="300"/>
      <c r="AV38" s="300"/>
      <c r="AW38" s="300"/>
      <c r="AX38" s="300"/>
      <c r="AY38" s="300"/>
      <c r="AZ38" s="300"/>
      <c r="BA38" s="300"/>
      <c r="BB38" s="300"/>
      <c r="BC38" s="300"/>
      <c r="BD38" s="300"/>
      <c r="BE38" s="300"/>
      <c r="BF38" s="300"/>
      <c r="BG38" s="300"/>
      <c r="BH38" s="300"/>
      <c r="BI38" s="300"/>
      <c r="BJ38" s="300"/>
      <c r="BK38" s="300"/>
      <c r="BL38" s="300"/>
      <c r="BM38" s="300"/>
      <c r="BN38" s="300"/>
    </row>
    <row r="39" spans="17:66"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  <c r="AE39" s="300"/>
      <c r="AF39" s="300"/>
      <c r="AG39" s="300"/>
      <c r="AH39" s="300"/>
      <c r="AI39" s="300"/>
      <c r="AJ39" s="300"/>
      <c r="AK39" s="300"/>
      <c r="AL39" s="300"/>
      <c r="AM39" s="300"/>
      <c r="AN39" s="300"/>
      <c r="AO39" s="300"/>
      <c r="AP39" s="300"/>
      <c r="AQ39" s="300"/>
      <c r="AR39" s="300"/>
      <c r="AS39" s="300"/>
      <c r="AT39" s="300"/>
      <c r="AU39" s="300"/>
      <c r="AV39" s="300"/>
      <c r="AW39" s="300"/>
      <c r="AX39" s="300"/>
      <c r="AY39" s="300"/>
      <c r="AZ39" s="300"/>
      <c r="BA39" s="300"/>
      <c r="BB39" s="300"/>
      <c r="BC39" s="300"/>
      <c r="BD39" s="300"/>
      <c r="BE39" s="300"/>
      <c r="BF39" s="300"/>
      <c r="BG39" s="300"/>
      <c r="BH39" s="300"/>
      <c r="BI39" s="300"/>
      <c r="BJ39" s="300"/>
      <c r="BK39" s="300"/>
      <c r="BL39" s="300"/>
      <c r="BM39" s="300"/>
      <c r="BN39" s="300"/>
    </row>
  </sheetData>
  <mergeCells count="13">
    <mergeCell ref="R29:AC29"/>
    <mergeCell ref="AD29:AO29"/>
    <mergeCell ref="AP29:BA29"/>
    <mergeCell ref="BB29:BM29"/>
    <mergeCell ref="A1:BR1"/>
    <mergeCell ref="G2:H2"/>
    <mergeCell ref="J2:L2"/>
    <mergeCell ref="N2:P2"/>
    <mergeCell ref="BO2:BR2"/>
    <mergeCell ref="R3:AC3"/>
    <mergeCell ref="AD3:AO3"/>
    <mergeCell ref="AP3:BA3"/>
    <mergeCell ref="BB3:BM3"/>
  </mergeCells>
  <printOptions horizontalCentered="1"/>
  <pageMargins left="0.23622047244094491" right="0.23622047244094491" top="0.55118110236220474" bottom="0.15748031496062992" header="0.31496062992125984" footer="0.31496062992125984"/>
  <pageSetup paperSize="9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budgetplaning</dc:creator>
  <cp:keywords/>
  <dc:description/>
  <cp:lastModifiedBy>Supakrit Chalermkiat</cp:lastModifiedBy>
  <cp:revision/>
  <dcterms:created xsi:type="dcterms:W3CDTF">2004-09-20T03:20:07Z</dcterms:created>
  <dcterms:modified xsi:type="dcterms:W3CDTF">2024-12-06T08:53:48Z</dcterms:modified>
  <cp:category/>
  <cp:contentStatus/>
</cp:coreProperties>
</file>